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tabRatio="836" activeTab="4"/>
  </bookViews>
  <sheets>
    <sheet name="Шапка" sheetId="1" r:id="rId1"/>
    <sheet name="Анализ без формул" sheetId="3439" r:id="rId2"/>
    <sheet name="Анализ" sheetId="65" r:id="rId3"/>
    <sheet name="КП_Компании" sheetId="3504" r:id="rId4"/>
    <sheet name="ООО &quot;ОНИКС&quot;" sheetId="3535" r:id="rId5"/>
    <sheet name="ООО &quot;ГРЕМИР&quot;" sheetId="3534" r:id="rId6"/>
    <sheet name="ООО МЕТАЛЛСНАБ" sheetId="3533" r:id="rId7"/>
    <sheet name="ООО &quot;ГИДРО-АРМАТУРА&quot;" sheetId="3532" r:id="rId8"/>
    <sheet name="ООО «СтройНефтеГаз»" sheetId="3531" r:id="rId9"/>
    <sheet name="ООО &quot;ТЕХНИЧЕСКИЕ СРЕДСТВА&quot;" sheetId="3530" r:id="rId10"/>
    <sheet name="ООО «Химмашнефтекомплект»" sheetId="3529" r:id="rId11"/>
    <sheet name="ООО «Компания Доминик»" sheetId="3528" r:id="rId12"/>
    <sheet name="ООО &quot;Завод Манометр&quot;" sheetId="3527" r:id="rId13"/>
    <sheet name="ООО ПКФ «КонРос»" sheetId="3526" r:id="rId14"/>
    <sheet name="ООО Аверс" sheetId="3525" r:id="rId15"/>
    <sheet name="ГК «РосАрмаТорг»" sheetId="3524" r:id="rId16"/>
    <sheet name="ООО «САНТЕХКОМПЛЕКТ" sheetId="3523" r:id="rId17"/>
    <sheet name="ООО &quot;БИЛД ИНЖИНИРИНГ&quot;" sheetId="3522" r:id="rId18"/>
    <sheet name="ООО «Лунда» " sheetId="3521" r:id="rId19"/>
    <sheet name="ООО «Челябинская арматура»" sheetId="3520" r:id="rId20"/>
    <sheet name="ООО «ДСЛ»" sheetId="3519" r:id="rId21"/>
    <sheet name="ООО «Генерация»" sheetId="3518" r:id="rId22"/>
    <sheet name="ООО &quot;ДН.ру&quot;" sheetId="3517" r:id="rId23"/>
    <sheet name="ООО «Среднеуральский Завод»" sheetId="3516" r:id="rId24"/>
    <sheet name=" ООО ПКФ Монарх" sheetId="3515" r:id="rId25"/>
    <sheet name="ООО «БКК»" sheetId="3514" r:id="rId26"/>
    <sheet name="ООО ТИНКО" sheetId="3513" r:id="rId27"/>
    <sheet name="ООО «ОптикСтройКомплект»" sheetId="3512" r:id="rId28"/>
    <sheet name="ООО 125 Микрон" sheetId="3511" r:id="rId29"/>
    <sheet name="ЭТМ" sheetId="3510" r:id="rId30"/>
    <sheet name="ООО «Электролайт»" sheetId="3509" r:id="rId31"/>
    <sheet name="ООО ЭКС" sheetId="3508" r:id="rId32"/>
    <sheet name="ООО Кабель РФ" sheetId="3507" r:id="rId33"/>
    <sheet name="ООО АВТОМАТИКА ГРУПП" sheetId="3506" r:id="rId34"/>
    <sheet name="ООО ГОРЭЛТЕХ" sheetId="3505" r:id="rId35"/>
    <sheet name="Запас" sheetId="45" r:id="rId36"/>
    <sheet name="Countries" sheetId="57" r:id="rId37"/>
    <sheet name="Заметки" sheetId="31" r:id="rId38"/>
    <sheet name="Companies" sheetId="48" r:id="rId39"/>
    <sheet name="Классификатор" sheetId="29" r:id="rId40"/>
    <sheet name="ComboboxProducts" sheetId="3" r:id="rId41"/>
    <sheet name="ComboboxMeasure" sheetId="4" r:id="rId42"/>
  </sheets>
  <functionGroups builtInGroupCount="18"/>
  <definedNames>
    <definedName name="_xlnm._FilterDatabase" localSheetId="1" hidden="1">'Анализ без формул'!$O$1:$O$58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6" i="65" l="1"/>
  <c r="L56" i="65" s="1"/>
  <c r="W56" i="65"/>
  <c r="V56" i="65"/>
  <c r="B58" i="65"/>
  <c r="B57" i="65"/>
  <c r="B56" i="65"/>
  <c r="H53" i="65"/>
  <c r="L53" i="65" s="1"/>
  <c r="W53" i="65"/>
  <c r="V53" i="65"/>
  <c r="B55" i="65"/>
  <c r="B54" i="65"/>
  <c r="B53" i="65"/>
  <c r="H50" i="65"/>
  <c r="L50" i="65" s="1"/>
  <c r="W50" i="65"/>
  <c r="V50" i="65"/>
  <c r="B52" i="65"/>
  <c r="B51" i="65"/>
  <c r="B50" i="65"/>
  <c r="H47" i="65"/>
  <c r="L47" i="65" s="1"/>
  <c r="W47" i="65"/>
  <c r="V47" i="65"/>
  <c r="B49" i="65"/>
  <c r="B48" i="65"/>
  <c r="B47" i="65"/>
  <c r="H44" i="65"/>
  <c r="L44" i="65" s="1"/>
  <c r="W44" i="65"/>
  <c r="V44" i="65"/>
  <c r="B46" i="65"/>
  <c r="B45" i="65"/>
  <c r="B44" i="65"/>
  <c r="H41" i="65"/>
  <c r="L41" i="65" s="1"/>
  <c r="W41" i="65"/>
  <c r="V41" i="65"/>
  <c r="B43" i="65"/>
  <c r="B42" i="65"/>
  <c r="B41" i="65"/>
  <c r="H38" i="65"/>
  <c r="L38" i="65" s="1"/>
  <c r="W38" i="65"/>
  <c r="V38" i="65"/>
  <c r="B40" i="65"/>
  <c r="B39" i="65"/>
  <c r="B38" i="65"/>
  <c r="H35" i="65"/>
  <c r="L35" i="65" s="1"/>
  <c r="W35" i="65"/>
  <c r="H37" i="65" s="1"/>
  <c r="L37" i="65" s="1"/>
  <c r="V35" i="65"/>
  <c r="B37" i="65"/>
  <c r="B36" i="65"/>
  <c r="B35" i="65"/>
  <c r="H32" i="65"/>
  <c r="L32" i="65" s="1"/>
  <c r="W32" i="65"/>
  <c r="V32" i="65"/>
  <c r="B34" i="65"/>
  <c r="B33" i="65"/>
  <c r="B32" i="65"/>
  <c r="H58" i="65" l="1"/>
  <c r="L58" i="65" s="1"/>
  <c r="H57" i="65"/>
  <c r="L57" i="65" s="1"/>
  <c r="H55" i="65"/>
  <c r="L55" i="65" s="1"/>
  <c r="H54" i="65"/>
  <c r="L54" i="65" s="1"/>
  <c r="H52" i="65"/>
  <c r="L52" i="65" s="1"/>
  <c r="H51" i="65"/>
  <c r="L51" i="65" s="1"/>
  <c r="H49" i="65"/>
  <c r="L49" i="65" s="1"/>
  <c r="H48" i="65"/>
  <c r="L48" i="65" s="1"/>
  <c r="H46" i="65"/>
  <c r="L46" i="65" s="1"/>
  <c r="H45" i="65"/>
  <c r="L45" i="65" s="1"/>
  <c r="H43" i="65"/>
  <c r="L43" i="65" s="1"/>
  <c r="H42" i="65"/>
  <c r="L42" i="65" s="1"/>
  <c r="H40" i="65"/>
  <c r="L40" i="65" s="1"/>
  <c r="H39" i="65"/>
  <c r="L39" i="65" s="1"/>
  <c r="H36" i="65"/>
  <c r="L36" i="65" s="1"/>
  <c r="H34" i="65"/>
  <c r="L34" i="65" s="1"/>
  <c r="H33" i="65"/>
  <c r="L33" i="65" s="1"/>
  <c r="H29" i="65" l="1"/>
  <c r="L29" i="65" s="1"/>
  <c r="W29" i="65"/>
  <c r="V29" i="65"/>
  <c r="B31" i="65"/>
  <c r="B30" i="65"/>
  <c r="B29" i="65"/>
  <c r="H26" i="65"/>
  <c r="L26" i="65" s="1"/>
  <c r="W26" i="65"/>
  <c r="V26" i="65"/>
  <c r="B28" i="65"/>
  <c r="B27" i="65"/>
  <c r="B26" i="65"/>
  <c r="H23" i="65"/>
  <c r="L23" i="65" s="1"/>
  <c r="W23" i="65"/>
  <c r="V23" i="65"/>
  <c r="B25" i="65"/>
  <c r="B24" i="65"/>
  <c r="B23" i="65"/>
  <c r="H20" i="65"/>
  <c r="L20" i="65" s="1"/>
  <c r="W20" i="65"/>
  <c r="V20" i="65"/>
  <c r="B22" i="65"/>
  <c r="B21" i="65"/>
  <c r="B20" i="65"/>
  <c r="H19" i="65"/>
  <c r="L19" i="65" s="1"/>
  <c r="B19" i="65"/>
  <c r="H18" i="65"/>
  <c r="L18" i="65" s="1"/>
  <c r="B18" i="65"/>
  <c r="H17" i="65"/>
  <c r="L17" i="65" s="1"/>
  <c r="B17" i="65"/>
  <c r="H16" i="65"/>
  <c r="L16" i="65" s="1"/>
  <c r="B16" i="65"/>
  <c r="H15" i="65"/>
  <c r="L15" i="65" s="1"/>
  <c r="B15" i="65"/>
  <c r="H14" i="65"/>
  <c r="L14" i="65" s="1"/>
  <c r="B14" i="65"/>
  <c r="H31" i="65" l="1"/>
  <c r="L31" i="65" s="1"/>
  <c r="H30" i="65"/>
  <c r="L30" i="65" s="1"/>
  <c r="H28" i="65"/>
  <c r="L28" i="65" s="1"/>
  <c r="H27" i="65"/>
  <c r="L27" i="65" s="1"/>
  <c r="H25" i="65"/>
  <c r="L25" i="65" s="1"/>
  <c r="H24" i="65"/>
  <c r="L24" i="65" s="1"/>
  <c r="H22" i="65"/>
  <c r="L22" i="65" s="1"/>
  <c r="H21" i="65"/>
  <c r="L21" i="65"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<sst xmlns="http://schemas.openxmlformats.org/spreadsheetml/2006/main" count="5530" uniqueCount="3797">
  <si>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</si>
  <si>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</si>
  <si>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</si>
  <si>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</si>
  <si>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</si>
  <si>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</si>
  <si>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</si>
  <si>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</si>
  <si>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</si>
  <si>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</si>
  <si>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</si>
  <si>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</si>
  <si>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</si>
  <si>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</si>
  <si>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</si>
  <si>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</si>
  <si>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</si>
  <si>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</si>
  <si>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</si>
  <si>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</si>
  <si>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</si>
  <si>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</si>
  <si>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</si>
  <si>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</si>
  <si>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</si>
  <si>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</si>
  <si>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</si>
  <si>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</si>
  <si>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</si>
  <si>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</si>
  <si>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</si>
  <si>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</si>
  <si>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</si>
  <si>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</si>
  <si>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</si>
  <si>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</si>
  <si>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</si>
  <si>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</si>
  <si>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</si>
  <si>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</si>
  <si>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</si>
  <si>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</si>
  <si>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</si>
  <si>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</si>
  <si>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</si>
  <si>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</si>
  <si>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</si>
  <si>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</si>
  <si>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</si>
  <si>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</si>
  <si>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</si>
  <si>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</si>
  <si>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</si>
  <si>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</si>
  <si>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</si>
  <si>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</si>
  <si>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</si>
  <si>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</si>
  <si>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</si>
  <si>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</si>
  <si>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</si>
  <si>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</si>
  <si>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</si>
  <si>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</si>
  <si>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</si>
  <si>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</si>
  <si>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</si>
  <si>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</si>
  <si>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</si>
  <si>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</si>
  <si>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</si>
  <si>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</si>
  <si>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</si>
  <si>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</si>
  <si>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</si>
  <si>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</si>
  <si>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</si>
  <si>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</si>
  <si>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</si>
  <si>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</si>
  <si>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</si>
  <si>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</si>
  <si>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</si>
  <si>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</si>
  <si>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</si>
  <si>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</si>
  <si>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</si>
  <si>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</si>
  <si>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</si>
  <si>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</si>
  <si>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</si>
  <si>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</si>
  <si>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</si>
  <si>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</si>
  <si>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</si>
  <si>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</si>
  <si>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</si>
  <si>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</si>
  <si>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</si>
  <si>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</si>
  <si>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</si>
  <si>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</si>
  <si>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</si>
  <si>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</si>
  <si>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</si>
  <si>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</si>
  <si>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</si>
  <si>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</si>
  <si>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</si>
  <si>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</si>
  <si>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</si>
  <si>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</si>
  <si>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</si>
  <si>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</si>
  <si>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</si>
  <si>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</si>
  <si>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</si>
  <si>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</si>
  <si>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</si>
  <si>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</si>
  <si>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</si>
  <si>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</si>
  <si>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</si>
  <si>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</si>
  <si>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</si>
  <si>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</si>
  <si>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</si>
  <si>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</si>
  <si>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</si>
  <si>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</si>
  <si>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</si>
  <si>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</si>
  <si>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</si>
  <si>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</si>
  <si>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</si>
  <si>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</si>
  <si>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</si>
  <si>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</si>
  <si>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</si>
  <si>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</si>
  <si>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</si>
  <si>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</si>
  <si>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</si>
  <si>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</si>
  <si>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</si>
  <si>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</si>
  <si>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</si>
  <si>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</si>
  <si>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</si>
  <si>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</si>
  <si>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</si>
  <si>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</si>
  <si>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</si>
  <si>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</si>
  <si>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</si>
  <si>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</si>
  <si>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</si>
  <si>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</si>
  <si>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</si>
  <si>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</si>
  <si>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</si>
  <si>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</si>
  <si>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</si>
  <si>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</si>
  <si>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</si>
  <si>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</si>
  <si>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</si>
  <si>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</si>
  <si>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</si>
  <si>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</si>
  <si>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</si>
  <si>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</si>
  <si>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</si>
  <si>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</si>
  <si>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</si>
  <si>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</si>
  <si>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</si>
  <si>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</si>
  <si>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</si>
  <si>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</si>
  <si>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</si>
  <si>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</si>
  <si>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</si>
  <si>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</si>
  <si>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</si>
  <si>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</si>
  <si>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</si>
  <si>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</si>
  <si>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</si>
  <si>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</si>
  <si>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</si>
  <si>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</si>
  <si>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</si>
  <si>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</si>
  <si>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</si>
  <si>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</si>
  <si>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</si>
  <si>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</si>
  <si>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</si>
  <si>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</si>
  <si>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</si>
  <si>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</si>
  <si>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</si>
  <si>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</si>
  <si>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</si>
  <si>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</si>
  <si>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</si>
  <si>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</si>
  <si>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</si>
  <si>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</si>
  <si>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</si>
  <si>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</si>
  <si>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</si>
  <si>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</si>
  <si>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</si>
  <si>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</si>
  <si>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</si>
  <si>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</si>
  <si>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</si>
  <si>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</si>
  <si>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</si>
  <si>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</si>
  <si>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</si>
  <si>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</si>
  <si>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</si>
  <si>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</si>
  <si>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</si>
  <si>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</si>
  <si>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</si>
  <si>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</si>
  <si>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</si>
  <si>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</si>
  <si>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</si>
  <si>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</si>
  <si>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</si>
  <si>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</si>
  <si>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</si>
  <si>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</si>
  <si>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</si>
  <si>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</si>
  <si>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</si>
  <si>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</si>
  <si>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</si>
  <si>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</si>
  <si>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</si>
  <si>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</si>
  <si>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</si>
  <si>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</si>
  <si>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</si>
  <si>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</si>
  <si>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</si>
  <si>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</si>
  <si>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</si>
  <si>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</si>
  <si>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</si>
  <si>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</si>
  <si>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</si>
  <si>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</si>
  <si>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</si>
  <si>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</si>
  <si>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</si>
  <si>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</si>
  <si>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</si>
  <si>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</si>
  <si>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</si>
  <si>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</si>
  <si>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</si>
  <si>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</si>
  <si>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</si>
  <si>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</si>
  <si>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</si>
  <si>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</si>
  <si>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</si>
  <si>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</si>
  <si>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</si>
  <si>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</si>
  <si>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</si>
  <si>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</si>
  <si>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</si>
  <si>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</si>
  <si>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</si>
  <si>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</si>
  <si>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</si>
  <si>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</si>
  <si>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</si>
  <si>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</si>
  <si>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</si>
  <si>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</si>
  <si>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</si>
  <si>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</si>
  <si>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</si>
  <si>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</si>
  <si>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</si>
  <si>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</si>
  <si>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</si>
  <si>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</si>
  <si>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</si>
  <si>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</si>
  <si>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</si>
  <si>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</si>
  <si>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</si>
  <si>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</si>
  <si>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</si>
  <si>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</si>
  <si>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</si>
  <si>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</si>
  <si>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</si>
  <si>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</si>
  <si>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</si>
  <si>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</si>
  <si>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</si>
  <si>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</si>
  <si>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</si>
  <si>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</si>
  <si>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</si>
  <si>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</si>
  <si>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</si>
  <si>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</si>
  <si>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</si>
  <si>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</si>
  <si>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</si>
  <si>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</si>
  <si>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</si>
  <si>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</si>
  <si>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</si>
  <si>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</si>
  <si>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</si>
  <si>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</si>
  <si>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</si>
  <si>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</si>
  <si>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</si>
  <si>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</si>
  <si>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</si>
  <si>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</si>
  <si>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</si>
  <si>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</si>
  <si>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</si>
  <si>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</si>
  <si>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</si>
  <si>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</si>
  <si>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</si>
  <si>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</si>
  <si>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</si>
  <si>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</si>
  <si>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</si>
  <si>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</si>
  <si>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</si>
  <si>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</si>
  <si>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</si>
  <si>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</si>
  <si>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</si>
  <si>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</si>
  <si>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</si>
  <si>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</si>
  <si>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</si>
  <si>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</si>
  <si>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</si>
  <si>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</si>
  <si>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</si>
  <si>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</si>
  <si>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</si>
  <si>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</si>
  <si>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</si>
  <si>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</si>
  <si>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</si>
  <si>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</si>
  <si>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</si>
  <si>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</si>
  <si>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</si>
  <si>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</si>
  <si>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</si>
  <si>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</si>
  <si>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</si>
  <si>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</si>
  <si>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</si>
  <si>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</si>
  <si>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</si>
  <si>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</si>
  <si>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</si>
  <si>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</si>
  <si>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</si>
  <si>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</si>
  <si>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</si>
  <si>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</si>
  <si>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</si>
  <si>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</si>
  <si>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</si>
  <si>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</si>
  <si>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</si>
  <si>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</si>
  <si>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</si>
  <si>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</si>
  <si>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</si>
  <si>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</si>
  <si>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</si>
  <si>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</si>
  <si>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</si>
  <si>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</si>
  <si>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</si>
  <si>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</si>
  <si>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</si>
  <si>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</si>
  <si>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</si>
  <si>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</si>
  <si>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</si>
  <si>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</si>
  <si>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</si>
  <si>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</si>
  <si>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</si>
  <si>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</si>
  <si>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</si>
  <si>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</si>
  <si>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</si>
  <si>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</si>
  <si>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</si>
  <si>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</si>
  <si>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</si>
  <si>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</si>
  <si>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</si>
  <si>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</si>
  <si>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</si>
  <si>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</si>
  <si>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</si>
  <si>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</si>
  <si>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</si>
  <si>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</si>
  <si>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</si>
  <si>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</si>
  <si>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</si>
  <si>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</si>
  <si>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</si>
  <si>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</si>
  <si>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</si>
  <si>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</si>
  <si>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</si>
  <si>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</si>
  <si>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</si>
  <si>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</si>
  <si>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</si>
  <si>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</si>
  <si>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</si>
  <si>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</si>
  <si>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</si>
  <si>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</si>
  <si>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</si>
  <si>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</si>
  <si>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</si>
  <si>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</si>
  <si>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</si>
  <si>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</si>
  <si>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</si>
  <si>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</si>
  <si>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</si>
  <si>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</si>
  <si>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</si>
  <si>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</si>
  <si>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</si>
  <si>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</si>
  <si>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</si>
  <si>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</si>
  <si>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</si>
  <si>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</si>
  <si>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</si>
  <si>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</si>
  <si>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</si>
  <si>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</si>
  <si>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</si>
  <si>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</si>
  <si>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</si>
  <si>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</si>
  <si>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</si>
  <si>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</si>
  <si>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</si>
  <si>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</si>
  <si>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</si>
  <si>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</si>
  <si>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</si>
  <si>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</si>
  <si>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</si>
  <si>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</si>
  <si>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</si>
  <si>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</si>
  <si>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</si>
  <si>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</si>
  <si>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</si>
  <si>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</si>
  <si>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</si>
  <si>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</si>
  <si>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</si>
  <si>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</si>
  <si>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</si>
  <si>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</si>
  <si>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</si>
  <si>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</si>
  <si>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</si>
  <si>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</si>
  <si>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</si>
  <si>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</si>
  <si>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</si>
  <si>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</si>
  <si>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</si>
  <si>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</si>
  <si>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</si>
  <si>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</si>
  <si>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</si>
  <si>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</si>
  <si>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</si>
  <si>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</si>
  <si>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</si>
  <si>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</si>
  <si>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</si>
  <si>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</si>
  <si>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</si>
  <si>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</si>
  <si>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</si>
  <si>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</si>
  <si>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</si>
  <si>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</si>
  <si>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</si>
  <si>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</si>
  <si>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</si>
  <si>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</si>
  <si>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</si>
  <si>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</si>
  <si>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</si>
  <si>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</si>
  <si>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</si>
  <si>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</si>
  <si>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</si>
  <si>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</si>
  <si>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</si>
  <si>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</si>
  <si>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</si>
  <si>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</si>
  <si>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</si>
  <si>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</si>
  <si>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</si>
  <si>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</si>
  <si>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</si>
  <si>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</si>
  <si>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</si>
  <si>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</si>
  <si>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</si>
  <si>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</si>
  <si>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</si>
  <si>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</si>
  <si>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</si>
  <si>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</si>
  <si>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</si>
  <si>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</si>
  <si>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</si>
  <si>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</si>
  <si>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</si>
  <si>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</si>
  <si>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</si>
  <si>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</si>
  <si>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</si>
  <si>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</si>
  <si>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</si>
  <si>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</si>
  <si>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</si>
  <si>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</si>
  <si>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</si>
  <si>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</si>
  <si>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</si>
  <si>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</si>
  <si>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</si>
  <si>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</si>
  <si>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</si>
  <si>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</si>
  <si>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</si>
  <si>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</si>
  <si>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</si>
  <si>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</si>
  <si>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</si>
  <si>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</si>
  <si>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</si>
  <si>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</si>
  <si>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</si>
  <si>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</si>
  <si>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</si>
  <si>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</si>
  <si>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</si>
  <si>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</si>
  <si>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</si>
  <si>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</si>
  <si>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</si>
  <si>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</si>
  <si>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</si>
  <si>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</si>
  <si>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</si>
  <si>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</si>
  <si>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</si>
  <si>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</si>
  <si>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</si>
  <si>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</si>
  <si>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</si>
  <si>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</si>
  <si>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</si>
  <si>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</si>
  <si>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</si>
  <si>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</si>
  <si>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</si>
  <si>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</si>
  <si>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</si>
  <si>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</si>
  <si>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</si>
  <si>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</si>
  <si>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</si>
  <si>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</si>
  <si>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</si>
  <si>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</si>
  <si>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</si>
  <si>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</si>
  <si>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</si>
  <si>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</si>
  <si>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</si>
  <si>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</si>
  <si>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</si>
  <si>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</si>
  <si>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</si>
  <si>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</si>
  <si>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</si>
  <si>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</si>
  <si>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</si>
  <si>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</si>
  <si>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</si>
  <si>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</si>
  <si>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</si>
  <si>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</si>
  <si>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</si>
  <si>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</si>
  <si>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</si>
  <si>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</si>
  <si>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</si>
  <si>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</si>
  <si>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</si>
  <si>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</si>
  <si>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</si>
  <si>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</si>
  <si>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</si>
  <si>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</si>
  <si>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</si>
  <si>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</si>
  <si>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</si>
  <si>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</si>
  <si>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</si>
  <si>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</si>
  <si>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</si>
  <si>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</si>
  <si>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</si>
  <si>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</si>
  <si>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</si>
  <si>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</si>
  <si>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</si>
  <si>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</si>
  <si>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</si>
  <si>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</si>
  <si>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</si>
  <si>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</si>
  <si>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</si>
  <si>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</si>
  <si>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</si>
  <si>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</si>
  <si>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</si>
  <si>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</si>
  <si>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</si>
  <si>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</si>
  <si>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</si>
  <si>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</si>
  <si>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</si>
  <si>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</si>
  <si>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</si>
  <si>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</si>
  <si>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</si>
  <si>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</si>
  <si>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</si>
  <si>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</si>
  <si>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</si>
  <si>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</si>
  <si>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</si>
  <si>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</si>
  <si>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</si>
  <si>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</si>
  <si>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</si>
  <si>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</si>
  <si>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</si>
  <si>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</si>
  <si>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</si>
  <si>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</si>
  <si>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</si>
  <si>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</si>
  <si>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</si>
  <si>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</si>
  <si>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</si>
  <si>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</si>
  <si>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</si>
  <si>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</si>
  <si>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</si>
  <si>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</si>
  <si>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</si>
  <si>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</si>
  <si>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</si>
  <si>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</si>
  <si>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</si>
  <si>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</si>
  <si>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</si>
  <si>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</si>
  <si>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</si>
  <si>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</si>
  <si>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</si>
  <si>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</si>
  <si>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</si>
  <si>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</si>
  <si>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</si>
  <si>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</si>
  <si>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</si>
  <si>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</si>
  <si>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</si>
  <si>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</si>
  <si>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</si>
  <si>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</si>
  <si>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</si>
  <si>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</si>
  <si>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</si>
  <si>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</si>
  <si>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</si>
  <si>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</si>
  <si>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</si>
  <si>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</si>
  <si>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</si>
  <si>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</si>
  <si>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</si>
  <si>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</si>
  <si>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</si>
  <si>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</si>
  <si>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</si>
  <si>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</si>
  <si>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</si>
  <si>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</si>
  <si>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</si>
  <si>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</si>
  <si>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</si>
  <si>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</si>
  <si>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</si>
  <si>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</si>
  <si>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</si>
  <si>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</si>
  <si>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</si>
  <si>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</si>
  <si>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</si>
  <si>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</si>
  <si>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</si>
  <si>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</si>
  <si>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</si>
  <si>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</si>
  <si>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</si>
  <si>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</si>
  <si>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</si>
  <si>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</si>
  <si>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</si>
  <si>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</si>
  <si>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</si>
  <si>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</si>
  <si>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</si>
  <si>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</si>
  <si>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</si>
  <si>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</si>
  <si>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</si>
  <si>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</si>
  <si>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</si>
  <si>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</si>
  <si>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</si>
  <si>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</si>
  <si>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</si>
  <si>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</si>
  <si>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</si>
  <si>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</si>
  <si>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</si>
  <si>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</si>
  <si>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</si>
  <si>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</si>
  <si>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</si>
  <si>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</si>
  <si>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</si>
  <si>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</si>
  <si>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</si>
  <si>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</si>
  <si>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</si>
  <si>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</si>
  <si>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</si>
  <si>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</si>
  <si>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</si>
  <si>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</si>
  <si>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</si>
  <si>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</si>
  <si>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</si>
  <si>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</si>
  <si>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</si>
  <si>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</si>
  <si>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</si>
  <si>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</si>
  <si>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</si>
  <si>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</si>
  <si>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</si>
  <si>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</si>
  <si>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</si>
  <si>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</si>
  <si>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</si>
  <si>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</si>
  <si>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</si>
  <si>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</si>
  <si>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</si>
  <si>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</si>
  <si>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</si>
  <si>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</si>
  <si>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</si>
  <si>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</si>
  <si>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</si>
  <si>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</si>
  <si>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</si>
  <si>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</si>
  <si>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</si>
  <si>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</si>
  <si>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</si>
  <si>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</si>
  <si>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</si>
  <si>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</si>
  <si>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</si>
  <si>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</si>
  <si>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</si>
  <si>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</si>
  <si>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</si>
  <si>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</si>
  <si>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</si>
  <si>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</si>
  <si>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</si>
  <si>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</si>
  <si>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</si>
  <si>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</si>
  <si>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</si>
  <si>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</si>
  <si>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</si>
  <si>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</si>
  <si>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</si>
  <si>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</si>
  <si>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</si>
  <si>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</si>
  <si>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</si>
  <si>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</si>
  <si>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</si>
  <si>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</si>
  <si>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</si>
  <si>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</si>
  <si>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</si>
  <si>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</si>
  <si>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</si>
  <si>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</si>
  <si>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</si>
  <si>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</si>
  <si>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</si>
  <si>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</si>
  <si>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</si>
  <si>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</si>
  <si>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</si>
  <si>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</si>
  <si>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</si>
  <si>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</si>
  <si>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</si>
  <si>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</si>
  <si>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</si>
  <si>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</si>
  <si>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</si>
  <si>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</si>
  <si>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</si>
  <si>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</si>
  <si>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</si>
  <si>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</si>
  <si>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</si>
  <si>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</si>
  <si>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</si>
  <si>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</si>
  <si>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</si>
  <si>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</si>
  <si>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</si>
  <si>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</si>
  <si>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</si>
  <si>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</si>
  <si>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</si>
  <si>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</si>
  <si>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</si>
  <si>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</si>
  <si>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</si>
  <si>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</si>
  <si>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</si>
  <si>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</si>
  <si>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</si>
  <si>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</si>
  <si>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</si>
  <si>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</si>
  <si>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</si>
  <si>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</si>
  <si>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</si>
  <si>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</si>
  <si>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</si>
  <si>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</si>
  <si>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</si>
  <si>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</si>
  <si>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</si>
  <si>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</si>
  <si>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</si>
  <si>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</si>
  <si>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</si>
  <si>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</si>
  <si>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</si>
  <si>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</si>
  <si>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</si>
  <si>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</si>
  <si>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</si>
  <si>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</si>
  <si>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</si>
  <si>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</si>
  <si>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</si>
  <si>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</si>
  <si>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</si>
  <si>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</si>
  <si>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</si>
  <si>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</si>
  <si>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</si>
  <si>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</si>
  <si>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</si>
  <si>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</si>
  <si>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</si>
  <si>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</si>
  <si>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</si>
  <si>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</si>
  <si>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</si>
  <si>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</si>
  <si>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</si>
  <si>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</si>
  <si>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</si>
  <si>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</si>
  <si>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</si>
  <si>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</si>
  <si>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</si>
  <si>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</si>
  <si>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</si>
  <si>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</si>
  <si>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</si>
  <si>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</si>
  <si>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</si>
  <si>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</si>
  <si>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</si>
  <si>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</si>
  <si>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</si>
  <si>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</si>
  <si>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</si>
  <si>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</si>
  <si>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</si>
  <si>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</si>
  <si>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</si>
  <si>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</si>
  <si>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</si>
  <si>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</si>
  <si>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</si>
  <si>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</si>
  <si>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</si>
  <si>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</si>
  <si>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</si>
  <si>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</si>
  <si>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</si>
  <si>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</si>
  <si>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</si>
  <si>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</si>
  <si>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</si>
  <si>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</si>
  <si>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</si>
  <si>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</si>
  <si>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</si>
  <si>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</si>
  <si>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</si>
  <si>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</si>
  <si>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</si>
  <si>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</si>
  <si>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</si>
  <si>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</si>
  <si>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</si>
  <si>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</si>
  <si>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</si>
  <si>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</si>
  <si>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</si>
  <si>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</si>
  <si>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</si>
  <si>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</si>
  <si>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</si>
  <si>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</si>
  <si>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</si>
  <si>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</si>
  <si>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</si>
  <si>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</si>
  <si>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</si>
  <si>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</si>
  <si>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</si>
  <si>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</si>
  <si>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</si>
  <si>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</si>
  <si>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</si>
  <si>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</si>
  <si>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</si>
  <si>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</si>
  <si>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</si>
  <si>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</si>
  <si>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</si>
  <si>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</si>
  <si>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</si>
  <si>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</si>
  <si>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</si>
  <si>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</si>
  <si>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</si>
  <si>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</si>
  <si>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</si>
  <si>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</si>
  <si>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</si>
  <si>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</si>
  <si>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</si>
  <si>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</si>
  <si>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</si>
  <si>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</si>
  <si>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</si>
  <si>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</si>
  <si>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</si>
  <si>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</si>
  <si>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</si>
  <si>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</si>
  <si>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</si>
  <si>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</si>
  <si>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</si>
  <si>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</si>
  <si>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</si>
  <si>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</si>
  <si>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</si>
  <si>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</si>
  <si>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</si>
  <si>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</si>
  <si>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</si>
  <si>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</si>
  <si>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</si>
  <si>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</si>
  <si>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</si>
  <si>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</si>
  <si>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</si>
  <si>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</si>
  <si>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</si>
  <si>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</si>
  <si>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</si>
  <si>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</si>
  <si>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</si>
  <si>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</si>
  <si>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</si>
  <si>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</si>
  <si>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</si>
  <si>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</si>
  <si>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</si>
  <si>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</si>
  <si>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</si>
  <si>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</si>
  <si>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</si>
  <si>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</si>
  <si>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</si>
  <si>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</si>
  <si>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</si>
  <si>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</si>
  <si>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</si>
  <si>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</si>
  <si>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</si>
  <si>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</si>
  <si>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</si>
  <si>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</si>
  <si>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</si>
  <si>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</si>
  <si>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</si>
  <si>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</si>
  <si>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</si>
  <si>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</si>
  <si>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</si>
  <si>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</si>
  <si>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</si>
  <si>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</si>
  <si>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</si>
  <si>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</si>
  <si>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</si>
  <si>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</si>
  <si>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</si>
  <si>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</si>
  <si>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</si>
  <si>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</si>
  <si>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</si>
  <si>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</si>
  <si>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</si>
  <si>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</si>
  <si>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</si>
  <si>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</si>
  <si>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</si>
  <si>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</si>
  <si>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</si>
  <si>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</si>
  <si>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</si>
  <si>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</si>
  <si>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</si>
  <si>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</si>
  <si>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</si>
  <si>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</si>
  <si>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</si>
  <si>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</si>
  <si>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</si>
  <si>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</si>
  <si>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</si>
  <si>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</si>
  <si>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</si>
  <si>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</si>
  <si>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</si>
  <si>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</si>
  <si>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</si>
  <si>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</si>
  <si>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</si>
  <si>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</si>
  <si>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</si>
  <si>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</si>
  <si>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</si>
  <si>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</si>
  <si>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</si>
  <si>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</si>
  <si>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</si>
  <si>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</si>
  <si>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</si>
  <si>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</si>
  <si>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</si>
  <si>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</si>
  <si>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</si>
  <si>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</si>
  <si>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</si>
  <si>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</si>
  <si>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</si>
  <si>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</si>
  <si>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</si>
  <si>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</si>
  <si>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</si>
  <si>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</si>
  <si>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</si>
  <si>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</si>
  <si>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</si>
  <si>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</si>
  <si>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</si>
  <si>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</si>
  <si>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</si>
  <si>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</si>
  <si>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</si>
  <si>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</si>
  <si>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</si>
  <si>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</si>
  <si>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</si>
  <si>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</si>
  <si>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</si>
  <si>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</si>
  <si>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</si>
  <si>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</si>
  <si>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</si>
  <si>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</si>
  <si>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</si>
  <si>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</si>
  <si>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</si>
  <si>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</si>
  <si>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</si>
  <si>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</si>
  <si>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</si>
  <si>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</si>
  <si>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</si>
  <si>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</si>
  <si>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</si>
  <si>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</si>
  <si>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</si>
  <si>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</si>
  <si>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</si>
  <si>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</si>
  <si>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</si>
  <si>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</si>
  <si>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</si>
  <si>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</si>
  <si>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</si>
  <si>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</si>
  <si>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</si>
  <si>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</si>
  <si>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</si>
  <si>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</si>
  <si>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</si>
  <si>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</si>
  <si>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</si>
  <si>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</si>
  <si>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</si>
  <si>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</si>
  <si>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</si>
  <si>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</si>
  <si>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</si>
  <si>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</si>
  <si>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</si>
  <si>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</si>
  <si>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</si>
  <si>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</si>
  <si>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</si>
  <si>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</si>
  <si>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</si>
  <si>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</si>
  <si>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</si>
  <si>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</si>
  <si>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</si>
  <si>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</si>
  <si>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</si>
  <si>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</si>
  <si>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</si>
  <si>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</si>
  <si>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</si>
  <si>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</si>
  <si>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</si>
  <si>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</si>
  <si>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</si>
  <si>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</si>
  <si>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</si>
  <si>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</si>
  <si>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</si>
  <si>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</si>
  <si>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</si>
  <si>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</si>
  <si>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</si>
  <si>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</si>
  <si>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</si>
  <si>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</si>
  <si>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</si>
  <si>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</si>
  <si>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</si>
  <si>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</si>
  <si>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</si>
  <si>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</si>
  <si>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</si>
  <si>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</si>
  <si>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</si>
  <si>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</si>
  <si>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</si>
  <si>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</si>
  <si>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</si>
  <si>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</si>
  <si>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</si>
  <si>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</si>
  <si>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</si>
  <si>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</si>
  <si>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</si>
  <si>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</si>
  <si>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</si>
  <si>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</si>
  <si>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</si>
  <si>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</si>
  <si>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</si>
  <si>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</si>
  <si>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</si>
  <si>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</si>
  <si>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</si>
  <si>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</si>
  <si>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</si>
  <si>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</si>
  <si>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</si>
  <si>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</si>
  <si>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</si>
  <si>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</si>
  <si>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</si>
  <si>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</si>
  <si>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</si>
  <si>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</si>
  <si>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</si>
  <si>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</si>
  <si>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</si>
  <si>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</si>
  <si>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</si>
  <si>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</si>
  <si>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</si>
  <si>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</si>
  <si>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</si>
  <si>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</si>
  <si>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</si>
  <si>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</si>
  <si>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</si>
  <si>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</si>
  <si>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</si>
  <si>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</si>
  <si>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</si>
  <si>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</si>
  <si>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</si>
  <si>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</si>
  <si>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</si>
  <si>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</si>
  <si>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</si>
  <si>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</si>
  <si>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</si>
  <si>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</si>
  <si>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</si>
  <si>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</si>
  <si>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</si>
  <si>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</si>
  <si>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</si>
  <si>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</si>
  <si>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</si>
  <si>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</si>
  <si>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</si>
  <si>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</si>
  <si>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</si>
  <si>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</si>
  <si>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</si>
  <si>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</si>
  <si>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</si>
  <si>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</si>
  <si>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</si>
  <si>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</si>
  <si>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</si>
  <si>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</si>
  <si>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</si>
  <si>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</si>
  <si>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</si>
  <si>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</si>
  <si>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</si>
  <si>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</si>
  <si>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</si>
  <si>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</si>
  <si>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</si>
  <si>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</si>
  <si>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</si>
  <si>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</si>
  <si>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</si>
  <si>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</si>
  <si>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</si>
  <si>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</si>
  <si>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</si>
  <si>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</si>
  <si>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</si>
  <si>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</si>
  <si>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</si>
  <si>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</si>
  <si>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</si>
  <si>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</si>
  <si>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</si>
  <si>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</si>
  <si>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</si>
  <si>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</si>
  <si>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</si>
  <si>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</si>
  <si>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</si>
  <si>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</si>
  <si>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</si>
  <si>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</si>
  <si>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</si>
  <si>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</si>
  <si>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</si>
  <si>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</si>
  <si>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</si>
  <si>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</si>
  <si>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</si>
  <si>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</si>
  <si>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</si>
  <si>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</si>
  <si>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</si>
  <si>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</si>
  <si>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</si>
  <si>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</si>
  <si>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</si>
  <si>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</si>
  <si>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</si>
  <si>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</si>
  <si>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</si>
  <si>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</si>
  <si>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</si>
  <si>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</si>
  <si>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</si>
  <si>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</si>
  <si>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</si>
  <si>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</si>
  <si>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</si>
  <si>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</si>
  <si>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</si>
  <si>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</si>
  <si>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</si>
  <si>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</si>
  <si>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</si>
  <si>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</si>
  <si>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</si>
  <si>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</si>
  <si>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</si>
  <si>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</si>
  <si>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</si>
  <si>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</si>
  <si>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</si>
  <si>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</si>
  <si>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</si>
  <si>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</si>
  <si>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</si>
  <si>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</si>
  <si>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</si>
  <si>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</si>
  <si>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</si>
  <si>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</si>
  <si>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</si>
  <si>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</si>
  <si>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</si>
  <si>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</si>
  <si>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</si>
  <si>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</si>
  <si>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</si>
  <si>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</si>
  <si>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</si>
  <si>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</si>
  <si>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</si>
  <si>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</si>
  <si>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</si>
  <si>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</si>
  <si>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</si>
  <si>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</si>
  <si>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</si>
  <si>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</si>
  <si>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</si>
  <si>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</si>
  <si>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</si>
  <si>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</si>
  <si>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</si>
  <si>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</si>
  <si>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</si>
  <si>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</si>
  <si>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</si>
  <si>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</si>
  <si>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</si>
  <si>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</si>
  <si>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</si>
  <si>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</si>
  <si>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</si>
  <si>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</si>
  <si>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</si>
  <si>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</si>
  <si>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</si>
  <si>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</si>
  <si>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</si>
  <si>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</si>
  <si>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</si>
  <si>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</si>
  <si>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</si>
  <si>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</si>
  <si>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</si>
  <si>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</si>
  <si>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</si>
  <si>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</si>
  <si>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</si>
  <si>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</si>
  <si>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</si>
  <si>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</si>
  <si>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</si>
  <si>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</si>
  <si>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</si>
  <si>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</si>
  <si>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</si>
  <si>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</si>
  <si>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</si>
  <si>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</si>
  <si>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</si>
  <si>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</si>
  <si>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</si>
  <si>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</si>
  <si>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</si>
  <si>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</si>
  <si>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</si>
  <si>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</si>
  <si>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</si>
  <si>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</si>
  <si>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</si>
  <si>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</si>
  <si>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</si>
  <si>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</si>
  <si>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</si>
  <si>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</si>
  <si>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</si>
  <si>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</si>
  <si>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</si>
  <si>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</si>
  <si>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</si>
  <si>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</si>
  <si>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</si>
  <si>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</si>
  <si>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</si>
  <si>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</si>
  <si>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</si>
  <si>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</si>
  <si>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</si>
  <si>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</si>
  <si>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</si>
  <si>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</si>
  <si>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</si>
  <si>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</si>
  <si>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</si>
  <si>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</si>
  <si>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</si>
  <si>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</si>
  <si>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</si>
  <si>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</si>
  <si>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</si>
  <si>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</si>
  <si>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</si>
  <si>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</si>
  <si>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</si>
  <si>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</si>
  <si>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</si>
  <si>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</si>
  <si>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</si>
  <si>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</si>
  <si>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</si>
  <si>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</si>
  <si>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</si>
  <si>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</si>
  <si>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</si>
  <si>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</si>
  <si>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</si>
  <si>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</si>
  <si>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</si>
  <si>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</si>
  <si>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</si>
  <si>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</si>
  <si>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</si>
  <si>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</si>
  <si>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</si>
  <si>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</si>
  <si>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</si>
  <si>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</si>
  <si>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</si>
  <si>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</si>
  <si>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</si>
  <si>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</si>
  <si>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</si>
  <si>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</si>
  <si>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</si>
  <si>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</si>
  <si>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</si>
  <si>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</si>
  <si>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</si>
  <si>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</si>
  <si>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</si>
  <si>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</si>
  <si>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</si>
  <si>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</si>
  <si>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</si>
  <si>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</si>
  <si>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</si>
  <si>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</si>
  <si>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</si>
  <si>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</si>
  <si>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</si>
  <si>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</si>
  <si>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</si>
  <si>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</si>
  <si>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</si>
  <si>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</si>
  <si>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</si>
  <si>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</si>
  <si>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</si>
  <si>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</si>
  <si>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</si>
  <si>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</si>
  <si>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</si>
  <si>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</si>
  <si>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</si>
  <si>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</si>
  <si>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</si>
  <si>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</si>
  <si>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</si>
  <si>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</si>
  <si>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</si>
  <si>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</si>
  <si>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</si>
  <si>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</si>
  <si>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</si>
  <si>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</si>
  <si>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</si>
  <si>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</si>
  <si>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</si>
  <si>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</si>
  <si>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</si>
  <si>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</si>
  <si>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</si>
  <si>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</si>
  <si>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</si>
  <si>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</si>
  <si>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</si>
  <si>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</si>
  <si>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</si>
  <si>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</si>
  <si>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</si>
  <si>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</si>
  <si>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</si>
  <si>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</si>
  <si>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</si>
  <si>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</si>
  <si>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</si>
  <si>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</si>
  <si>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</si>
  <si>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</si>
  <si>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</si>
  <si>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</si>
  <si>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</si>
  <si>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</si>
  <si>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</si>
  <si>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</si>
  <si>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</si>
  <si>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</si>
  <si>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</si>
  <si>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</si>
  <si>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</si>
  <si>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</si>
  <si>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</si>
  <si>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</si>
  <si>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</si>
  <si>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</si>
  <si>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</si>
  <si>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</si>
  <si>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</si>
  <si>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</si>
  <si>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</si>
  <si>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</si>
  <si>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</si>
  <si>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</si>
  <si>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</si>
  <si>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</si>
  <si>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</si>
  <si>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</si>
  <si>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</si>
  <si>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</si>
  <si>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</si>
  <si>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</si>
  <si>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</si>
  <si>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</si>
  <si>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</si>
  <si>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</si>
  <si>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</si>
  <si>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</si>
  <si>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</si>
  <si>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</si>
  <si>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</si>
  <si>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</si>
  <si>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</si>
  <si>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</si>
  <si>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</si>
  <si>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</si>
  <si>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</si>
  <si>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</si>
  <si>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</si>
  <si>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</si>
  <si>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</si>
  <si>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</si>
  <si>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</si>
  <si>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</si>
  <si>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</si>
  <si>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</si>
  <si>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</si>
  <si>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</si>
  <si>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</si>
  <si>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</si>
  <si>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</si>
  <si>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</si>
  <si>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</si>
  <si>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</si>
  <si>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</si>
  <si>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</si>
  <si>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</si>
  <si>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</si>
  <si>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</si>
  <si>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</si>
  <si>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</si>
  <si>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</si>
  <si>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</si>
  <si>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</si>
  <si>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</si>
  <si>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</si>
  <si>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</si>
  <si>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</si>
  <si>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</si>
  <si>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</si>
  <si>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</si>
  <si>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</si>
  <si>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</si>
  <si>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</si>
  <si>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</si>
  <si>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</si>
  <si>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</si>
  <si>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</si>
  <si>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</si>
  <si>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</si>
  <si>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</si>
  <si>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</si>
  <si>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</si>
  <si>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</si>
  <si>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</si>
  <si>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</si>
  <si>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</si>
  <si>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</si>
  <si>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</si>
  <si>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</si>
  <si>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</si>
  <si>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</si>
  <si>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</si>
  <si>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</si>
  <si>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</si>
  <si>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</si>
  <si>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</si>
  <si>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</si>
  <si>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</si>
  <si>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</si>
  <si>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</si>
  <si>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</si>
  <si>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</si>
  <si>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</si>
  <si>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</si>
  <si>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</si>
  <si>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</si>
  <si>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</si>
  <si>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</si>
  <si>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</si>
  <si>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</si>
  <si>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</si>
  <si>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</si>
  <si>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</si>
  <si>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</si>
  <si>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</si>
  <si>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</si>
  <si>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</si>
  <si>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</si>
  <si>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</si>
  <si>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</si>
  <si>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</si>
  <si>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</si>
  <si>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</si>
  <si>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</si>
  <si>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</si>
  <si>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</si>
  <si>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</si>
  <si>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</si>
  <si>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</si>
  <si>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</si>
  <si>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</si>
  <si>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</si>
  <si>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</si>
  <si>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</si>
  <si>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</si>
  <si>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</si>
  <si>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</si>
  <si>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</si>
  <si>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</si>
  <si>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</si>
  <si>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</si>
  <si>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</si>
  <si>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</si>
  <si>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</si>
  <si>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</si>
  <si>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</si>
  <si>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</si>
  <si>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</si>
  <si>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</si>
  <si>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</si>
  <si>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</si>
  <si>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</si>
  <si>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</si>
  <si>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</si>
  <si>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</si>
  <si>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</si>
  <si>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</si>
  <si>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</si>
  <si>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</si>
  <si>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</si>
  <si>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</si>
  <si>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</si>
  <si>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</si>
  <si>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</si>
  <si>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</si>
  <si>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</si>
  <si>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</si>
  <si>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</si>
  <si>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</si>
  <si>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</si>
  <si>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</si>
  <si>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</si>
  <si>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</si>
  <si>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</si>
  <si>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</si>
  <si>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</si>
  <si>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</si>
  <si>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</si>
  <si>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</si>
  <si>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</si>
  <si>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</si>
  <si>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</si>
  <si>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</si>
  <si>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</si>
  <si>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</si>
  <si>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</si>
  <si>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</si>
  <si>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</si>
  <si>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</si>
  <si>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</si>
  <si>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</si>
  <si>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</si>
  <si>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</si>
  <si>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</si>
  <si>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</si>
  <si>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</si>
  <si>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</si>
  <si>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</si>
  <si>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</si>
  <si>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</si>
  <si>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</si>
  <si>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</si>
  <si>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</si>
  <si>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</si>
  <si>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</si>
  <si>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</si>
  <si>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</si>
  <si>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</si>
  <si>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</si>
  <si>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</si>
  <si>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</si>
  <si>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</si>
  <si>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</si>
  <si>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</si>
  <si>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</si>
  <si>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</si>
  <si>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</si>
  <si>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</si>
  <si>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</si>
  <si>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</si>
  <si>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</si>
  <si>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</si>
  <si>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</si>
  <si>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</si>
  <si>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</si>
  <si>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</si>
  <si>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</si>
  <si>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</si>
  <si>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</si>
  <si>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</si>
  <si>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</si>
  <si>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</si>
  <si>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</si>
  <si>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</si>
  <si>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</si>
  <si>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</si>
  <si>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</si>
  <si>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</si>
  <si>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</si>
  <si>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</si>
  <si>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</si>
  <si>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</si>
  <si>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</si>
  <si>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</si>
  <si>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</si>
  <si>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</si>
  <si>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</si>
  <si>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</si>
  <si>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</si>
  <si>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</si>
  <si>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</si>
  <si>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</si>
  <si>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</si>
  <si>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</si>
  <si>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</si>
  <si>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</si>
  <si>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</si>
  <si>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</si>
  <si>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</si>
  <si>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</si>
  <si>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</si>
  <si>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</si>
  <si>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</si>
  <si>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</si>
  <si>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</si>
  <si>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</si>
  <si>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</si>
  <si>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</si>
  <si>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</si>
  <si>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</si>
  <si>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</si>
  <si>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</si>
  <si>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</si>
  <si>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</si>
  <si>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</si>
  <si>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</si>
  <si>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</si>
  <si>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</si>
  <si>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</si>
  <si>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</si>
  <si>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</si>
  <si>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</si>
  <si>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</si>
  <si>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</si>
  <si>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</si>
  <si>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</si>
  <si>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</si>
  <si>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</si>
  <si>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</si>
  <si>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</si>
  <si>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</si>
  <si>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</si>
  <si>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</si>
  <si>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</si>
  <si>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</si>
  <si>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</si>
  <si>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</si>
  <si>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</si>
  <si>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</si>
  <si>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</si>
  <si>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</si>
  <si>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</si>
  <si>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</si>
  <si>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</si>
  <si>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</si>
  <si>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</si>
  <si>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</si>
  <si>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</si>
  <si>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</si>
  <si>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</si>
  <si>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</si>
  <si>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</si>
  <si>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</si>
  <si>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</si>
  <si>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</si>
  <si>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</si>
  <si>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</si>
  <si>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</si>
  <si>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</si>
  <si>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</si>
  <si>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</si>
  <si>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</si>
  <si>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</si>
  <si>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</si>
  <si>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</si>
  <si>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</si>
  <si>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</si>
  <si>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</si>
  <si>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</si>
  <si>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</si>
  <si>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</si>
  <si>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</si>
  <si>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</si>
  <si>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</si>
  <si>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</si>
  <si>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</si>
  <si>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</si>
  <si>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</si>
  <si>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</si>
  <si>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</si>
  <si>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</si>
  <si>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</si>
  <si>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</si>
  <si>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</si>
  <si>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</si>
  <si>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</si>
  <si>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</si>
  <si>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</si>
  <si>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</si>
  <si>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</si>
  <si>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</si>
  <si>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</si>
  <si>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</si>
  <si>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</si>
  <si>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</si>
  <si>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</si>
  <si>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</si>
  <si>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</si>
  <si>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</si>
  <si>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</si>
  <si>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</si>
  <si>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</si>
  <si>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</si>
  <si>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</si>
  <si>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</si>
  <si>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</si>
  <si>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</si>
  <si>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</si>
  <si>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</si>
  <si>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</si>
  <si>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</si>
  <si>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</si>
  <si>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</si>
  <si>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</si>
  <si>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</si>
  <si>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</si>
  <si>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</si>
  <si>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</si>
  <si>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</si>
  <si>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</si>
  <si>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</si>
  <si>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</si>
  <si>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</si>
  <si>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</si>
  <si>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</si>
  <si>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</si>
  <si>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</si>
  <si>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</si>
  <si>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</si>
  <si>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</si>
  <si>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</si>
  <si>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</si>
  <si>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</si>
  <si>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</si>
  <si>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</si>
  <si>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</si>
  <si>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</si>
  <si>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</si>
  <si>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</si>
  <si>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</si>
  <si>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</si>
  <si>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</si>
  <si>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</si>
  <si>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</si>
  <si>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</si>
  <si>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</si>
  <si>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</si>
  <si>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</si>
  <si>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</si>
  <si>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</si>
  <si>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</si>
  <si>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</si>
  <si>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</si>
  <si>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</si>
  <si>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</si>
  <si>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</si>
  <si>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</si>
  <si>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</si>
  <si>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</si>
  <si>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</si>
  <si>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</si>
  <si>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</si>
  <si>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</si>
  <si>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</si>
  <si>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</si>
  <si>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</si>
  <si>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</si>
  <si>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</si>
  <si>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</si>
  <si>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</si>
  <si>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</si>
  <si>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</si>
  <si>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</si>
  <si>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</si>
  <si>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</si>
  <si>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</si>
  <si>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</si>
  <si>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</si>
  <si>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</si>
  <si>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</si>
  <si>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</si>
  <si>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</si>
  <si>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</si>
  <si>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</si>
  <si>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</si>
  <si>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</si>
  <si>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</si>
  <si>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</si>
  <si>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</si>
  <si>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</si>
  <si>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</si>
  <si>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</si>
  <si>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</si>
  <si>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</si>
  <si>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</si>
  <si>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</si>
  <si>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</si>
  <si>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</si>
  <si>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</si>
  <si>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</si>
  <si>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</si>
  <si>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</si>
  <si>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</si>
  <si>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</si>
  <si>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</si>
  <si>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</si>
  <si>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</si>
  <si>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</si>
  <si>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</si>
  <si>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</si>
  <si>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</si>
  <si>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</si>
  <si>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</si>
  <si>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</si>
  <si>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</si>
  <si>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</si>
  <si>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</si>
  <si>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</si>
  <si>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</si>
  <si>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</si>
  <si>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</si>
  <si>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</si>
  <si>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</si>
  <si>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</si>
  <si>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</si>
  <si>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</si>
  <si>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</si>
  <si>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</si>
  <si>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</si>
  <si>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</si>
  <si>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</si>
  <si>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</si>
  <si>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</si>
  <si>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</si>
  <si>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</si>
  <si>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</si>
  <si>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</si>
  <si>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</si>
  <si>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</si>
  <si>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</si>
  <si>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</si>
  <si>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</si>
  <si>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</si>
  <si>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</si>
  <si>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</si>
  <si>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</si>
  <si>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</si>
  <si>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</si>
  <si>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</si>
  <si>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</si>
  <si>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</si>
  <si>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</si>
  <si>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</si>
  <si>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</si>
  <si>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</si>
  <si>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</si>
  <si>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</si>
  <si>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</si>
  <si>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</si>
  <si>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</si>
  <si>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</si>
  <si>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</si>
  <si>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</si>
  <si>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</si>
  <si>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</si>
  <si>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</si>
  <si>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</si>
  <si>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</si>
  <si>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</si>
  <si>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</si>
  <si>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</si>
  <si>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</si>
  <si>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</si>
  <si>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</si>
  <si>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</si>
  <si>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</si>
  <si>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</si>
  <si>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</si>
  <si>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</si>
  <si>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</si>
  <si>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</si>
  <si>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</si>
  <si>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</si>
  <si>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</si>
  <si>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</si>
  <si>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</si>
  <si>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</si>
  <si>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</si>
  <si>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</si>
  <si>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</si>
  <si>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</si>
  <si>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</si>
  <si>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</si>
  <si>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</si>
  <si>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</si>
  <si>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</si>
  <si>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</si>
  <si>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</si>
  <si>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</si>
  <si>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</si>
  <si>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</si>
  <si>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</si>
  <si>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</si>
  <si>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</si>
  <si>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</si>
  <si>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</si>
  <si>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</si>
  <si>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</si>
  <si>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</si>
  <si>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</si>
  <si>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</si>
  <si>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</si>
  <si>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</si>
  <si>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</si>
  <si>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</si>
  <si>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</si>
  <si>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</si>
  <si>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</si>
  <si>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</si>
  <si>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</si>
  <si>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</si>
  <si>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</si>
  <si>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</si>
  <si>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</si>
  <si>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</si>
  <si>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</si>
  <si>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</si>
  <si>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</si>
  <si>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</si>
  <si>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</si>
  <si>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</si>
  <si>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</si>
  <si>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</si>
  <si>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</si>
  <si>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</si>
  <si>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</si>
  <si>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</si>
  <si>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</si>
  <si>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</si>
  <si>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</si>
  <si>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</si>
  <si>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</si>
  <si>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</si>
  <si>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</si>
  <si>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</si>
  <si>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</si>
  <si>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</si>
  <si>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</si>
  <si>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</si>
  <si>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</si>
  <si>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</si>
  <si>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</si>
  <si>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</si>
  <si>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</si>
  <si>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</si>
  <si>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</si>
  <si>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</si>
  <si>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</si>
  <si>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</si>
  <si>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</si>
  <si>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</si>
  <si>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</si>
  <si>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</si>
  <si>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</si>
  <si>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</si>
  <si>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</si>
  <si>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</si>
  <si>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</si>
  <si>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</si>
  <si>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</si>
  <si>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</si>
  <si>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</si>
  <si>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</si>
  <si>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</si>
  <si>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</si>
  <si>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</si>
  <si>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</si>
  <si>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</si>
  <si>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</si>
  <si>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</si>
  <si>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</si>
  <si>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</si>
  <si>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</si>
  <si>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</si>
  <si>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</si>
  <si>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</si>
  <si>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</si>
  <si>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</si>
  <si>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</si>
  <si>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</si>
  <si>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</si>
  <si>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</si>
  <si>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</si>
  <si>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</si>
  <si>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</si>
  <si>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</si>
  <si>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</si>
  <si>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</si>
  <si>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</si>
  <si>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</si>
  <si>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</si>
  <si>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</si>
  <si>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</si>
  <si>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</si>
  <si>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</si>
  <si>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</si>
  <si>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</si>
  <si>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</si>
  <si>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</si>
  <si>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</si>
  <si>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</si>
  <si>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</si>
  <si>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</si>
  <si>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</si>
  <si>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</si>
  <si>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</si>
  <si>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</si>
  <si>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</si>
  <si>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</si>
  <si>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</si>
  <si>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</si>
  <si>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</si>
  <si>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</si>
  <si>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</si>
  <si>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</si>
  <si>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</si>
  <si>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</si>
  <si>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</si>
  <si>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</si>
  <si>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</si>
  <si>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</si>
  <si>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</si>
  <si>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</si>
  <si>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</si>
  <si>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</si>
  <si>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</si>
  <si>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</si>
  <si>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</si>
  <si>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</si>
  <si>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</si>
  <si>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</si>
  <si>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</si>
  <si>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</si>
  <si>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</si>
  <si>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</si>
  <si>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</si>
  <si>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</si>
  <si>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</si>
  <si>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</si>
  <si>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</si>
  <si>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</si>
  <si>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</si>
  <si>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</si>
  <si>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</si>
  <si>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</si>
  <si>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</si>
  <si>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</si>
  <si>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</si>
  <si>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</si>
  <si>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</si>
  <si>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</si>
  <si>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</si>
  <si>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</si>
  <si>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</si>
  <si>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</si>
  <si>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</si>
  <si>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</si>
  <si>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</si>
  <si>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</si>
  <si>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</si>
  <si>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</si>
  <si>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</si>
  <si>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</si>
  <si>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</si>
  <si>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</si>
  <si>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</si>
  <si>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</si>
  <si>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</si>
  <si>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</si>
  <si>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</si>
  <si>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</si>
  <si>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</si>
  <si>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</si>
  <si>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</si>
  <si>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</si>
  <si>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</si>
  <si>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</si>
  <si>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</si>
  <si>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</si>
  <si>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</si>
  <si>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</si>
  <si>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</si>
  <si>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</si>
  <si>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</si>
  <si>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</si>
  <si>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</si>
  <si>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</si>
  <si>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</si>
  <si>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</si>
  <si>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</si>
  <si>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</si>
  <si>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</si>
  <si>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</si>
  <si>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</si>
  <si>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</si>
  <si>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</si>
  <si>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</si>
  <si>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</si>
  <si>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</si>
  <si>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</si>
  <si>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</si>
  <si>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</si>
  <si>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</si>
  <si>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</si>
  <si>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</si>
  <si>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</si>
  <si>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</si>
  <si>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</si>
  <si>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</si>
  <si>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</si>
  <si>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</si>
  <si>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</si>
  <si>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</si>
  <si>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</si>
  <si>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</si>
  <si>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</si>
  <si>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</si>
  <si>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</si>
  <si>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</si>
  <si>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</si>
  <si>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</si>
  <si>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</si>
  <si>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</si>
  <si>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</si>
  <si>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</si>
  <si>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</si>
  <si>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</si>
  <si>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</si>
  <si>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</si>
  <si>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</si>
  <si>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</si>
  <si>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</si>
  <si>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</si>
  <si>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</si>
  <si>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</si>
  <si>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</si>
  <si>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</si>
  <si>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</si>
  <si>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</si>
  <si>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</si>
  <si>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</si>
  <si>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</si>
  <si>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</si>
  <si>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</si>
  <si>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</si>
  <si>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</si>
  <si>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</si>
  <si>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</si>
  <si>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</si>
  <si>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</si>
  <si>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</si>
  <si>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</si>
  <si>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</si>
  <si>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</si>
  <si>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</si>
  <si>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</si>
  <si>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</si>
  <si>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</si>
  <si>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</si>
  <si>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</si>
  <si>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</si>
  <si>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</si>
  <si>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</si>
  <si>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</si>
  <si>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</si>
  <si>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</si>
  <si>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</si>
  <si>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</si>
  <si>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</si>
  <si>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</si>
  <si>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</si>
  <si>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</si>
  <si>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</si>
  <si>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</si>
  <si>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</si>
  <si>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</si>
  <si>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</si>
  <si>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</si>
  <si>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</si>
  <si>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</si>
  <si>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</si>
  <si>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</si>
  <si>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</si>
  <si>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</si>
  <si>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</si>
  <si>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</si>
  <si>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</si>
  <si>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</si>
  <si>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</si>
  <si>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</si>
  <si>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</si>
  <si>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</si>
  <si>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</si>
  <si>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</si>
  <si>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</si>
  <si>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</si>
  <si>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</si>
  <si>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</si>
  <si>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</si>
  <si>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</si>
  <si>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</si>
  <si>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</si>
  <si>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</si>
  <si>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</si>
  <si>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</si>
  <si>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</si>
  <si>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</si>
  <si>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</si>
  <si>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</si>
  <si>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</si>
  <si>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</si>
  <si>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</si>
  <si>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</si>
  <si>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</si>
  <si>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</si>
  <si>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</si>
  <si>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</si>
  <si>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</si>
  <si>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</si>
  <si>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</si>
  <si>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</si>
  <si>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</si>
  <si>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</si>
  <si>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</si>
  <si>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</si>
  <si>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</si>
  <si>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</si>
  <si>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</si>
  <si>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</si>
  <si>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</si>
  <si>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</si>
  <si>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</si>
  <si>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</si>
  <si>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</si>
  <si>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</si>
  <si>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</si>
  <si>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</si>
  <si>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</si>
  <si>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</si>
  <si>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</si>
  <si>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</si>
  <si>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</si>
  <si>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</si>
  <si>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</si>
  <si>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</si>
  <si>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</si>
  <si>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</si>
  <si>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</si>
  <si>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</si>
  <si>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</si>
  <si>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</si>
  <si>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</si>
  <si>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</si>
  <si>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</si>
  <si>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</si>
  <si>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</si>
  <si>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</si>
  <si>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</si>
  <si>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</si>
  <si>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</si>
  <si>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</si>
  <si>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</si>
  <si>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</si>
  <si>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</si>
  <si>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</si>
  <si>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</si>
  <si>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</si>
  <si>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</si>
  <si>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</si>
  <si>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</si>
  <si>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</si>
  <si>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</si>
  <si>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</si>
  <si>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</si>
  <si>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</si>
  <si>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</si>
  <si>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</si>
  <si>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</si>
  <si>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</si>
  <si>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</si>
  <si>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</si>
  <si>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</si>
  <si>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</si>
  <si>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</si>
  <si>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</si>
  <si>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</si>
  <si>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</si>
  <si>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</si>
  <si>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</si>
  <si>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</si>
  <si>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</si>
  <si>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</si>
  <si>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</si>
  <si>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</si>
  <si>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</si>
  <si>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</si>
  <si>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</si>
  <si>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</si>
  <si>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</si>
  <si>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</si>
  <si>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</si>
  <si>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</si>
  <si>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</si>
  <si>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</si>
  <si>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</si>
  <si>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</si>
  <si>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</si>
  <si>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</si>
  <si>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</si>
  <si>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</si>
  <si>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</si>
  <si>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</si>
  <si>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</si>
  <si>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</si>
  <si>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</si>
  <si>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</si>
  <si>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</si>
  <si>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</si>
  <si>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</si>
  <si>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</si>
  <si>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</si>
  <si>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</si>
  <si>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</si>
  <si>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</si>
  <si>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</si>
  <si>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</si>
  <si>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</si>
  <si>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</si>
  <si>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</si>
  <si>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</si>
  <si>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</si>
  <si>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</si>
  <si>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</si>
  <si>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</si>
  <si>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</si>
  <si>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</si>
  <si>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</si>
  <si>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</si>
  <si>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</si>
  <si>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</si>
  <si>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</si>
  <si>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</si>
  <si>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</si>
  <si>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</si>
  <si>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</si>
  <si>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</si>
  <si>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</si>
  <si>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</si>
  <si>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</si>
  <si>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</si>
  <si>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</si>
  <si>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</si>
  <si>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</si>
  <si>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</si>
  <si>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</si>
  <si>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</si>
  <si>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</si>
  <si>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</si>
  <si>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</si>
  <si>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</si>
  <si>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</si>
  <si>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</si>
  <si>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</si>
  <si>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</si>
  <si>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</si>
  <si>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</si>
  <si>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</si>
  <si>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</si>
  <si>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</si>
  <si>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</si>
  <si>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</si>
  <si>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</si>
  <si>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</si>
  <si>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</si>
  <si>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</si>
  <si>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</si>
  <si>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</si>
  <si>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</si>
  <si>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</si>
  <si>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</si>
  <si>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</si>
  <si>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</si>
  <si>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</si>
  <si>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</si>
  <si>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</si>
  <si>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</si>
  <si>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</si>
  <si>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</si>
  <si>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</si>
  <si>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</si>
  <si>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</si>
  <si>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</si>
  <si>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</si>
  <si>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</si>
  <si>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</si>
  <si>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</si>
  <si>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</si>
  <si>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</si>
  <si>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</si>
  <si>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</si>
  <si>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</si>
  <si>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</si>
  <si>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</si>
  <si>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</si>
  <si>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</si>
  <si>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</si>
  <si>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</si>
  <si>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</si>
  <si>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</si>
  <si>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</si>
  <si>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</si>
  <si>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</si>
  <si>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</si>
  <si>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</si>
  <si>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</si>
  <si>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</si>
  <si>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</si>
  <si>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</si>
  <si>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</si>
  <si>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</si>
  <si>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</si>
  <si>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</si>
  <si>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</si>
  <si>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</si>
  <si>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</si>
  <si>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</si>
  <si>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</si>
  <si>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</si>
  <si>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</si>
  <si>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</si>
  <si>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</si>
  <si>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</si>
  <si>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</si>
  <si>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</si>
  <si>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</si>
  <si>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</si>
  <si>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</si>
  <si>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</si>
  <si>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</si>
  <si>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</si>
  <si>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</si>
  <si>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</si>
  <si>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</si>
  <si>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</si>
  <si>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</si>
  <si>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</si>
  <si>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</si>
  <si>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</si>
  <si>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</si>
  <si>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</si>
  <si>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</si>
  <si>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</si>
  <si>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</si>
  <si>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</si>
  <si>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</si>
  <si>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</si>
  <si>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</si>
  <si>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</si>
  <si>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</si>
  <si>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</si>
  <si>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</si>
  <si>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</si>
  <si>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</si>
  <si>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</si>
  <si>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</si>
  <si>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</si>
  <si>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</si>
  <si>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</si>
  <si>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</si>
  <si>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</si>
  <si>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</si>
  <si>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</si>
  <si>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</si>
  <si>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</si>
  <si>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</si>
  <si>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</si>
  <si>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</si>
  <si>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</si>
  <si>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</si>
  <si>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</si>
  <si>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</si>
  <si>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</si>
  <si>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</si>
  <si>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</si>
  <si>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</si>
  <si>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</si>
  <si>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</si>
  <si>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</si>
  <si>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</si>
  <si>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</si>
  <si>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</si>
  <si>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</si>
  <si>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</si>
  <si>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</si>
  <si>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</si>
  <si>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</si>
  <si>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</si>
  <si>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</si>
  <si>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</si>
  <si>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</si>
  <si>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</si>
  <si>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</si>
  <si>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</si>
  <si>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</si>
  <si>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</si>
  <si>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</si>
  <si>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</si>
  <si>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</si>
  <si>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</si>
  <si>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</si>
  <si>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</si>
  <si>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</si>
  <si>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</si>
  <si>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</si>
  <si>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</si>
  <si>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</si>
  <si>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</si>
  <si>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</si>
  <si>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</si>
  <si>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</si>
  <si>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</si>
  <si>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</si>
  <si>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</si>
  <si>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</si>
  <si>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</si>
  <si>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</si>
  <si>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</si>
  <si>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</si>
  <si>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</si>
  <si>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</si>
  <si>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</si>
  <si>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</si>
  <si>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</si>
  <si>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</si>
  <si>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</si>
  <si>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</si>
  <si>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</si>
  <si>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</si>
  <si>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</si>
  <si>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</si>
  <si>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</si>
  <si>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</si>
  <si>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</si>
  <si>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</si>
  <si>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</si>
  <si>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</si>
  <si>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</si>
  <si>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</si>
  <si>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</si>
  <si>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</si>
  <si>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</si>
  <si>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</si>
  <si>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</si>
  <si>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</si>
  <si>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</si>
  <si>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</si>
  <si>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</si>
  <si>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</si>
  <si>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</si>
  <si>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</si>
  <si>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</si>
  <si>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</si>
  <si>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</si>
  <si>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</si>
  <si>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</si>
  <si>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</si>
  <si>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</si>
  <si>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</si>
  <si>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</si>
  <si>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</si>
  <si>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</si>
  <si>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</si>
  <si>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</si>
  <si>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</si>
  <si>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</si>
  <si>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</si>
  <si>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</si>
  <si>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</si>
  <si>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</si>
  <si>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</si>
  <si>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</si>
  <si>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</si>
  <si>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</si>
  <si>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</si>
  <si>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</si>
  <si>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</si>
  <si>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</si>
  <si>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</si>
  <si>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</si>
  <si>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</si>
  <si>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</si>
  <si>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</si>
  <si>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</si>
  <si>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</si>
  <si>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</si>
  <si>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</si>
  <si>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</si>
  <si>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</si>
  <si>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</si>
  <si>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</si>
  <si>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</si>
  <si>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</si>
  <si>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</si>
  <si>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</si>
  <si>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</si>
  <si>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</si>
  <si>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</si>
  <si>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</si>
  <si>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</si>
  <si>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</si>
  <si>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</si>
  <si>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</si>
  <si>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</si>
  <si>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</si>
  <si>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</si>
  <si>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</si>
  <si>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</si>
  <si>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</si>
  <si>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</si>
  <si>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</si>
  <si>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</si>
  <si>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</si>
  <si>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</si>
  <si>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</si>
  <si>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</si>
  <si>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</si>
  <si>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</si>
  <si>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</si>
  <si>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</si>
  <si>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</si>
  <si>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</si>
  <si>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</si>
  <si>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</si>
  <si>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</si>
  <si>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</si>
  <si>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</si>
  <si>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</si>
  <si>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</si>
  <si>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</si>
  <si>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</si>
  <si>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</si>
  <si>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</si>
  <si>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</si>
  <si>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</si>
  <si>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</si>
  <si>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</si>
  <si>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</si>
  <si>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</si>
  <si>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</si>
  <si>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</si>
  <si>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</si>
  <si>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</si>
  <si>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</si>
  <si>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</si>
  <si>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</si>
  <si>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</si>
  <si>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</si>
  <si>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</si>
  <si>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</si>
  <si>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</si>
  <si>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</si>
  <si>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</si>
  <si>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</si>
  <si>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</si>
  <si>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</si>
  <si>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</si>
  <si>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</si>
  <si>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</si>
  <si>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</si>
  <si>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</si>
  <si>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</si>
  <si>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</si>
  <si>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</si>
  <si>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</si>
  <si>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</si>
  <si>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</si>
  <si>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</si>
  <si>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</si>
  <si>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</si>
  <si>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</si>
  <si>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</si>
  <si>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</si>
  <si>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</si>
  <si>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</si>
  <si>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</si>
  <si>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</si>
  <si>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</si>
  <si>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</si>
  <si>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</si>
  <si>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</si>
  <si>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</si>
  <si>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</si>
  <si>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</si>
  <si>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</si>
  <si>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</si>
  <si>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</si>
  <si>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</si>
  <si>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</si>
  <si>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</si>
  <si>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</si>
  <si>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</si>
  <si>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</si>
  <si>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</si>
  <si>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</si>
  <si>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</si>
  <si>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</si>
  <si>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</si>
  <si>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</si>
  <si>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</si>
  <si>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</si>
  <si>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</si>
  <si>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</si>
  <si>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</si>
  <si>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</si>
  <si>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</si>
  <si>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</si>
  <si>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</si>
  <si>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</si>
  <si>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</si>
  <si>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</si>
  <si>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</si>
  <si>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</si>
  <si>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</si>
  <si>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</si>
  <si>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</si>
  <si>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</si>
  <si>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</si>
  <si>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</si>
  <si>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</si>
  <si>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</si>
  <si>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</si>
  <si>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</si>
  <si>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</si>
  <si>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</si>
  <si>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</si>
  <si>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</si>
  <si>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</si>
  <si>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</si>
  <si>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</si>
  <si>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</si>
  <si>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</si>
  <si>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</si>
  <si>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</si>
  <si>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</si>
  <si>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</si>
  <si>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</si>
  <si>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</si>
  <si>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</si>
  <si>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</si>
  <si>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</si>
  <si>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</si>
  <si>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</si>
  <si>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</si>
  <si>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</si>
  <si>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</si>
  <si>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</si>
  <si>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</si>
  <si>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</si>
  <si>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</si>
  <si>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</si>
  <si>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</si>
  <si>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</si>
  <si>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</si>
  <si>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</si>
  <si>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</si>
  <si>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</si>
  <si>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</si>
  <si>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</si>
  <si>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</si>
  <si>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</si>
  <si>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</si>
  <si>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</si>
  <si>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</si>
  <si>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</si>
  <si>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</si>
  <si>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</si>
  <si>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</si>
  <si>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</si>
  <si>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</si>
  <si>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</si>
  <si>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</si>
  <si>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</si>
  <si>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</si>
  <si>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</si>
  <si>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</si>
  <si>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</si>
  <si>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</si>
  <si>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</si>
  <si>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</si>
  <si>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</si>
  <si>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</si>
  <si>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</si>
  <si>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</si>
  <si>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</si>
  <si>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</si>
  <si>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</si>
  <si>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</si>
  <si>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</si>
  <si>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</si>
  <si>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</si>
  <si>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</si>
  <si>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</si>
  <si>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</si>
  <si>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</si>
  <si>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</si>
  <si>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</si>
  <si>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</si>
  <si>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</si>
  <si>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</si>
  <si>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</si>
  <si>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</si>
  <si>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</si>
  <si>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</si>
  <si>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</si>
  <si>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</si>
  <si>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</si>
  <si>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</si>
  <si>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</si>
  <si>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</si>
  <si>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</si>
  <si>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</si>
  <si>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</si>
  <si>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</si>
  <si>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</si>
  <si>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</si>
  <si>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</si>
  <si>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</si>
  <si>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</si>
  <si>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</si>
  <si>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</si>
  <si>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</si>
  <si>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</si>
  <si>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</si>
  <si>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</si>
  <si>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</si>
  <si>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</si>
  <si>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</si>
  <si>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</si>
  <si>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</si>
  <si>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</si>
  <si>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</si>
  <si>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</si>
  <si>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</si>
  <si>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</si>
  <si>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</si>
  <si>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</si>
  <si>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</si>
  <si>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</si>
  <si>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</si>
  <si>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</si>
  <si>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</si>
  <si>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</si>
  <si>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</si>
  <si>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</si>
  <si>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</si>
  <si>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</si>
  <si>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</si>
  <si>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</si>
  <si>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</si>
  <si>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</si>
  <si>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</si>
  <si>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</si>
  <si>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</si>
  <si>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</si>
  <si>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</si>
  <si>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</si>
  <si>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</si>
  <si>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</si>
  <si>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</si>
  <si>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</si>
  <si>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</si>
  <si>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</si>
  <si>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</si>
  <si>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</si>
  <si>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</si>
  <si>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</si>
  <si>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</si>
  <si>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</si>
  <si>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</si>
  <si>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</si>
  <si>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</si>
  <si>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</si>
  <si>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</si>
  <si>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</si>
  <si>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</si>
  <si>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</si>
  <si>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</si>
  <si>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</si>
  <si>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</si>
  <si>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</si>
  <si>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</si>
  <si>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</si>
  <si>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</si>
  <si>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</si>
  <si>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</si>
  <si>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</si>
  <si>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</si>
  <si>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</si>
  <si>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</si>
  <si>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</si>
  <si>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</si>
  <si>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</si>
  <si>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</si>
  <si>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</si>
  <si>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</si>
  <si>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</si>
  <si>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</si>
  <si>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</si>
  <si>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</si>
  <si>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</si>
  <si>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</si>
  <si>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</si>
  <si>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</si>
  <si>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</si>
  <si>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</si>
  <si>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</si>
  <si>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</si>
  <si>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</si>
  <si>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</si>
  <si>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</si>
  <si>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</si>
  <si>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</si>
  <si>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</si>
  <si>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</si>
  <si>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</si>
  <si>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</si>
  <si>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</si>
  <si>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</si>
  <si>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</si>
  <si>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</si>
  <si>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</si>
  <si>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</si>
  <si>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</si>
  <si>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</si>
  <si>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</si>
  <si>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</si>
  <si>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</si>
  <si>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</si>
  <si>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</si>
  <si>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</si>
  <si>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</si>
  <si>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</si>
  <si>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</si>
  <si>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</si>
  <si>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</si>
  <si>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</si>
  <si>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</si>
  <si>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</si>
  <si>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</si>
  <si>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</si>
  <si>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</si>
  <si>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</si>
  <si>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</si>
  <si>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</si>
  <si>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</si>
  <si>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</si>
  <si>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</si>
  <si>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</si>
  <si>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</si>
  <si>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</si>
  <si>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</si>
  <si>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</si>
  <si>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</si>
  <si>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</si>
  <si>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</si>
  <si>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</si>
  <si>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</si>
  <si>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</si>
  <si>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</si>
  <si>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</si>
  <si>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</si>
  <si>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</si>
  <si>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</si>
  <si>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</si>
  <si>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</si>
  <si>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</si>
  <si>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</si>
  <si>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</si>
  <si>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</si>
  <si>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</si>
  <si>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</si>
  <si>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</si>
  <si>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</si>
  <si>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</si>
  <si>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</si>
  <si>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</si>
  <si>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</si>
  <si>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</si>
  <si>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</si>
  <si>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</si>
  <si>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</si>
  <si>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</si>
  <si>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</si>
  <si>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</si>
  <si>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</si>
  <si>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</si>
  <si>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</si>
  <si>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</si>
  <si>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</si>
  <si>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</si>
  <si>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</si>
  <si>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</si>
  <si>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</si>
  <si>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</si>
  <si>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</si>
  <si>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</si>
  <si>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</si>
  <si>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</si>
  <si>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</si>
  <si>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</si>
  <si>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</si>
  <si>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</si>
  <si>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</si>
  <si>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</si>
  <si>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</si>
  <si>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</si>
  <si>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</si>
  <si>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</si>
  <si>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</si>
  <si>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</si>
  <si>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</si>
  <si>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</si>
  <si>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</si>
  <si>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</si>
  <si>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</si>
  <si>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</si>
  <si>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</si>
  <si>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</si>
  <si>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</si>
  <si>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</si>
  <si>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</si>
  <si>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</si>
  <si>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</si>
  <si>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</si>
  <si>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</si>
  <si>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</si>
  <si>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</si>
  <si>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</si>
  <si>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</si>
  <si>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</si>
  <si>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</si>
  <si>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</si>
  <si>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</si>
  <si>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</si>
  <si>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</si>
  <si>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</si>
  <si>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</si>
  <si>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</si>
  <si>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</si>
  <si>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</si>
  <si>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</si>
  <si>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</si>
  <si>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</si>
  <si>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</si>
  <si>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</si>
  <si>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</si>
  <si>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</si>
  <si>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</si>
  <si>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</si>
  <si>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</si>
  <si>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</si>
  <si>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</si>
  <si>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</si>
  <si>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</si>
  <si>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</si>
  <si>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</si>
  <si>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</si>
  <si>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</si>
  <si>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</si>
  <si>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</si>
  <si>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</si>
  <si>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</si>
  <si>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</si>
  <si>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</si>
  <si>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</si>
  <si>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</si>
  <si>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</si>
  <si>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</si>
  <si>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</si>
  <si>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</si>
  <si>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</si>
  <si>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</si>
  <si>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</si>
  <si>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</si>
  <si>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</si>
  <si>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</si>
  <si>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</si>
  <si>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</si>
  <si>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</si>
  <si>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</si>
  <si>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</si>
  <si>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</si>
  <si>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</si>
  <si>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</si>
  <si>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</si>
  <si>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</si>
  <si>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</si>
  <si>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</si>
  <si>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</si>
  <si>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</si>
  <si>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</si>
  <si>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</si>
  <si>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</si>
  <si>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</si>
  <si>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</si>
  <si>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</si>
  <si>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</si>
  <si>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</si>
  <si>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</si>
  <si>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</si>
  <si>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</si>
  <si>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</si>
  <si>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</si>
  <si>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</si>
  <si>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</si>
  <si>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</si>
  <si>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</si>
  <si>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</si>
  <si>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</si>
  <si>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</si>
  <si>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</si>
  <si>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</si>
  <si>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</si>
  <si>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</si>
  <si>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</si>
  <si>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</si>
  <si>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</si>
  <si>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</si>
  <si>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</si>
  <si>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</si>
  <si>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</si>
  <si>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</si>
  <si>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</si>
  <si>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</si>
  <si>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</si>
  <si>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</si>
  <si>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</si>
  <si>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</si>
  <si>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</si>
  <si>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</si>
  <si>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</si>
  <si>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</si>
  <si>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</si>
  <si>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</si>
  <si>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</si>
  <si>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</si>
  <si>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</si>
  <si>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</si>
  <si>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</si>
  <si>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</si>
  <si>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</si>
  <si>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</si>
  <si>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</si>
  <si>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</si>
  <si>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</si>
  <si>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</si>
  <si>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</si>
  <si>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</si>
  <si>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</si>
  <si>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</si>
  <si>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</si>
  <si>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</si>
  <si>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</si>
  <si>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</si>
  <si>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</si>
  <si>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</si>
  <si>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</si>
  <si>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</si>
  <si>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</si>
  <si>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</si>
  <si>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</si>
  <si>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</si>
  <si>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</si>
  <si>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</si>
  <si>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</si>
  <si>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</si>
  <si>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</si>
  <si>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</si>
  <si>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</si>
  <si>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</si>
  <si>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</si>
  <si>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</si>
  <si>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</si>
  <si>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</si>
  <si>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</si>
  <si>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</si>
  <si>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</si>
  <si>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</si>
  <si>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</si>
  <si>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</si>
  <si>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</si>
  <si>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</si>
  <si>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</si>
  <si>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</si>
  <si>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</si>
  <si>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</si>
  <si>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</si>
  <si>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</si>
  <si>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</si>
  <si>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</si>
  <si>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</si>
  <si>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</si>
  <si>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</si>
  <si>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</si>
  <si>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</si>
  <si>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</si>
  <si>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</si>
  <si>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</si>
  <si>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</si>
  <si>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</si>
  <si>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</si>
  <si>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</si>
  <si>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</si>
  <si>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</si>
  <si>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</si>
  <si>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</si>
  <si>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</si>
  <si>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</si>
  <si>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</si>
  <si>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</si>
  <si>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</si>
  <si>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</si>
  <si>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</si>
  <si>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</si>
  <si>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</si>
  <si>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</si>
  <si>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</si>
  <si>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</si>
  <si>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</si>
  <si>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</si>
  <si>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</si>
  <si>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</si>
  <si>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</si>
  <si>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</si>
  <si>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</si>
  <si>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</si>
  <si>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</si>
  <si>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</si>
  <si>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</si>
  <si>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</si>
  <si>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</si>
  <si>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</si>
  <si>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</si>
  <si>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</si>
  <si>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</si>
  <si>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</si>
  <si>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</si>
  <si>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</si>
  <si>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</si>
  <si>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</si>
  <si>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</si>
  <si>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</si>
  <si>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</si>
  <si>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</si>
  <si>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</si>
  <si>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</si>
  <si>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</si>
  <si>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</si>
  <si>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</si>
  <si>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</si>
  <si>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</si>
  <si>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</si>
  <si>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</si>
  <si>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</si>
  <si>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</si>
  <si>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</si>
  <si>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</si>
  <si>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</si>
  <si>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</si>
  <si>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</si>
  <si>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</si>
  <si>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</si>
  <si>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</si>
  <si>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</si>
  <si>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</si>
  <si>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</si>
  <si>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</si>
  <si>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</si>
  <si>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</si>
  <si>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</si>
  <si>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Коробка клеммная взрывозащищенная КСРВ</t>
  </si>
  <si>
    <t>8 293</t>
  </si>
  <si>
    <t>22.03.2024</t>
  </si>
  <si>
    <t xml:space="preserve"> 20.5.02.02</t>
  </si>
  <si>
    <t>Шкаф коммутационный ШК1</t>
  </si>
  <si>
    <t>Шкаф коммутационный ШК1, в соответствии с требованиями АВТГ.23-096.АТХ.ОЛ1</t>
  </si>
  <si>
    <t>22.04.2024</t>
  </si>
  <si>
    <t xml:space="preserve"> 20.4.04.02</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</si>
  <si>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</si>
  <si>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</si>
  <si>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</si>
  <si>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</si>
  <si>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</si>
  <si>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</si>
  <si>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</si>
  <si>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</si>
  <si>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</si>
  <si>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</si>
  <si>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 xml:space="preserve"> 89.1.61.02</t>
  </si>
  <si>
    <t>5</t>
  </si>
  <si>
    <t>SCADA-система (500 точек + OPC-сервер)</t>
  </si>
  <si>
    <t>SCADA-система MasterSCADA</t>
  </si>
  <si>
    <t xml:space="preserve"> 62.7.01.04</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</si>
  <si>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</si>
  <si>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</si>
  <si>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</si>
  <si>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</si>
  <si>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</si>
  <si>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</si>
  <si>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</si>
  <si>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</si>
  <si>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</si>
  <si>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</si>
  <si>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 xml:space="preserve"> 21.1.08.03</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</si>
  <si>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</si>
  <si>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</si>
  <si>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</si>
  <si>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</si>
  <si>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</si>
  <si>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</si>
  <si>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</si>
  <si>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</si>
  <si>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</si>
  <si>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</si>
  <si>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</si>
  <si>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</si>
  <si>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</si>
  <si>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</si>
  <si>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</si>
  <si>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</si>
  <si>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</si>
  <si>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</si>
  <si>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</si>
  <si>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</si>
  <si>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</si>
  <si>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 xml:space="preserve"> 21.1.04.07</t>
  </si>
  <si>
    <t>9.1</t>
  </si>
  <si>
    <t>9.2</t>
  </si>
  <si>
    <t>9.3</t>
  </si>
  <si>
    <t>ООО ТИНКО</t>
  </si>
  <si>
    <t>tinko@tinko.ru</t>
  </si>
  <si>
    <t>info@bkk.su</t>
  </si>
  <si>
    <t>ООО «БКК»</t>
  </si>
  <si>
    <t>Кабель СПЕЦЛАН® F/UTP Cat 5е PVC LS нг(А)-LS 4×2×0,52</t>
  </si>
  <si>
    <t xml:space="preserve"> 21.1.04.01</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</si>
  <si>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</si>
  <si>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</si>
  <si>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</si>
  <si>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</si>
  <si>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</si>
  <si>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</si>
  <si>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</si>
  <si>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</si>
  <si>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</si>
  <si>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</si>
  <si>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</si>
  <si>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</si>
  <si>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</si>
  <si>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</si>
  <si>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</si>
  <si>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</si>
  <si>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</si>
  <si>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 xml:space="preserve"> 18.1.09.11</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</si>
  <si>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</si>
  <si>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</si>
  <si>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</si>
  <si>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</si>
  <si>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</si>
  <si>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</si>
  <si>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</si>
  <si>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</si>
  <si>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</si>
  <si>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</si>
  <si>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</si>
  <si>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</si>
  <si>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</si>
  <si>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</si>
  <si>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</si>
  <si>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</si>
  <si>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</si>
  <si>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</si>
  <si>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</si>
  <si>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</si>
  <si>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</si>
  <si>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</si>
  <si>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</si>
  <si>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</si>
  <si>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</si>
  <si>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</si>
  <si>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</si>
  <si>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</si>
  <si>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</si>
  <si>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</si>
  <si>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</si>
  <si>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 xml:space="preserve"> 18.1.04.02</t>
  </si>
  <si>
    <t>ООО «Лунда» </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</si>
  <si>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</si>
  <si>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</si>
  <si>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</si>
  <si>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</si>
  <si>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</si>
  <si>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</si>
  <si>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</si>
  <si>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</si>
  <si>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</si>
  <si>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</si>
  <si>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</si>
  <si>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</si>
  <si>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</si>
  <si>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 xml:space="preserve"> 18.1.08.05</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</si>
  <si>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</si>
  <si>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</si>
  <si>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</si>
  <si>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</si>
  <si>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</si>
  <si>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</si>
  <si>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</si>
  <si>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</si>
  <si>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</si>
  <si>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</si>
  <si>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</si>
  <si>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</si>
  <si>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</si>
  <si>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 xml:space="preserve"> 63.4.01.02</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</si>
  <si>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</si>
  <si>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</si>
  <si>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</si>
  <si>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</si>
  <si>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</si>
  <si>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</si>
  <si>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</si>
  <si>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</si>
  <si>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</si>
  <si>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</si>
  <si>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</si>
  <si>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</si>
  <si>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 xml:space="preserve"> 59.1.17.04</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</si>
  <si>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</si>
  <si>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</si>
  <si>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</si>
  <si>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</si>
  <si>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</si>
  <si>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</si>
  <si>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</si>
  <si>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</si>
  <si>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</si>
  <si>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</si>
  <si>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</si>
  <si>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</si>
  <si>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</si>
  <si>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</si>
  <si>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</si>
  <si>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</si>
  <si>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</si>
  <si>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</si>
  <si>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</si>
  <si>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</si>
  <si>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</si>
  <si>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</si>
  <si>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</si>
  <si>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</si>
  <si>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</si>
  <si>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</si>
  <si>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</si>
  <si>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</si>
  <si>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</si>
  <si>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</si>
  <si>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</si>
  <si>
    <t>Огнепреградитель ОП-50АА УХЛ1</t>
  </si>
  <si>
    <t>Автоматизация технологических процессов</t>
  </si>
  <si>
    <t>ООО "Автоматика Групп"</t>
  </si>
  <si>
    <t>ООО «Среднеуральский Завод»</t>
  </si>
  <si>
    <t>ТЦ_ 20.5.02.02_78_780601001_22.03.24_1</t>
  </si>
  <si>
    <t>ТЦ_ 20.4.04.02_78_783901001_22.04.24_2</t>
  </si>
  <si>
    <t>ТЦ_ 89.1.61.02_78_783901001_22.04.24_2</t>
  </si>
  <si>
    <t>ТЦ_ 62.7.01.04_78_783901001_22.04.24_2</t>
  </si>
  <si>
    <t>ТЦ_ 21.1.08.03_78_324501001_22.04.24_2</t>
  </si>
  <si>
    <t>ТЦ_ 21.1.08.03_77_772001001_22.04.24_2</t>
  </si>
  <si>
    <t>ТЦ_ 21.1.08.03_77_505001001_23.04.24_2</t>
  </si>
  <si>
    <t>ТЦ_ 21.1.08.03_78_780401001_23.04.24_2</t>
  </si>
  <si>
    <t>ТЦ_ 21.1.04.07_77_772001001_22.04.24_2</t>
  </si>
  <si>
    <t>ТЦ_ 21.1.04.07_78_780201001_22.04.24_2</t>
  </si>
  <si>
    <t>ТЦ_ 21.1.04.07_77_772001001_23.04.24_2</t>
  </si>
  <si>
    <t>ТЦ_ 21.1.04.01_78_780401001_22.04.24_2</t>
  </si>
  <si>
    <t>ТЦ_ 21.1.04.01_77_770201001_22.04.24_2</t>
  </si>
  <si>
    <t>ТЦ_ 21.1.04.01_78_781001001_23.04.24_2</t>
  </si>
  <si>
    <t>ТЦ_ 18.1.09.11_64_645001001_21.04.24_1</t>
  </si>
  <si>
    <t>ТЦ_ 18.1.09.11_78_668501001_22.04.24_1</t>
  </si>
  <si>
    <t>ТЦ_ 18.1.09.11_77_772401001_23.04.24_2</t>
  </si>
  <si>
    <t>ТЦ_ 18.1.09.11_74_667001001_21.04.24_2</t>
  </si>
  <si>
    <t>ТЦ_ 18.1.09.11_59_590501001_22.04.24_1</t>
  </si>
  <si>
    <t>ТЦ_ 18.1.09.11_74_745101001_23.04.24_1</t>
  </si>
  <si>
    <t>ТЦ_ 18.1.04.02_77_772401001_21.04.24_2</t>
  </si>
  <si>
    <t>ТЦ_ 18.1.04.02_77_770401001_22.04.24_2</t>
  </si>
  <si>
    <t>ТЦ_ 18.1.04.02_77_772001001_23.04.24_1</t>
  </si>
  <si>
    <t>ТЦ_ 18.1.08.05_50_500301001_21.04.24_1</t>
  </si>
  <si>
    <t>ТЦ_ 18.1.08.05_77_772201001_22.04.24_2</t>
  </si>
  <si>
    <t>ТЦ_ 18.1.08.05_77_772401001_23.04.24_2</t>
  </si>
  <si>
    <t>ТЦ_ 63.4.01.02_78_772201001_21.04.24_1</t>
  </si>
  <si>
    <t>ТЦ_ 63.4.01.02_61_616501001_22.04.24_2</t>
  </si>
  <si>
    <t>ТЦ_ 63.4.01.02_77_772601001_23.04.24_1</t>
  </si>
  <si>
    <t>ТЦ_ 59.1.17.04_77_771501001_21.04.24_2</t>
  </si>
  <si>
    <t>ТЦ_ 59.1.17.04_50_507401001_22.04.24_2</t>
  </si>
  <si>
    <t>ТЦ_ 59.1.17.04_54_772901001_23.04.24_2</t>
  </si>
  <si>
    <t>ТЦ_ 18.1.08.05_77_525201001_21.04.24_1</t>
  </si>
  <si>
    <t>ТЦ_ 18.1.08.05_77_72301001_22.04.24_2</t>
  </si>
  <si>
    <t>ТЦ_ 18.1.08.05_52_525801001_23.04.24_2</t>
  </si>
  <si>
    <t>ТЦ_ 18.1.08.05_77_772401001_21.04.24_2</t>
  </si>
  <si>
    <t>ТЦ_ 18.1.08.05_77_774301001_22.04.24_2</t>
  </si>
  <si>
    <t>ТЦ_ 18.1.08.05_78_781401001_23.04.24_2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</si>
</sst>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1">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71">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0" borderId="8" xfId="0" applyFont="1" applyBorder="1"/>
    <xf numFmtId="0" fontId="0" fillId="0" borderId="8" xfId="6" applyFont="1" applyBorder="1"/>
    <xf numFmtId="0" fontId="0" fillId="4" borderId="3" xfId="0" applyFill="1" applyBorder="1"/>
    <xf numFmtId="0" fontId="0" fillId="4" borderId="3" xfId="0" applyFill="1" applyBorder="1" applyAlignment="1">
      <alignment wrapText="1"/>
    </xf>
    <xf numFmtId="49" fontId="0" fillId="0" borderId="3" xfId="0" applyNumberFormat="1" applyBorder="1" applyAlignment="1">
      <alignment horizontal="center"/>
    </xf>
    <xf numFmtId="0" fontId="15" fillId="4" borderId="3" xfId="6" applyFill="1" applyBorder="1"/>
    <xf numFmtId="0" fontId="0" fillId="0" borderId="3" xfId="0" applyBorder="1"/>
    <xf numFmtId="0" fontId="15" fillId="0" borderId="3" xfId="6" applyBorder="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wrapText="1"/>
    </xf>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xf numFmtId="44" fontId="7" fillId="0" borderId="3" xfId="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tables/table1.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46" totalsRowShown="0" headerRowDxfId="57" dataDxfId="55" headerRowBorderDxfId="56" tableBorderDxfId="54" totalsRowBorderDxfId="53">
  <autoFilter ref="A1:F46"/>
  <tableColumns count="6">
    <tableColumn id="1" name="Наименование" dataDxfId="52"/>
    <tableColumn id="2" name="ИНН" dataDxfId="51"/>
    <tableColumn id="3" name="КПП" dataDxfId="50"/>
    <tableColumn id="4" name="URL" dataDxfId="49"/>
    <tableColumn id="5" name="Город" dataDxfId="48"/>
    <tableColumn id="6" name="П/П" dataDxfId="47"/>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46" headerRowCellStyle="HeadingStyle">
  <sortState ref="A2:A2180">
    <sortCondition ref="A1:A2180"/>
  </sortState>
  <tableColumns count="1">
    <tableColumn id="2" name="Группы" dataDxfId="45"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2.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7" Type="http://schemas.openxmlformats.org/officeDocument/2006/relationships/printerSettings" Target="../printerSettings/printerSettings3.bin"/><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vash-dush.ru/flanec-stalnoj-09g2s-ploskij-du-80-ru16-tip-01-ryad-1-isp.-b-gost-33259-2015"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sng2000.ru/katalog/detali-truboprovodov/detali-truboprovodov-gost/flantsy-stalnye/ploskie-privarnye/flantsy-gost-12820-80-iz-stali-09g2s/4457/" TargetMode="External"/></Relationships>
</file>

<file path=xl/worksheets/_rels/sheet26.xml.rels><?xml version="1.0" encoding="UTF-8" standalone="yes"?>
<Relationships xmlns="http://schemas.openxmlformats.org/package/2006/relationships"><Relationship Id="rId1" Type="http://schemas.openxmlformats.org/officeDocument/2006/relationships/hyperlink" Target="https://www.bkk.su/catalog/kabelnaya_produktsiya/kabel_informatsionnyy/kabel_spetslan/kabel_spetslan_f_utp_cat_5e_pvc_lsng_a_ls_4x2x0_52/" TargetMode="External"/></Relationships>
</file>

<file path=xl/worksheets/_rels/sheet27.xml.rels><?xml version="1.0" encoding="UTF-8" standalone="yes"?>
<Relationships xmlns="http://schemas.openxmlformats.org/package/2006/relationships"><Relationship Id="rId1" Type="http://schemas.openxmlformats.org/officeDocument/2006/relationships/hyperlink" Target="https://tinko.ru/catalog/product/270683/"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s://125mkm.ru/catalog/opticheskiy-kabel/broinirovannyy-opticheskiy-kabel/kabel-opticheskiy-sl-okmb-03-mnogomodovyy-bronirovannyy/22014/" TargetMode="External"/></Relationships>
</file>

<file path=xl/worksheets/_rels/sheet30.xml.rels><?xml version="1.0" encoding="UTF-8" standalone="yes"?>
<Relationships xmlns="http://schemas.openxmlformats.org/package/2006/relationships"><Relationship Id="rId1" Type="http://schemas.openxmlformats.org/officeDocument/2006/relationships/hyperlink" Target="https://www.etm.ru/cat/nn/2282177" TargetMode="External"/></Relationships>
</file>

<file path=xl/worksheets/_rels/sheet3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rosarmatorg.ru/" TargetMode="External"/></Relationships>
</file>

<file path=xl/worksheets/_rels/sheet4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1.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5.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activeCell="E22" sqref="E21:E22"/>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63" t="s">
        <v>3757</v>
      </c>
      <c r="B2" s="63"/>
      <c r="C2" s="63"/>
      <c r="D2" s="63"/>
      <c r="E2" s="63"/>
      <c r="F2" s="63"/>
      <c r="G2" s="63"/>
      <c r="H2" s="63"/>
      <c r="I2" s="63"/>
      <c r="J2" s="63"/>
      <c r="K2" s="63"/>
      <c r="L2" s="63"/>
      <c r="M2" s="63"/>
      <c r="N2" s="63"/>
      <c r="O2" s="63"/>
      <c r="P2" s="63"/>
      <c r="Q2" s="63"/>
      <c r="R2" s="63"/>
      <c r="S2" s="63"/>
      <c r="T2" s="63"/>
      <c r="U2" s="63"/>
    </row>
    <row r="3" spans="1:25" ht="14.45" customHeight="1" x14ac:dyDescent="0.25">
      <c r="A3" s="64"/>
      <c r="B3" s="64"/>
      <c r="C3" s="64"/>
      <c r="D3" s="64"/>
      <c r="E3" s="64"/>
      <c r="F3" s="64"/>
      <c r="G3" s="64"/>
      <c r="H3" s="64"/>
      <c r="I3" s="64"/>
      <c r="J3" s="64"/>
      <c r="K3" s="64"/>
      <c r="L3" s="64"/>
      <c r="M3" s="64"/>
      <c r="N3" s="64"/>
      <c r="O3" s="64"/>
      <c r="P3" s="64"/>
      <c r="Q3" s="64"/>
      <c r="R3" s="64"/>
      <c r="S3" s="64"/>
      <c r="T3" s="64"/>
      <c r="U3" s="64"/>
    </row>
    <row r="4" spans="1:25" ht="14.25" customHeight="1" x14ac:dyDescent="0.25">
      <c r="A4" s="65" t="s">
        <v>0</v>
      </c>
      <c r="B4" s="65"/>
      <c r="C4" s="65"/>
      <c r="D4" s="65"/>
      <c r="E4" s="65"/>
      <c r="F4" s="65"/>
      <c r="G4" s="65"/>
      <c r="H4" s="65"/>
      <c r="I4" s="65"/>
      <c r="J4" s="65"/>
      <c r="K4" s="65"/>
      <c r="L4" s="65"/>
      <c r="M4" s="65"/>
      <c r="N4" s="65"/>
      <c r="O4" s="65"/>
      <c r="P4" s="65"/>
      <c r="Q4" s="65"/>
      <c r="R4" s="65"/>
      <c r="S4" s="65"/>
      <c r="T4" s="65"/>
      <c r="U4" s="65"/>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66" t="s">
        <v>1</v>
      </c>
      <c r="B6" s="66"/>
      <c r="C6" s="66"/>
      <c r="D6" s="66"/>
      <c r="E6" s="66"/>
      <c r="F6" s="66"/>
      <c r="G6" s="66"/>
      <c r="H6" s="66"/>
      <c r="I6" s="66"/>
      <c r="J6" s="66"/>
      <c r="K6" s="66"/>
      <c r="L6" s="66"/>
      <c r="M6" s="66"/>
      <c r="N6" s="66"/>
      <c r="O6" s="66"/>
      <c r="P6" s="66"/>
      <c r="Q6" s="66"/>
      <c r="R6" s="66"/>
      <c r="S6" s="66"/>
      <c r="T6" s="66"/>
      <c r="U6" s="66"/>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67" t="s">
        <v>3756</v>
      </c>
      <c r="B8" s="67"/>
      <c r="C8" s="67"/>
      <c r="D8" s="67"/>
      <c r="E8" s="67"/>
      <c r="F8" s="67"/>
      <c r="G8" s="67"/>
      <c r="H8" s="67"/>
      <c r="I8" s="67"/>
      <c r="J8" s="67"/>
      <c r="K8" s="67"/>
      <c r="L8" s="67"/>
      <c r="M8" s="67"/>
      <c r="N8" s="67"/>
      <c r="O8" s="67"/>
      <c r="P8" s="67"/>
      <c r="Q8" s="67"/>
      <c r="R8" s="67"/>
      <c r="S8" s="67"/>
      <c r="T8" s="67"/>
      <c r="U8" s="67"/>
    </row>
    <row r="9" spans="1:25" ht="14.45" customHeight="1" x14ac:dyDescent="0.25">
      <c r="A9" s="68" t="s">
        <v>2</v>
      </c>
      <c r="B9" s="68"/>
      <c r="C9" s="68"/>
      <c r="D9" s="68"/>
      <c r="E9" s="68"/>
      <c r="F9" s="68"/>
      <c r="G9" s="68"/>
      <c r="H9" s="68"/>
      <c r="I9" s="68"/>
      <c r="J9" s="68"/>
      <c r="K9" s="68"/>
      <c r="L9" s="68"/>
      <c r="M9" s="68"/>
      <c r="N9" s="68"/>
      <c r="O9" s="68"/>
      <c r="P9" s="68"/>
      <c r="Q9" s="68"/>
      <c r="R9" s="68"/>
      <c r="S9" s="68"/>
      <c r="T9" s="68"/>
      <c r="U9" s="68"/>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69" t="s">
        <v>3</v>
      </c>
      <c r="B11" s="55" t="s">
        <v>4</v>
      </c>
      <c r="C11" s="56" t="s">
        <v>5</v>
      </c>
      <c r="D11" s="60" t="s">
        <v>6</v>
      </c>
      <c r="E11" s="56" t="s">
        <v>7</v>
      </c>
      <c r="F11" s="56" t="s">
        <v>8</v>
      </c>
      <c r="G11" s="58" t="s">
        <v>9</v>
      </c>
      <c r="H11" s="62" t="s">
        <v>10</v>
      </c>
      <c r="I11" s="62" t="s">
        <v>11</v>
      </c>
      <c r="J11" s="62" t="s">
        <v>12</v>
      </c>
      <c r="K11" s="62"/>
      <c r="L11" s="62" t="s">
        <v>13</v>
      </c>
      <c r="M11" s="55" t="s">
        <v>14</v>
      </c>
      <c r="N11" s="55" t="s">
        <v>15</v>
      </c>
      <c r="O11" s="55" t="s">
        <v>16</v>
      </c>
      <c r="P11" s="55" t="s">
        <v>17</v>
      </c>
      <c r="Q11" s="55" t="s">
        <v>18</v>
      </c>
      <c r="R11" s="70" t="s">
        <v>19</v>
      </c>
      <c r="S11" s="55" t="s">
        <v>20</v>
      </c>
      <c r="T11" s="55" t="s">
        <v>21</v>
      </c>
      <c r="U11" s="56" t="s">
        <v>22</v>
      </c>
    </row>
    <row r="12" spans="1:25" ht="106.5" customHeight="1" x14ac:dyDescent="0.25">
      <c r="A12" s="69"/>
      <c r="B12" s="55"/>
      <c r="C12" s="57"/>
      <c r="D12" s="61"/>
      <c r="E12" s="57"/>
      <c r="F12" s="57"/>
      <c r="G12" s="59"/>
      <c r="H12" s="62"/>
      <c r="I12" s="62"/>
      <c r="J12" s="18" t="s">
        <v>23</v>
      </c>
      <c r="K12" s="18" t="s">
        <v>24</v>
      </c>
      <c r="L12" s="62"/>
      <c r="M12" s="55"/>
      <c r="N12" s="55"/>
      <c r="O12" s="55"/>
      <c r="P12" s="55"/>
      <c r="Q12" s="55"/>
      <c r="R12" s="70"/>
      <c r="S12" s="55"/>
      <c r="T12" s="55"/>
      <c r="U12" s="57"/>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c r="X13" t="s">
        <v>3566</v>
      </c>
      <c r="Y13" t="s">
        <v>3565</v>
      </c>
    </row>
  </sheetData>
  <mergeCells count="25">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 ref="Q11:Q12"/>
    <mergeCell ref="E11:E12"/>
    <mergeCell ref="F11:F12"/>
    <mergeCell ref="G11:G12"/>
    <mergeCell ref="D11:D12"/>
    <mergeCell ref="I11:I12"/>
    <mergeCell ref="J11:K11"/>
    <mergeCell ref="O11:O12"/>
    <mergeCell ref="P11:P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U58"/>
  <sheetViews>
    <sheetView topLeftCell="A13" zoomScale="70" zoomScaleNormal="70" workbookViewId="0">
      <selection activeCell="D48" sqref="D48"/>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63"/>
      <c r="B2" s="63"/>
      <c r="C2" s="63"/>
      <c r="D2" s="63"/>
      <c r="E2" s="63"/>
      <c r="F2" s="63"/>
      <c r="G2" s="63"/>
      <c r="H2" s="63"/>
      <c r="I2" s="63"/>
      <c r="J2" s="63"/>
      <c r="K2" s="63"/>
      <c r="L2" s="63"/>
      <c r="M2" s="63"/>
      <c r="N2" s="63"/>
      <c r="O2" s="63"/>
      <c r="P2" s="63"/>
      <c r="Q2" s="63"/>
      <c r="R2" s="63"/>
      <c r="S2" s="63"/>
      <c r="T2" s="63"/>
      <c r="U2" s="63"/>
    </row>
    <row r="3" spans="1:21" x14ac:dyDescent="0.25">
      <c r="A3" s="64"/>
      <c r="B3" s="64"/>
      <c r="C3" s="64"/>
      <c r="D3" s="64"/>
      <c r="E3" s="64"/>
      <c r="F3" s="64"/>
      <c r="G3" s="64"/>
      <c r="H3" s="64"/>
      <c r="I3" s="64"/>
      <c r="J3" s="64"/>
      <c r="K3" s="64"/>
      <c r="L3" s="64"/>
      <c r="M3" s="64"/>
      <c r="N3" s="64"/>
      <c r="O3" s="64"/>
      <c r="P3" s="64"/>
      <c r="Q3" s="64"/>
      <c r="R3" s="64"/>
      <c r="S3" s="64"/>
      <c r="T3" s="64"/>
      <c r="U3" s="64"/>
    </row>
    <row r="4" spans="1:21" x14ac:dyDescent="0.25">
      <c r="A4" s="65" t="s">
        <v>0</v>
      </c>
      <c r="B4" s="65"/>
      <c r="C4" s="65"/>
      <c r="D4" s="65"/>
      <c r="E4" s="65"/>
      <c r="F4" s="65"/>
      <c r="G4" s="65"/>
      <c r="H4" s="65"/>
      <c r="I4" s="65"/>
      <c r="J4" s="65"/>
      <c r="K4" s="65"/>
      <c r="L4" s="65"/>
      <c r="M4" s="65"/>
      <c r="N4" s="65"/>
      <c r="O4" s="65"/>
      <c r="P4" s="65"/>
      <c r="Q4" s="65"/>
      <c r="R4" s="65"/>
      <c r="S4" s="65"/>
      <c r="T4" s="65"/>
      <c r="U4" s="65"/>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66" t="s">
        <v>1</v>
      </c>
      <c r="B6" s="66"/>
      <c r="C6" s="66"/>
      <c r="D6" s="66"/>
      <c r="E6" s="66"/>
      <c r="F6" s="66"/>
      <c r="G6" s="66"/>
      <c r="H6" s="66"/>
      <c r="I6" s="66"/>
      <c r="J6" s="66"/>
      <c r="K6" s="66"/>
      <c r="L6" s="66"/>
      <c r="M6" s="66"/>
      <c r="N6" s="66"/>
      <c r="O6" s="66"/>
      <c r="P6" s="66"/>
      <c r="Q6" s="66"/>
      <c r="R6" s="66"/>
      <c r="S6" s="66"/>
      <c r="T6" s="66"/>
      <c r="U6" s="66"/>
    </row>
    <row r="7" spans="1:21" ht="18.75" x14ac:dyDescent="0.25">
      <c r="A7" s="9"/>
      <c r="B7" s="53"/>
      <c r="C7" s="53"/>
      <c r="D7" s="53"/>
      <c r="E7" s="11"/>
      <c r="F7" s="53"/>
      <c r="G7" s="53"/>
      <c r="H7" s="12"/>
      <c r="I7" s="12"/>
      <c r="J7" s="12"/>
      <c r="K7" s="12"/>
      <c r="L7" s="12"/>
      <c r="M7" s="12"/>
      <c r="N7" s="53"/>
      <c r="O7" s="53"/>
      <c r="P7" s="53"/>
      <c r="Q7" s="53"/>
      <c r="R7" s="53"/>
      <c r="S7" s="13"/>
      <c r="T7" s="53"/>
      <c r="U7" s="53"/>
    </row>
    <row r="8" spans="1:21" ht="15.75" x14ac:dyDescent="0.25">
      <c r="A8" s="67"/>
      <c r="B8" s="67"/>
      <c r="C8" s="67"/>
      <c r="D8" s="67"/>
      <c r="E8" s="67"/>
      <c r="F8" s="67"/>
      <c r="G8" s="67"/>
      <c r="H8" s="67"/>
      <c r="I8" s="67"/>
      <c r="J8" s="67"/>
      <c r="K8" s="67"/>
      <c r="L8" s="67"/>
      <c r="M8" s="67"/>
      <c r="N8" s="67"/>
      <c r="O8" s="67"/>
      <c r="P8" s="67"/>
      <c r="Q8" s="67"/>
      <c r="R8" s="67"/>
      <c r="S8" s="67"/>
      <c r="T8" s="67"/>
      <c r="U8" s="67"/>
    </row>
    <row r="9" spans="1:21" x14ac:dyDescent="0.25">
      <c r="A9" s="68" t="s">
        <v>2</v>
      </c>
      <c r="B9" s="68"/>
      <c r="C9" s="68"/>
      <c r="D9" s="68"/>
      <c r="E9" s="68"/>
      <c r="F9" s="68"/>
      <c r="G9" s="68"/>
      <c r="H9" s="68"/>
      <c r="I9" s="68"/>
      <c r="J9" s="68"/>
      <c r="K9" s="68"/>
      <c r="L9" s="68"/>
      <c r="M9" s="68"/>
      <c r="N9" s="68"/>
      <c r="O9" s="68"/>
      <c r="P9" s="68"/>
      <c r="Q9" s="68"/>
      <c r="R9" s="68"/>
      <c r="S9" s="68"/>
      <c r="T9" s="68"/>
      <c r="U9" s="68"/>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ht="80.25" customHeight="1" x14ac:dyDescent="0.25">
      <c r="A11" s="69" t="s">
        <v>3</v>
      </c>
      <c r="B11" s="55" t="s">
        <v>4</v>
      </c>
      <c r="C11" s="22"/>
      <c r="D11" s="24"/>
      <c r="E11" s="22"/>
      <c r="F11" s="22"/>
      <c r="G11" s="23"/>
      <c r="H11" s="62" t="s">
        <v>10</v>
      </c>
      <c r="I11" s="62" t="s">
        <v>11</v>
      </c>
      <c r="J11" s="62" t="s">
        <v>12</v>
      </c>
      <c r="K11" s="62"/>
      <c r="L11" s="62" t="s">
        <v>13</v>
      </c>
      <c r="M11" s="55" t="s">
        <v>14</v>
      </c>
      <c r="N11" s="55" t="s">
        <v>15</v>
      </c>
      <c r="O11" s="55" t="s">
        <v>16</v>
      </c>
      <c r="P11" s="55" t="s">
        <v>17</v>
      </c>
      <c r="Q11" s="55" t="s">
        <v>18</v>
      </c>
      <c r="R11" s="70" t="s">
        <v>19</v>
      </c>
      <c r="S11" s="55" t="s">
        <v>20</v>
      </c>
      <c r="T11" s="55" t="s">
        <v>21</v>
      </c>
      <c r="U11" s="22"/>
    </row>
    <row r="12" spans="1:21" ht="230.25" x14ac:dyDescent="0.25">
      <c r="A12" s="69"/>
      <c r="B12" s="55"/>
      <c r="C12" s="22" t="s">
        <v>5</v>
      </c>
      <c r="D12" s="24" t="s">
        <v>6</v>
      </c>
      <c r="E12" s="22" t="s">
        <v>7</v>
      </c>
      <c r="F12" s="22" t="s">
        <v>8</v>
      </c>
      <c r="G12" s="23" t="s">
        <v>9</v>
      </c>
      <c r="H12" s="62"/>
      <c r="I12" s="62"/>
      <c r="J12" s="18" t="s">
        <v>23</v>
      </c>
      <c r="K12" s="18" t="s">
        <v>24</v>
      </c>
      <c r="L12" s="62"/>
      <c r="M12" s="55"/>
      <c r="N12" s="55"/>
      <c r="O12" s="55"/>
      <c r="P12" s="55"/>
      <c r="Q12" s="55"/>
      <c r="R12" s="70"/>
      <c r="S12" s="55"/>
      <c r="T12" s="55"/>
      <c r="U12" s="22" t="s">
        <v>22</v>
      </c>
    </row>
    <row r="13" spans="1:21" x14ac:dyDescent="0.25">
      <c r="A13" s="54">
        <v>1</v>
      </c>
      <c r="B13" s="20">
        <v>2</v>
      </c>
      <c r="C13" s="20">
        <v>3</v>
      </c>
      <c r="D13" s="5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ht="75" x14ac:dyDescent="0.25">
      <c r="A14" s="49">
        <v>1</v>
      </c>
      <c r="B14" s="47" t="s">
        <v>3759</v>
      </c>
      <c r="C14" s="47" t="s">
        <v>3567</v>
      </c>
      <c r="D14" s="48" t="s">
        <v>3576</v>
      </c>
      <c r="E14" s="47" t="s">
        <v>3552</v>
      </c>
      <c r="F14" s="47">
        <v>4</v>
      </c>
      <c r="G14" s="47" t="s">
        <v>3568</v>
      </c>
      <c r="H14" s="47">
        <v>6910.8333333333339</v>
      </c>
      <c r="I14" s="47"/>
      <c r="J14" s="47"/>
      <c r="K14" s="47"/>
      <c r="L14" s="47">
        <v>6910.8333333333339</v>
      </c>
      <c r="M14" s="47"/>
      <c r="N14" s="47"/>
      <c r="O14" s="47" t="s">
        <v>37</v>
      </c>
      <c r="P14" s="47">
        <v>7806155468</v>
      </c>
      <c r="Q14" s="47">
        <v>780601001</v>
      </c>
      <c r="R14" s="47" t="s">
        <v>38</v>
      </c>
      <c r="S14" s="47" t="s">
        <v>39</v>
      </c>
      <c r="T14" s="47">
        <v>1</v>
      </c>
      <c r="U14" s="30" t="s">
        <v>3569</v>
      </c>
    </row>
    <row r="15" spans="1:21" x14ac:dyDescent="0.25">
      <c r="A15" s="49" t="s">
        <v>3575</v>
      </c>
      <c r="B15" s="47" t="s">
        <v>3760</v>
      </c>
      <c r="C15" s="47" t="s">
        <v>3571</v>
      </c>
      <c r="D15" s="47" t="s">
        <v>3572</v>
      </c>
      <c r="E15" s="47" t="s">
        <v>3552</v>
      </c>
      <c r="F15" s="47">
        <v>1</v>
      </c>
      <c r="G15" s="47">
        <v>90000</v>
      </c>
      <c r="H15" s="47">
        <v>75000</v>
      </c>
      <c r="I15" s="47"/>
      <c r="J15" s="47"/>
      <c r="K15" s="47"/>
      <c r="L15" s="47">
        <v>75000</v>
      </c>
      <c r="M15" s="47"/>
      <c r="N15" s="47"/>
      <c r="O15" s="47" t="s">
        <v>40</v>
      </c>
      <c r="P15" s="47">
        <v>7839109650</v>
      </c>
      <c r="Q15" s="47">
        <v>783901001</v>
      </c>
      <c r="R15" s="47" t="s">
        <v>41</v>
      </c>
      <c r="S15" s="47" t="s">
        <v>39</v>
      </c>
      <c r="T15" s="47">
        <v>2</v>
      </c>
      <c r="U15" s="30" t="s">
        <v>3573</v>
      </c>
    </row>
    <row r="16" spans="1:21" x14ac:dyDescent="0.25">
      <c r="A16" s="49" t="s">
        <v>3579</v>
      </c>
      <c r="B16" s="47" t="s">
        <v>3760</v>
      </c>
      <c r="C16" s="47" t="s">
        <v>3577</v>
      </c>
      <c r="D16" s="47" t="s">
        <v>3578</v>
      </c>
      <c r="E16" s="47" t="s">
        <v>3552</v>
      </c>
      <c r="F16" s="47">
        <v>1</v>
      </c>
      <c r="G16" s="47">
        <v>540000</v>
      </c>
      <c r="H16" s="47">
        <v>450000</v>
      </c>
      <c r="I16" s="47"/>
      <c r="J16" s="47"/>
      <c r="K16" s="47"/>
      <c r="L16" s="47">
        <v>450000</v>
      </c>
      <c r="M16" s="47"/>
      <c r="N16" s="47"/>
      <c r="O16" s="47" t="s">
        <v>40</v>
      </c>
      <c r="P16" s="47">
        <v>7839109650</v>
      </c>
      <c r="Q16" s="47">
        <v>783901001</v>
      </c>
      <c r="R16" s="47" t="s">
        <v>41</v>
      </c>
      <c r="S16" s="47" t="s">
        <v>39</v>
      </c>
      <c r="T16" s="47">
        <v>2</v>
      </c>
      <c r="U16" s="30" t="s">
        <v>3573</v>
      </c>
    </row>
    <row r="17" spans="1:21" x14ac:dyDescent="0.25">
      <c r="A17" s="49" t="s">
        <v>3582</v>
      </c>
      <c r="B17" s="47" t="s">
        <v>3760</v>
      </c>
      <c r="C17" s="47" t="s">
        <v>3580</v>
      </c>
      <c r="D17" s="47" t="s">
        <v>3581</v>
      </c>
      <c r="E17" s="47" t="s">
        <v>3552</v>
      </c>
      <c r="F17" s="47">
        <v>1</v>
      </c>
      <c r="G17" s="47">
        <v>396000</v>
      </c>
      <c r="H17" s="47">
        <v>330000</v>
      </c>
      <c r="I17" s="47"/>
      <c r="J17" s="47"/>
      <c r="K17" s="47"/>
      <c r="L17" s="47">
        <v>330000</v>
      </c>
      <c r="M17" s="47"/>
      <c r="N17" s="47"/>
      <c r="O17" s="47" t="s">
        <v>40</v>
      </c>
      <c r="P17" s="47">
        <v>7839109650</v>
      </c>
      <c r="Q17" s="47">
        <v>783901001</v>
      </c>
      <c r="R17" s="47" t="s">
        <v>41</v>
      </c>
      <c r="S17" s="47" t="s">
        <v>39</v>
      </c>
      <c r="T17" s="47">
        <v>2</v>
      </c>
      <c r="U17" s="30" t="s">
        <v>3573</v>
      </c>
    </row>
    <row r="18" spans="1:21" x14ac:dyDescent="0.25">
      <c r="A18" s="49" t="s">
        <v>3586</v>
      </c>
      <c r="B18" s="47" t="s">
        <v>3761</v>
      </c>
      <c r="C18" s="47" t="s">
        <v>3583</v>
      </c>
      <c r="D18" s="47" t="s">
        <v>3584</v>
      </c>
      <c r="E18" s="47" t="s">
        <v>3552</v>
      </c>
      <c r="F18" s="47">
        <v>1</v>
      </c>
      <c r="G18" s="47">
        <v>27000</v>
      </c>
      <c r="H18" s="47">
        <v>22500</v>
      </c>
      <c r="I18" s="47"/>
      <c r="J18" s="47"/>
      <c r="K18" s="47"/>
      <c r="L18" s="47">
        <v>22500</v>
      </c>
      <c r="M18" s="47"/>
      <c r="N18" s="47"/>
      <c r="O18" s="47" t="s">
        <v>40</v>
      </c>
      <c r="P18" s="47">
        <v>7839109650</v>
      </c>
      <c r="Q18" s="47">
        <v>783901001</v>
      </c>
      <c r="R18" s="47" t="s">
        <v>41</v>
      </c>
      <c r="S18" s="47" t="s">
        <v>39</v>
      </c>
      <c r="T18" s="47">
        <v>2</v>
      </c>
      <c r="U18" s="30" t="s">
        <v>3573</v>
      </c>
    </row>
    <row r="19" spans="1:21" x14ac:dyDescent="0.25">
      <c r="A19" s="49" t="s">
        <v>3590</v>
      </c>
      <c r="B19" s="47" t="s">
        <v>3762</v>
      </c>
      <c r="C19" s="47" t="s">
        <v>3587</v>
      </c>
      <c r="D19" s="47" t="s">
        <v>3588</v>
      </c>
      <c r="E19" s="47" t="s">
        <v>3552</v>
      </c>
      <c r="F19" s="47">
        <v>1</v>
      </c>
      <c r="G19" s="47">
        <v>540000</v>
      </c>
      <c r="H19" s="47">
        <v>450000</v>
      </c>
      <c r="I19" s="47"/>
      <c r="J19" s="47"/>
      <c r="K19" s="47"/>
      <c r="L19" s="47">
        <v>450000</v>
      </c>
      <c r="M19" s="47"/>
      <c r="N19" s="47"/>
      <c r="O19" s="47" t="s">
        <v>40</v>
      </c>
      <c r="P19" s="47">
        <v>7839109650</v>
      </c>
      <c r="Q19" s="47">
        <v>783901001</v>
      </c>
      <c r="R19" s="47" t="s">
        <v>41</v>
      </c>
      <c r="S19" s="47" t="s">
        <v>39</v>
      </c>
      <c r="T19" s="47">
        <v>2</v>
      </c>
      <c r="U19" s="30" t="s">
        <v>3573</v>
      </c>
    </row>
    <row r="20" spans="1:21" x14ac:dyDescent="0.25">
      <c r="A20" s="49" t="s">
        <v>3602</v>
      </c>
      <c r="B20" s="47" t="s">
        <v>3763</v>
      </c>
      <c r="C20" s="47" t="s">
        <v>3597</v>
      </c>
      <c r="D20" s="47" t="s">
        <v>3597</v>
      </c>
      <c r="E20" s="47" t="s">
        <v>3598</v>
      </c>
      <c r="F20" s="47">
        <v>969</v>
      </c>
      <c r="G20" s="47" t="s">
        <v>3599</v>
      </c>
      <c r="H20" s="47">
        <v>36.208333333333336</v>
      </c>
      <c r="I20" s="47"/>
      <c r="J20" s="47"/>
      <c r="K20" s="47"/>
      <c r="L20" s="47">
        <v>36.208333333333336</v>
      </c>
      <c r="M20" s="47"/>
      <c r="N20" s="47"/>
      <c r="O20" s="47" t="s">
        <v>3591</v>
      </c>
      <c r="P20" s="47">
        <v>9710008385</v>
      </c>
      <c r="Q20" s="47">
        <v>324501001</v>
      </c>
      <c r="R20" s="50" t="s">
        <v>3614</v>
      </c>
      <c r="S20" s="47" t="s">
        <v>39</v>
      </c>
      <c r="T20" s="47">
        <v>2</v>
      </c>
      <c r="U20" s="30" t="s">
        <v>3573</v>
      </c>
    </row>
    <row r="21" spans="1:21" x14ac:dyDescent="0.25">
      <c r="A21" s="49" t="s">
        <v>3603</v>
      </c>
      <c r="B21" s="51" t="s">
        <v>3764</v>
      </c>
      <c r="C21" s="51" t="s">
        <v>3597</v>
      </c>
      <c r="D21" s="51" t="s">
        <v>3597</v>
      </c>
      <c r="E21" s="51" t="s">
        <v>3598</v>
      </c>
      <c r="F21" s="51">
        <v>969</v>
      </c>
      <c r="G21" s="51">
        <v>46.74</v>
      </c>
      <c r="H21" s="51">
        <v>38.950000000000003</v>
      </c>
      <c r="I21" s="51"/>
      <c r="J21" s="51"/>
      <c r="K21" s="51"/>
      <c r="L21" s="51">
        <v>38.950000000000003</v>
      </c>
      <c r="M21" s="51"/>
      <c r="N21" s="51"/>
      <c r="O21" s="51" t="s">
        <v>3593</v>
      </c>
      <c r="P21" s="51">
        <v>7721801761</v>
      </c>
      <c r="Q21" s="51">
        <v>772001001</v>
      </c>
      <c r="R21" s="52" t="s">
        <v>3616</v>
      </c>
      <c r="S21" s="51" t="s">
        <v>2408</v>
      </c>
      <c r="T21" s="51">
        <v>2</v>
      </c>
      <c r="U21" t="s">
        <v>3573</v>
      </c>
    </row>
    <row r="22" spans="1:21" x14ac:dyDescent="0.25">
      <c r="A22" s="49" t="s">
        <v>3604</v>
      </c>
      <c r="B22" s="51" t="s">
        <v>3765</v>
      </c>
      <c r="C22" s="51" t="s">
        <v>3597</v>
      </c>
      <c r="D22" s="51" t="s">
        <v>3597</v>
      </c>
      <c r="E22" s="51" t="s">
        <v>3598</v>
      </c>
      <c r="F22" s="51">
        <v>969</v>
      </c>
      <c r="G22" s="51">
        <v>96.36</v>
      </c>
      <c r="H22" s="51">
        <v>80.3</v>
      </c>
      <c r="I22" s="51"/>
      <c r="J22" s="51"/>
      <c r="K22" s="51"/>
      <c r="L22" s="51">
        <v>80.3</v>
      </c>
      <c r="M22" s="51"/>
      <c r="N22" s="51"/>
      <c r="O22" s="51" t="s">
        <v>3596</v>
      </c>
      <c r="P22" s="51">
        <v>5050098030</v>
      </c>
      <c r="Q22" s="51">
        <v>505001001</v>
      </c>
      <c r="R22" s="52" t="s">
        <v>3615</v>
      </c>
      <c r="S22" s="51" t="s">
        <v>2408</v>
      </c>
      <c r="T22" s="51">
        <v>2</v>
      </c>
      <c r="U22" t="s">
        <v>3601</v>
      </c>
    </row>
    <row r="23" spans="1:21" x14ac:dyDescent="0.25">
      <c r="A23" s="49" t="s">
        <v>3608</v>
      </c>
      <c r="B23" s="47" t="s">
        <v>3764</v>
      </c>
      <c r="C23" s="47" t="s">
        <v>3605</v>
      </c>
      <c r="D23" s="47" t="s">
        <v>3605</v>
      </c>
      <c r="E23" s="47" t="s">
        <v>3598</v>
      </c>
      <c r="F23" s="47">
        <v>35</v>
      </c>
      <c r="G23" s="47">
        <v>69.08</v>
      </c>
      <c r="H23" s="47">
        <v>57.56666666666667</v>
      </c>
      <c r="I23" s="47"/>
      <c r="J23" s="47"/>
      <c r="K23" s="47"/>
      <c r="L23" s="47">
        <v>57.56666666666667</v>
      </c>
      <c r="M23" s="47"/>
      <c r="N23" s="47"/>
      <c r="O23" s="47" t="s">
        <v>3593</v>
      </c>
      <c r="P23" s="47">
        <v>7721801761</v>
      </c>
      <c r="Q23" s="47">
        <v>772001001</v>
      </c>
      <c r="R23" s="50" t="s">
        <v>3613</v>
      </c>
      <c r="S23" s="47" t="s">
        <v>2408</v>
      </c>
      <c r="T23" s="47">
        <v>2</v>
      </c>
      <c r="U23" s="30" t="s">
        <v>3573</v>
      </c>
    </row>
    <row r="24" spans="1:21" x14ac:dyDescent="0.25">
      <c r="A24" s="49" t="s">
        <v>3609</v>
      </c>
      <c r="B24" s="51" t="s">
        <v>3763</v>
      </c>
      <c r="C24" s="51" t="s">
        <v>3605</v>
      </c>
      <c r="D24" s="51" t="s">
        <v>3605</v>
      </c>
      <c r="E24" s="51" t="s">
        <v>3598</v>
      </c>
      <c r="F24" s="51">
        <v>35</v>
      </c>
      <c r="G24" s="51" t="s">
        <v>3606</v>
      </c>
      <c r="H24" s="51">
        <v>61.041666666666671</v>
      </c>
      <c r="I24" s="51"/>
      <c r="J24" s="51"/>
      <c r="K24" s="51"/>
      <c r="L24" s="51">
        <v>61.041666666666671</v>
      </c>
      <c r="M24" s="51"/>
      <c r="N24" s="51"/>
      <c r="O24" s="51" t="s">
        <v>3591</v>
      </c>
      <c r="P24" s="51">
        <v>9710008385</v>
      </c>
      <c r="Q24" s="51">
        <v>324501001</v>
      </c>
      <c r="R24" s="52" t="s">
        <v>3612</v>
      </c>
      <c r="S24" s="51" t="s">
        <v>39</v>
      </c>
      <c r="T24" s="51">
        <v>2</v>
      </c>
      <c r="U24" t="s">
        <v>3573</v>
      </c>
    </row>
    <row r="25" spans="1:21" x14ac:dyDescent="0.25">
      <c r="A25" s="49" t="s">
        <v>3610</v>
      </c>
      <c r="B25" s="51" t="s">
        <v>3766</v>
      </c>
      <c r="C25" s="51" t="s">
        <v>3605</v>
      </c>
      <c r="D25" s="51" t="s">
        <v>3605</v>
      </c>
      <c r="E25" s="51" t="s">
        <v>3598</v>
      </c>
      <c r="F25" s="51">
        <v>35</v>
      </c>
      <c r="G25" s="51" t="s">
        <v>3607</v>
      </c>
      <c r="H25" s="51">
        <v>67.533333333333346</v>
      </c>
      <c r="I25" s="51"/>
      <c r="J25" s="51"/>
      <c r="K25" s="51"/>
      <c r="L25" s="51">
        <v>67.533333333333346</v>
      </c>
      <c r="M25" s="51"/>
      <c r="N25" s="51"/>
      <c r="O25" s="51" t="s">
        <v>44</v>
      </c>
      <c r="P25" s="51">
        <v>7804274156</v>
      </c>
      <c r="Q25" s="51">
        <v>780401001</v>
      </c>
      <c r="R25" s="52" t="s">
        <v>3611</v>
      </c>
      <c r="S25" s="51" t="s">
        <v>39</v>
      </c>
      <c r="T25" s="51">
        <v>2</v>
      </c>
      <c r="U25" t="s">
        <v>3601</v>
      </c>
    </row>
    <row r="26" spans="1:21" ht="20.25" customHeight="1" x14ac:dyDescent="0.25">
      <c r="A26" s="49" t="s">
        <v>3623</v>
      </c>
      <c r="B26" s="47" t="s">
        <v>3767</v>
      </c>
      <c r="C26" s="47" t="s">
        <v>3621</v>
      </c>
      <c r="D26" s="47" t="s">
        <v>3621</v>
      </c>
      <c r="E26" s="47" t="s">
        <v>3598</v>
      </c>
      <c r="F26" s="47">
        <v>400</v>
      </c>
      <c r="G26" s="47">
        <v>68.5</v>
      </c>
      <c r="H26" s="47">
        <v>57.083333333333336</v>
      </c>
      <c r="I26" s="47"/>
      <c r="J26" s="47"/>
      <c r="K26" s="47"/>
      <c r="L26" s="47">
        <v>57.083333333333336</v>
      </c>
      <c r="M26" s="47"/>
      <c r="N26" s="47"/>
      <c r="O26" s="47" t="s">
        <v>3617</v>
      </c>
      <c r="P26" s="47">
        <v>7720413452</v>
      </c>
      <c r="Q26" s="47">
        <v>772001001</v>
      </c>
      <c r="R26" s="50" t="s">
        <v>3640</v>
      </c>
      <c r="S26" s="47" t="s">
        <v>2408</v>
      </c>
      <c r="T26" s="47">
        <v>2</v>
      </c>
      <c r="U26" s="30" t="s">
        <v>3573</v>
      </c>
    </row>
    <row r="27" spans="1:21" ht="18.75" customHeight="1" x14ac:dyDescent="0.25">
      <c r="A27" s="49" t="s">
        <v>3624</v>
      </c>
      <c r="B27" s="51" t="s">
        <v>3768</v>
      </c>
      <c r="C27" s="51" t="s">
        <v>3621</v>
      </c>
      <c r="D27" s="51" t="s">
        <v>3621</v>
      </c>
      <c r="E27" s="51" t="s">
        <v>3598</v>
      </c>
      <c r="F27" s="51">
        <v>400</v>
      </c>
      <c r="G27" s="51">
        <v>146.37</v>
      </c>
      <c r="H27" s="51">
        <v>121.97500000000001</v>
      </c>
      <c r="I27" s="51"/>
      <c r="J27" s="51"/>
      <c r="K27" s="51"/>
      <c r="L27" s="51">
        <v>121.97500000000001</v>
      </c>
      <c r="M27" s="51"/>
      <c r="N27" s="51"/>
      <c r="O27" s="51" t="s">
        <v>3619</v>
      </c>
      <c r="P27" s="51">
        <v>7804526942</v>
      </c>
      <c r="Q27" s="51">
        <v>780201001</v>
      </c>
      <c r="R27" s="52" t="s">
        <v>3639</v>
      </c>
      <c r="S27" s="51" t="s">
        <v>39</v>
      </c>
      <c r="T27" s="51">
        <v>2</v>
      </c>
      <c r="U27" t="s">
        <v>3573</v>
      </c>
    </row>
    <row r="28" spans="1:21" ht="14.25" customHeight="1" x14ac:dyDescent="0.25">
      <c r="A28" s="49" t="s">
        <v>3625</v>
      </c>
      <c r="B28" s="51" t="s">
        <v>3769</v>
      </c>
      <c r="C28" s="51" t="s">
        <v>3621</v>
      </c>
      <c r="D28" s="51" t="s">
        <v>3621</v>
      </c>
      <c r="E28" s="51" t="s">
        <v>3598</v>
      </c>
      <c r="F28" s="51">
        <v>400</v>
      </c>
      <c r="G28" s="51">
        <v>225</v>
      </c>
      <c r="H28" s="51">
        <v>187.5</v>
      </c>
      <c r="I28" s="51"/>
      <c r="J28" s="51"/>
      <c r="K28" s="51"/>
      <c r="L28" s="51">
        <v>187.5</v>
      </c>
      <c r="M28" s="51"/>
      <c r="N28" s="51"/>
      <c r="O28" s="51" t="s">
        <v>3593</v>
      </c>
      <c r="P28" s="51">
        <v>7721801761</v>
      </c>
      <c r="Q28" s="51">
        <v>772001001</v>
      </c>
      <c r="R28" s="52" t="s">
        <v>3638</v>
      </c>
      <c r="S28" s="51" t="s">
        <v>2408</v>
      </c>
      <c r="T28" s="51">
        <v>2</v>
      </c>
      <c r="U28" t="s">
        <v>3601</v>
      </c>
    </row>
    <row r="29" spans="1:21" x14ac:dyDescent="0.25">
      <c r="A29" s="49" t="s">
        <v>3632</v>
      </c>
      <c r="B29" s="47" t="s">
        <v>3770</v>
      </c>
      <c r="C29" s="47" t="s">
        <v>3630</v>
      </c>
      <c r="D29" s="47" t="s">
        <v>3630</v>
      </c>
      <c r="E29" s="47" t="s">
        <v>3598</v>
      </c>
      <c r="F29" s="47">
        <v>60</v>
      </c>
      <c r="G29" s="47">
        <v>109</v>
      </c>
      <c r="H29" s="47">
        <v>90.833333333333343</v>
      </c>
      <c r="I29" s="47"/>
      <c r="J29" s="47"/>
      <c r="K29" s="47"/>
      <c r="L29" s="47">
        <v>90.833333333333343</v>
      </c>
      <c r="M29" s="47"/>
      <c r="N29" s="47"/>
      <c r="O29" s="47" t="s">
        <v>44</v>
      </c>
      <c r="P29" s="47">
        <v>7804274156</v>
      </c>
      <c r="Q29" s="47">
        <v>780401001</v>
      </c>
      <c r="R29" s="50" t="s">
        <v>3635</v>
      </c>
      <c r="S29" s="47" t="s">
        <v>39</v>
      </c>
      <c r="T29" s="47">
        <v>2</v>
      </c>
      <c r="U29" s="30" t="s">
        <v>3573</v>
      </c>
    </row>
    <row r="30" spans="1:21" x14ac:dyDescent="0.25">
      <c r="A30" s="49" t="s">
        <v>3633</v>
      </c>
      <c r="B30" s="51" t="s">
        <v>3771</v>
      </c>
      <c r="C30" s="51" t="s">
        <v>3630</v>
      </c>
      <c r="D30" s="51" t="s">
        <v>3630</v>
      </c>
      <c r="E30" s="51" t="s">
        <v>3598</v>
      </c>
      <c r="F30" s="51">
        <v>60</v>
      </c>
      <c r="G30" s="51">
        <v>109.02</v>
      </c>
      <c r="H30" s="51">
        <v>90.85</v>
      </c>
      <c r="I30" s="51"/>
      <c r="J30" s="51"/>
      <c r="K30" s="51"/>
      <c r="L30" s="51">
        <v>90.85</v>
      </c>
      <c r="M30" s="51"/>
      <c r="N30" s="51"/>
      <c r="O30" s="51" t="s">
        <v>3626</v>
      </c>
      <c r="P30" s="51">
        <v>7702680818</v>
      </c>
      <c r="Q30" s="51">
        <v>770201001</v>
      </c>
      <c r="R30" s="52" t="s">
        <v>3636</v>
      </c>
      <c r="S30" s="51" t="s">
        <v>2408</v>
      </c>
      <c r="T30" s="51">
        <v>2</v>
      </c>
      <c r="U30" t="s">
        <v>3573</v>
      </c>
    </row>
    <row r="31" spans="1:21" x14ac:dyDescent="0.25">
      <c r="A31" s="49" t="s">
        <v>3634</v>
      </c>
      <c r="B31" s="51" t="s">
        <v>3772</v>
      </c>
      <c r="C31" s="51" t="s">
        <v>3630</v>
      </c>
      <c r="D31" s="51" t="s">
        <v>3630</v>
      </c>
      <c r="E31" s="51" t="s">
        <v>3598</v>
      </c>
      <c r="F31" s="51">
        <v>60</v>
      </c>
      <c r="G31" s="51">
        <v>109.02</v>
      </c>
      <c r="H31" s="51">
        <v>90.85</v>
      </c>
      <c r="I31" s="51"/>
      <c r="J31" s="51"/>
      <c r="K31" s="51"/>
      <c r="L31" s="51">
        <v>90.85</v>
      </c>
      <c r="M31" s="51"/>
      <c r="N31" s="51"/>
      <c r="O31" s="51" t="s">
        <v>3629</v>
      </c>
      <c r="P31" s="51">
        <v>7810623359</v>
      </c>
      <c r="Q31" s="51">
        <v>781001001</v>
      </c>
      <c r="R31" s="52" t="s">
        <v>3637</v>
      </c>
      <c r="S31" s="51" t="s">
        <v>39</v>
      </c>
      <c r="T31" s="51">
        <v>2</v>
      </c>
      <c r="U31" t="s">
        <v>3601</v>
      </c>
    </row>
    <row r="32" spans="1:21" x14ac:dyDescent="0.25">
      <c r="A32" s="49" t="s">
        <v>3650</v>
      </c>
      <c r="B32" s="47" t="s">
        <v>3773</v>
      </c>
      <c r="C32" s="47" t="s">
        <v>3647</v>
      </c>
      <c r="D32" s="47" t="s">
        <v>3647</v>
      </c>
      <c r="E32" s="47" t="s">
        <v>3552</v>
      </c>
      <c r="F32" s="47">
        <v>4</v>
      </c>
      <c r="G32" s="47">
        <v>3685</v>
      </c>
      <c r="H32" s="47">
        <v>3070.8333333333335</v>
      </c>
      <c r="I32" s="47"/>
      <c r="J32" s="47"/>
      <c r="K32" s="47"/>
      <c r="L32" s="47">
        <v>3070.8333333333335</v>
      </c>
      <c r="M32" s="47"/>
      <c r="N32" s="47"/>
      <c r="O32" s="47" t="s">
        <v>3642</v>
      </c>
      <c r="P32" s="47">
        <v>6450078745</v>
      </c>
      <c r="Q32" s="47">
        <v>645001001</v>
      </c>
      <c r="R32" s="50" t="s">
        <v>3653</v>
      </c>
      <c r="S32" s="47" t="s">
        <v>3296</v>
      </c>
      <c r="T32" s="47">
        <v>1</v>
      </c>
      <c r="U32" s="30" t="s">
        <v>3648</v>
      </c>
    </row>
    <row r="33" spans="1:21" x14ac:dyDescent="0.25">
      <c r="A33" s="49" t="s">
        <v>3651</v>
      </c>
      <c r="B33" s="51" t="s">
        <v>3774</v>
      </c>
      <c r="C33" s="51" t="s">
        <v>3647</v>
      </c>
      <c r="D33" s="51" t="s">
        <v>3647</v>
      </c>
      <c r="E33" s="51" t="s">
        <v>3552</v>
      </c>
      <c r="F33" s="51">
        <v>4</v>
      </c>
      <c r="G33" s="51">
        <v>4161</v>
      </c>
      <c r="H33" s="51">
        <v>3467.5</v>
      </c>
      <c r="I33" s="51"/>
      <c r="J33" s="51"/>
      <c r="K33" s="51"/>
      <c r="L33" s="51">
        <v>3467.5</v>
      </c>
      <c r="M33" s="51"/>
      <c r="N33" s="51"/>
      <c r="O33" s="51" t="s">
        <v>3758</v>
      </c>
      <c r="P33" s="51">
        <v>6671331139</v>
      </c>
      <c r="Q33" s="51">
        <v>668501001</v>
      </c>
      <c r="R33" s="52" t="s">
        <v>3654</v>
      </c>
      <c r="S33" s="51" t="s">
        <v>39</v>
      </c>
      <c r="T33" s="51">
        <v>1</v>
      </c>
      <c r="U33" t="s">
        <v>3573</v>
      </c>
    </row>
    <row r="34" spans="1:21" x14ac:dyDescent="0.25">
      <c r="A34" s="49" t="s">
        <v>3652</v>
      </c>
      <c r="B34" s="51" t="s">
        <v>3775</v>
      </c>
      <c r="C34" s="51" t="s">
        <v>3647</v>
      </c>
      <c r="D34" s="51" t="s">
        <v>3647</v>
      </c>
      <c r="E34" s="51" t="s">
        <v>3552</v>
      </c>
      <c r="F34" s="51">
        <v>4</v>
      </c>
      <c r="G34" s="51">
        <v>12002</v>
      </c>
      <c r="H34" s="51">
        <v>10001.666666666668</v>
      </c>
      <c r="I34" s="51"/>
      <c r="J34" s="51"/>
      <c r="K34" s="51"/>
      <c r="L34" s="51">
        <v>10001.666666666668</v>
      </c>
      <c r="M34" s="51"/>
      <c r="N34" s="51"/>
      <c r="O34" s="51" t="s">
        <v>3645</v>
      </c>
      <c r="P34" s="51">
        <v>7724452117</v>
      </c>
      <c r="Q34" s="51">
        <v>772401001</v>
      </c>
      <c r="R34" s="52" t="s">
        <v>3655</v>
      </c>
      <c r="S34" s="51" t="s">
        <v>2408</v>
      </c>
      <c r="T34" s="51">
        <v>2</v>
      </c>
      <c r="U34" t="s">
        <v>3601</v>
      </c>
    </row>
    <row r="35" spans="1:21" x14ac:dyDescent="0.25">
      <c r="A35" s="49" t="s">
        <v>3657</v>
      </c>
      <c r="B35" s="47" t="s">
        <v>3773</v>
      </c>
      <c r="C35" s="47" t="s">
        <v>3656</v>
      </c>
      <c r="D35" s="47" t="s">
        <v>3656</v>
      </c>
      <c r="E35" s="47" t="s">
        <v>3552</v>
      </c>
      <c r="F35" s="47">
        <v>2</v>
      </c>
      <c r="G35" s="47">
        <v>3036</v>
      </c>
      <c r="H35" s="47">
        <v>2530</v>
      </c>
      <c r="I35" s="47"/>
      <c r="J35" s="47"/>
      <c r="K35" s="47"/>
      <c r="L35" s="47">
        <v>2530</v>
      </c>
      <c r="M35" s="47"/>
      <c r="N35" s="47"/>
      <c r="O35" s="47" t="s">
        <v>3642</v>
      </c>
      <c r="P35" s="47">
        <v>6450078745</v>
      </c>
      <c r="Q35" s="47">
        <v>645001001</v>
      </c>
      <c r="R35" s="50" t="s">
        <v>3660</v>
      </c>
      <c r="S35" s="47" t="s">
        <v>3296</v>
      </c>
      <c r="T35" s="47">
        <v>1</v>
      </c>
      <c r="U35" s="30" t="s">
        <v>3648</v>
      </c>
    </row>
    <row r="36" spans="1:21" x14ac:dyDescent="0.25">
      <c r="A36" s="49" t="s">
        <v>3658</v>
      </c>
      <c r="B36" s="51" t="s">
        <v>3774</v>
      </c>
      <c r="C36" s="51" t="s">
        <v>3656</v>
      </c>
      <c r="D36" s="51" t="s">
        <v>3656</v>
      </c>
      <c r="E36" s="51" t="s">
        <v>3552</v>
      </c>
      <c r="F36" s="51">
        <v>2</v>
      </c>
      <c r="G36" s="51">
        <v>3373</v>
      </c>
      <c r="H36" s="51">
        <v>2810.8333333333335</v>
      </c>
      <c r="I36" s="51"/>
      <c r="J36" s="51"/>
      <c r="K36" s="51"/>
      <c r="L36" s="51">
        <v>2810.8333333333335</v>
      </c>
      <c r="M36" s="51"/>
      <c r="N36" s="51"/>
      <c r="O36" s="51" t="s">
        <v>3758</v>
      </c>
      <c r="P36" s="51">
        <v>6671331139</v>
      </c>
      <c r="Q36" s="51">
        <v>668501001</v>
      </c>
      <c r="R36" s="52" t="s">
        <v>3661</v>
      </c>
      <c r="S36" s="51" t="s">
        <v>39</v>
      </c>
      <c r="T36" s="51">
        <v>1</v>
      </c>
      <c r="U36" t="s">
        <v>3573</v>
      </c>
    </row>
    <row r="37" spans="1:21" x14ac:dyDescent="0.25">
      <c r="A37" s="49" t="s">
        <v>3659</v>
      </c>
      <c r="B37" s="51" t="s">
        <v>3775</v>
      </c>
      <c r="C37" s="51" t="s">
        <v>3656</v>
      </c>
      <c r="D37" s="51" t="s">
        <v>3656</v>
      </c>
      <c r="E37" s="51" t="s">
        <v>3552</v>
      </c>
      <c r="F37" s="51">
        <v>2</v>
      </c>
      <c r="G37" s="51">
        <v>8463</v>
      </c>
      <c r="H37" s="51">
        <v>7052.5</v>
      </c>
      <c r="I37" s="51"/>
      <c r="J37" s="51"/>
      <c r="K37" s="51"/>
      <c r="L37" s="51">
        <v>7052.5</v>
      </c>
      <c r="M37" s="51"/>
      <c r="N37" s="51"/>
      <c r="O37" s="51" t="s">
        <v>3645</v>
      </c>
      <c r="P37" s="51">
        <v>7724452117</v>
      </c>
      <c r="Q37" s="51">
        <v>772401001</v>
      </c>
      <c r="R37" s="52" t="s">
        <v>3662</v>
      </c>
      <c r="S37" s="51" t="s">
        <v>2408</v>
      </c>
      <c r="T37" s="51">
        <v>2</v>
      </c>
      <c r="U37" t="s">
        <v>3601</v>
      </c>
    </row>
    <row r="38" spans="1:21" x14ac:dyDescent="0.25">
      <c r="A38" s="49" t="s">
        <v>3670</v>
      </c>
      <c r="B38" s="47" t="s">
        <v>3776</v>
      </c>
      <c r="C38" s="47" t="s">
        <v>3669</v>
      </c>
      <c r="D38" s="47" t="s">
        <v>3669</v>
      </c>
      <c r="E38" s="47" t="s">
        <v>3552</v>
      </c>
      <c r="F38" s="47">
        <v>1</v>
      </c>
      <c r="G38" s="47">
        <v>1320</v>
      </c>
      <c r="H38" s="47">
        <v>1100</v>
      </c>
      <c r="I38" s="47"/>
      <c r="J38" s="47"/>
      <c r="K38" s="47"/>
      <c r="L38" s="47">
        <v>1100</v>
      </c>
      <c r="M38" s="47"/>
      <c r="N38" s="47"/>
      <c r="O38" s="47" t="s">
        <v>3664</v>
      </c>
      <c r="P38" s="47">
        <v>6679109432</v>
      </c>
      <c r="Q38" s="47">
        <v>667001001</v>
      </c>
      <c r="R38" s="50" t="s">
        <v>3673</v>
      </c>
      <c r="S38" s="47" t="s">
        <v>3470</v>
      </c>
      <c r="T38" s="47">
        <v>2</v>
      </c>
      <c r="U38" s="30" t="s">
        <v>3648</v>
      </c>
    </row>
    <row r="39" spans="1:21" x14ac:dyDescent="0.25">
      <c r="A39" s="49" t="s">
        <v>3671</v>
      </c>
      <c r="B39" s="51" t="s">
        <v>3777</v>
      </c>
      <c r="C39" s="51" t="s">
        <v>3669</v>
      </c>
      <c r="D39" s="51" t="s">
        <v>3669</v>
      </c>
      <c r="E39" s="51" t="s">
        <v>3552</v>
      </c>
      <c r="F39" s="51">
        <v>1</v>
      </c>
      <c r="G39" s="51">
        <v>1360</v>
      </c>
      <c r="H39" s="51">
        <v>1133.3333333333335</v>
      </c>
      <c r="I39" s="51"/>
      <c r="J39" s="51"/>
      <c r="K39" s="51"/>
      <c r="L39" s="51">
        <v>1133.3333333333335</v>
      </c>
      <c r="M39" s="51"/>
      <c r="N39" s="51"/>
      <c r="O39" s="51" t="s">
        <v>3666</v>
      </c>
      <c r="P39" s="51">
        <v>5905231483</v>
      </c>
      <c r="Q39" s="51">
        <v>590501001</v>
      </c>
      <c r="R39" s="52" t="s">
        <v>3674</v>
      </c>
      <c r="S39" s="51" t="s">
        <v>3213</v>
      </c>
      <c r="T39" s="51">
        <v>1</v>
      </c>
      <c r="U39" t="s">
        <v>3573</v>
      </c>
    </row>
    <row r="40" spans="1:21" x14ac:dyDescent="0.25">
      <c r="A40" s="49" t="s">
        <v>3672</v>
      </c>
      <c r="B40" s="51" t="s">
        <v>3778</v>
      </c>
      <c r="C40" s="51" t="s">
        <v>3669</v>
      </c>
      <c r="D40" s="51" t="s">
        <v>3669</v>
      </c>
      <c r="E40" s="51" t="s">
        <v>3552</v>
      </c>
      <c r="F40" s="51">
        <v>1</v>
      </c>
      <c r="G40" s="51">
        <v>1825</v>
      </c>
      <c r="H40" s="51">
        <v>1520.8333333333335</v>
      </c>
      <c r="I40" s="51"/>
      <c r="J40" s="51"/>
      <c r="K40" s="51"/>
      <c r="L40" s="51">
        <v>1520.8333333333335</v>
      </c>
      <c r="M40" s="51"/>
      <c r="N40" s="51"/>
      <c r="O40" s="51" t="s">
        <v>3667</v>
      </c>
      <c r="P40" s="51">
        <v>7451435053</v>
      </c>
      <c r="Q40" s="51">
        <v>745101001</v>
      </c>
      <c r="R40" s="52" t="s">
        <v>3675</v>
      </c>
      <c r="S40" s="51" t="s">
        <v>3470</v>
      </c>
      <c r="T40" s="51">
        <v>1</v>
      </c>
      <c r="U40" t="s">
        <v>3601</v>
      </c>
    </row>
    <row r="41" spans="1:21" x14ac:dyDescent="0.25">
      <c r="A41" s="49" t="s">
        <v>3684</v>
      </c>
      <c r="B41" s="47" t="s">
        <v>3779</v>
      </c>
      <c r="C41" s="47" t="s">
        <v>3680</v>
      </c>
      <c r="D41" s="47" t="s">
        <v>3680</v>
      </c>
      <c r="E41" s="47" t="s">
        <v>3552</v>
      </c>
      <c r="F41" s="47">
        <v>1</v>
      </c>
      <c r="G41" s="47">
        <v>2700</v>
      </c>
      <c r="H41" s="47">
        <v>2250</v>
      </c>
      <c r="I41" s="47"/>
      <c r="J41" s="47"/>
      <c r="K41" s="47"/>
      <c r="L41" s="47">
        <v>2250</v>
      </c>
      <c r="M41" s="47"/>
      <c r="N41" s="47"/>
      <c r="O41" s="47" t="s">
        <v>3645</v>
      </c>
      <c r="P41" s="47">
        <v>7724452117</v>
      </c>
      <c r="Q41" s="47">
        <v>772401001</v>
      </c>
      <c r="R41" s="50" t="s">
        <v>3687</v>
      </c>
      <c r="S41" s="47" t="s">
        <v>2408</v>
      </c>
      <c r="T41" s="47">
        <v>2</v>
      </c>
      <c r="U41" s="30" t="s">
        <v>3648</v>
      </c>
    </row>
    <row r="42" spans="1:21" x14ac:dyDescent="0.25">
      <c r="A42" s="49" t="s">
        <v>3685</v>
      </c>
      <c r="B42" s="51" t="s">
        <v>3780</v>
      </c>
      <c r="C42" s="51" t="s">
        <v>3680</v>
      </c>
      <c r="D42" s="51" t="s">
        <v>3680</v>
      </c>
      <c r="E42" s="51" t="s">
        <v>3552</v>
      </c>
      <c r="F42" s="51">
        <v>1</v>
      </c>
      <c r="G42" s="51" t="s">
        <v>3683</v>
      </c>
      <c r="H42" s="51">
        <v>3397</v>
      </c>
      <c r="I42" s="51"/>
      <c r="J42" s="51"/>
      <c r="K42" s="51"/>
      <c r="L42" s="51">
        <v>3397</v>
      </c>
      <c r="M42" s="51"/>
      <c r="N42" s="51"/>
      <c r="O42" s="51" t="s">
        <v>3682</v>
      </c>
      <c r="P42" s="51">
        <v>7705674361</v>
      </c>
      <c r="Q42" s="51">
        <v>770401001</v>
      </c>
      <c r="R42" s="52" t="s">
        <v>3688</v>
      </c>
      <c r="S42" s="51" t="s">
        <v>2408</v>
      </c>
      <c r="T42" s="51">
        <v>2</v>
      </c>
      <c r="U42" t="s">
        <v>3573</v>
      </c>
    </row>
    <row r="43" spans="1:21" x14ac:dyDescent="0.25">
      <c r="A43" s="49" t="s">
        <v>3686</v>
      </c>
      <c r="B43" s="51" t="s">
        <v>3781</v>
      </c>
      <c r="C43" s="51" t="s">
        <v>3680</v>
      </c>
      <c r="D43" s="51" t="s">
        <v>3680</v>
      </c>
      <c r="E43" s="51" t="s">
        <v>3552</v>
      </c>
      <c r="F43" s="51">
        <v>1</v>
      </c>
      <c r="G43" s="51">
        <v>4898.95</v>
      </c>
      <c r="H43" s="51">
        <v>4082.4583333333335</v>
      </c>
      <c r="I43" s="51"/>
      <c r="J43" s="51"/>
      <c r="K43" s="51"/>
      <c r="L43" s="51">
        <v>4082.4583333333335</v>
      </c>
      <c r="M43" s="51"/>
      <c r="N43" s="51"/>
      <c r="O43" s="51" t="s">
        <v>3678</v>
      </c>
      <c r="P43" s="51">
        <v>7720323022</v>
      </c>
      <c r="Q43" s="51">
        <v>772001001</v>
      </c>
      <c r="R43" s="52" t="s">
        <v>3689</v>
      </c>
      <c r="S43" s="51" t="s">
        <v>2408</v>
      </c>
      <c r="T43" s="51">
        <v>1</v>
      </c>
      <c r="U43" t="s">
        <v>3601</v>
      </c>
    </row>
    <row r="44" spans="1:21" x14ac:dyDescent="0.25">
      <c r="A44" s="49" t="s">
        <v>3697</v>
      </c>
      <c r="B44" s="47" t="s">
        <v>3782</v>
      </c>
      <c r="C44" s="47" t="s">
        <v>3694</v>
      </c>
      <c r="D44" s="47" t="s">
        <v>3694</v>
      </c>
      <c r="E44" s="47" t="s">
        <v>3552</v>
      </c>
      <c r="F44" s="47">
        <v>2</v>
      </c>
      <c r="G44" s="47" t="s">
        <v>3695</v>
      </c>
      <c r="H44" s="47">
        <v>338.41666666666669</v>
      </c>
      <c r="I44" s="47"/>
      <c r="J44" s="47"/>
      <c r="K44" s="47"/>
      <c r="L44" s="47">
        <v>338.41666666666669</v>
      </c>
      <c r="M44" s="47"/>
      <c r="N44" s="47"/>
      <c r="O44" s="47" t="s">
        <v>3691</v>
      </c>
      <c r="P44" s="47">
        <v>7736192449</v>
      </c>
      <c r="Q44" s="47">
        <v>500301001</v>
      </c>
      <c r="R44" s="50" t="s">
        <v>3700</v>
      </c>
      <c r="S44" s="47" t="s">
        <v>3005</v>
      </c>
      <c r="T44" s="47">
        <v>1</v>
      </c>
      <c r="U44" s="30" t="s">
        <v>3648</v>
      </c>
    </row>
    <row r="45" spans="1:21" x14ac:dyDescent="0.25">
      <c r="A45" s="49" t="s">
        <v>3698</v>
      </c>
      <c r="B45" s="51" t="s">
        <v>3783</v>
      </c>
      <c r="C45" s="51" t="s">
        <v>3694</v>
      </c>
      <c r="D45" s="51" t="s">
        <v>3694</v>
      </c>
      <c r="E45" s="51" t="s">
        <v>3552</v>
      </c>
      <c r="F45" s="51">
        <v>2</v>
      </c>
      <c r="G45" s="51">
        <v>468</v>
      </c>
      <c r="H45" s="51">
        <v>390</v>
      </c>
      <c r="I45" s="51"/>
      <c r="J45" s="51"/>
      <c r="K45" s="51"/>
      <c r="L45" s="51">
        <v>390</v>
      </c>
      <c r="M45" s="51"/>
      <c r="N45" s="51"/>
      <c r="O45" s="51" t="s">
        <v>3692</v>
      </c>
      <c r="P45" s="51">
        <v>7722493380</v>
      </c>
      <c r="Q45" s="51">
        <v>772201001</v>
      </c>
      <c r="R45" s="52" t="s">
        <v>3701</v>
      </c>
      <c r="S45" s="51" t="s">
        <v>2408</v>
      </c>
      <c r="T45" s="51">
        <v>2</v>
      </c>
      <c r="U45" t="s">
        <v>3573</v>
      </c>
    </row>
    <row r="46" spans="1:21" x14ac:dyDescent="0.25">
      <c r="A46" s="49" t="s">
        <v>3699</v>
      </c>
      <c r="B46" s="51" t="s">
        <v>3784</v>
      </c>
      <c r="C46" s="51" t="s">
        <v>3694</v>
      </c>
      <c r="D46" s="51" t="s">
        <v>3694</v>
      </c>
      <c r="E46" s="51" t="s">
        <v>3552</v>
      </c>
      <c r="F46" s="51">
        <v>2</v>
      </c>
      <c r="G46" s="51">
        <v>639</v>
      </c>
      <c r="H46" s="51">
        <v>532.5</v>
      </c>
      <c r="I46" s="51"/>
      <c r="J46" s="51"/>
      <c r="K46" s="51"/>
      <c r="L46" s="51">
        <v>532.5</v>
      </c>
      <c r="M46" s="51"/>
      <c r="N46" s="51"/>
      <c r="O46" s="51" t="s">
        <v>3645</v>
      </c>
      <c r="P46" s="51">
        <v>7724452117</v>
      </c>
      <c r="Q46" s="51">
        <v>772401001</v>
      </c>
      <c r="R46" s="52" t="s">
        <v>3702</v>
      </c>
      <c r="S46" s="51" t="s">
        <v>2408</v>
      </c>
      <c r="T46" s="51">
        <v>2</v>
      </c>
      <c r="U46" t="s">
        <v>3601</v>
      </c>
    </row>
    <row r="47" spans="1:21" x14ac:dyDescent="0.25">
      <c r="A47" s="49" t="s">
        <v>3711</v>
      </c>
      <c r="B47" s="47" t="s">
        <v>3785</v>
      </c>
      <c r="C47" s="47" t="s">
        <v>3709</v>
      </c>
      <c r="D47" s="47" t="s">
        <v>3709</v>
      </c>
      <c r="E47" s="47" t="s">
        <v>3552</v>
      </c>
      <c r="F47" s="47">
        <v>2</v>
      </c>
      <c r="G47" s="47">
        <v>680</v>
      </c>
      <c r="H47" s="47">
        <v>566.66666666666674</v>
      </c>
      <c r="I47" s="47"/>
      <c r="J47" s="47"/>
      <c r="K47" s="47"/>
      <c r="L47" s="47">
        <v>566.66666666666674</v>
      </c>
      <c r="M47" s="47"/>
      <c r="N47" s="47"/>
      <c r="O47" s="47" t="s">
        <v>3704</v>
      </c>
      <c r="P47" s="47">
        <v>9722054805</v>
      </c>
      <c r="Q47" s="47">
        <v>772201001</v>
      </c>
      <c r="R47" s="50" t="s">
        <v>3714</v>
      </c>
      <c r="S47" s="47" t="s">
        <v>39</v>
      </c>
      <c r="T47" s="47">
        <v>1</v>
      </c>
      <c r="U47" s="30" t="s">
        <v>3648</v>
      </c>
    </row>
    <row r="48" spans="1:21" x14ac:dyDescent="0.25">
      <c r="A48" s="49" t="s">
        <v>3712</v>
      </c>
      <c r="B48" s="51" t="s">
        <v>3786</v>
      </c>
      <c r="C48" s="51" t="s">
        <v>3709</v>
      </c>
      <c r="D48" s="51" t="s">
        <v>3709</v>
      </c>
      <c r="E48" s="51" t="s">
        <v>3552</v>
      </c>
      <c r="F48" s="51">
        <v>2</v>
      </c>
      <c r="G48" s="51">
        <v>830</v>
      </c>
      <c r="H48" s="51">
        <v>691.66666666666674</v>
      </c>
      <c r="I48" s="51"/>
      <c r="J48" s="51"/>
      <c r="K48" s="51"/>
      <c r="L48" s="51">
        <v>691.66666666666674</v>
      </c>
      <c r="M48" s="51"/>
      <c r="N48" s="51"/>
      <c r="O48" s="51" t="s">
        <v>3706</v>
      </c>
      <c r="P48" s="51">
        <v>6163103300</v>
      </c>
      <c r="Q48" s="51">
        <v>616501001</v>
      </c>
      <c r="R48" s="52" t="s">
        <v>3715</v>
      </c>
      <c r="S48" s="51" t="s">
        <v>3253</v>
      </c>
      <c r="T48" s="51">
        <v>2</v>
      </c>
      <c r="U48" t="s">
        <v>3573</v>
      </c>
    </row>
    <row r="49" spans="1:21" x14ac:dyDescent="0.25">
      <c r="A49" s="49" t="s">
        <v>3713</v>
      </c>
      <c r="B49" s="51" t="s">
        <v>3787</v>
      </c>
      <c r="C49" s="51" t="s">
        <v>3709</v>
      </c>
      <c r="D49" s="51" t="s">
        <v>3709</v>
      </c>
      <c r="E49" s="51" t="s">
        <v>3552</v>
      </c>
      <c r="F49" s="51">
        <v>2</v>
      </c>
      <c r="G49" s="51">
        <v>860</v>
      </c>
      <c r="H49" s="51">
        <v>716.66666666666674</v>
      </c>
      <c r="I49" s="51"/>
      <c r="J49" s="51"/>
      <c r="K49" s="51"/>
      <c r="L49" s="51">
        <v>716.66666666666674</v>
      </c>
      <c r="M49" s="51"/>
      <c r="N49" s="51"/>
      <c r="O49" s="51" t="s">
        <v>3707</v>
      </c>
      <c r="P49" s="51">
        <v>7726366135</v>
      </c>
      <c r="Q49" s="51">
        <v>772601001</v>
      </c>
      <c r="R49" s="52" t="s">
        <v>3716</v>
      </c>
      <c r="S49" s="51" t="s">
        <v>2408</v>
      </c>
      <c r="T49" s="51">
        <v>1</v>
      </c>
      <c r="U49" t="s">
        <v>3601</v>
      </c>
    </row>
    <row r="50" spans="1:21" x14ac:dyDescent="0.25">
      <c r="A50" s="49" t="s">
        <v>3724</v>
      </c>
      <c r="B50" s="47" t="s">
        <v>3788</v>
      </c>
      <c r="C50" s="47" t="s">
        <v>3755</v>
      </c>
      <c r="D50" s="47" t="s">
        <v>3755</v>
      </c>
      <c r="E50" s="47" t="s">
        <v>3552</v>
      </c>
      <c r="F50" s="47">
        <v>1</v>
      </c>
      <c r="G50" s="47">
        <v>2000</v>
      </c>
      <c r="H50" s="47">
        <v>1666.6666666666667</v>
      </c>
      <c r="I50" s="47"/>
      <c r="J50" s="47"/>
      <c r="K50" s="47"/>
      <c r="L50" s="47">
        <v>1666.6666666666667</v>
      </c>
      <c r="M50" s="47"/>
      <c r="N50" s="47"/>
      <c r="O50" s="47" t="s">
        <v>3718</v>
      </c>
      <c r="P50" s="47">
        <v>9715307100</v>
      </c>
      <c r="Q50" s="47">
        <v>771501001</v>
      </c>
      <c r="R50" s="50" t="s">
        <v>3727</v>
      </c>
      <c r="S50" s="47" t="s">
        <v>2408</v>
      </c>
      <c r="T50" s="47">
        <v>2</v>
      </c>
      <c r="U50" s="30" t="s">
        <v>3648</v>
      </c>
    </row>
    <row r="51" spans="1:21" x14ac:dyDescent="0.25">
      <c r="A51" s="49" t="s">
        <v>3725</v>
      </c>
      <c r="B51" s="51" t="s">
        <v>3789</v>
      </c>
      <c r="C51" s="51" t="s">
        <v>3755</v>
      </c>
      <c r="D51" s="51" t="s">
        <v>3755</v>
      </c>
      <c r="E51" s="51" t="s">
        <v>3552</v>
      </c>
      <c r="F51" s="51">
        <v>1</v>
      </c>
      <c r="G51" s="51">
        <v>2200</v>
      </c>
      <c r="H51" s="51">
        <v>1833.3333333333335</v>
      </c>
      <c r="I51" s="51"/>
      <c r="J51" s="51"/>
      <c r="K51" s="51"/>
      <c r="L51" s="51">
        <v>1833.3333333333335</v>
      </c>
      <c r="M51" s="51"/>
      <c r="N51" s="51"/>
      <c r="O51" s="51" t="s">
        <v>3721</v>
      </c>
      <c r="P51" s="51">
        <v>7704322328</v>
      </c>
      <c r="Q51" s="51">
        <v>507401001</v>
      </c>
      <c r="R51" s="52" t="s">
        <v>3728</v>
      </c>
      <c r="S51" s="51" t="s">
        <v>48</v>
      </c>
      <c r="T51" s="51">
        <v>2</v>
      </c>
      <c r="U51" t="s">
        <v>3573</v>
      </c>
    </row>
    <row r="52" spans="1:21" x14ac:dyDescent="0.25">
      <c r="A52" s="49" t="s">
        <v>3726</v>
      </c>
      <c r="B52" s="51" t="s">
        <v>3790</v>
      </c>
      <c r="C52" s="51" t="s">
        <v>3755</v>
      </c>
      <c r="D52" s="51" t="s">
        <v>3755</v>
      </c>
      <c r="E52" s="51" t="s">
        <v>3552</v>
      </c>
      <c r="F52" s="51">
        <v>1</v>
      </c>
      <c r="G52" s="51">
        <v>11020</v>
      </c>
      <c r="H52" s="51">
        <v>9183.3333333333339</v>
      </c>
      <c r="I52" s="51"/>
      <c r="J52" s="51"/>
      <c r="K52" s="51"/>
      <c r="L52" s="51">
        <v>9183.3333333333339</v>
      </c>
      <c r="M52" s="51"/>
      <c r="N52" s="51"/>
      <c r="O52" s="51" t="s">
        <v>3720</v>
      </c>
      <c r="P52" s="51">
        <v>9729294683</v>
      </c>
      <c r="Q52" s="51">
        <v>772901001</v>
      </c>
      <c r="R52" s="52" t="s">
        <v>3729</v>
      </c>
      <c r="S52" s="51" t="s">
        <v>3153</v>
      </c>
      <c r="T52" s="51">
        <v>2</v>
      </c>
      <c r="U52" t="s">
        <v>3601</v>
      </c>
    </row>
    <row r="53" spans="1:21" x14ac:dyDescent="0.25">
      <c r="A53" s="49" t="s">
        <v>3737</v>
      </c>
      <c r="B53" s="47" t="s">
        <v>3791</v>
      </c>
      <c r="C53" s="47" t="s">
        <v>3736</v>
      </c>
      <c r="D53" s="47" t="s">
        <v>3736</v>
      </c>
      <c r="E53" s="47" t="s">
        <v>3552</v>
      </c>
      <c r="F53" s="47">
        <v>2</v>
      </c>
      <c r="G53" s="47">
        <v>504</v>
      </c>
      <c r="H53" s="47">
        <v>420</v>
      </c>
      <c r="I53" s="47"/>
      <c r="J53" s="47"/>
      <c r="K53" s="47"/>
      <c r="L53" s="47">
        <v>420</v>
      </c>
      <c r="M53" s="47"/>
      <c r="N53" s="47"/>
      <c r="O53" s="47" t="s">
        <v>3730</v>
      </c>
      <c r="P53" s="47">
        <v>7719452305</v>
      </c>
      <c r="Q53" s="47">
        <v>525201001</v>
      </c>
      <c r="R53" s="50" t="s">
        <v>3740</v>
      </c>
      <c r="S53" s="47" t="s">
        <v>2408</v>
      </c>
      <c r="T53" s="47">
        <v>1</v>
      </c>
      <c r="U53" s="30" t="s">
        <v>3648</v>
      </c>
    </row>
    <row r="54" spans="1:21" x14ac:dyDescent="0.25">
      <c r="A54" s="49" t="s">
        <v>3738</v>
      </c>
      <c r="B54" s="51" t="s">
        <v>3792</v>
      </c>
      <c r="C54" s="51" t="s">
        <v>3736</v>
      </c>
      <c r="D54" s="51" t="s">
        <v>3736</v>
      </c>
      <c r="E54" s="51" t="s">
        <v>3552</v>
      </c>
      <c r="F54" s="51">
        <v>2</v>
      </c>
      <c r="G54" s="51">
        <v>1368</v>
      </c>
      <c r="H54" s="51">
        <v>1140</v>
      </c>
      <c r="I54" s="51"/>
      <c r="J54" s="51"/>
      <c r="K54" s="51"/>
      <c r="L54" s="51">
        <v>1140</v>
      </c>
      <c r="M54" s="51"/>
      <c r="N54" s="51"/>
      <c r="O54" s="51" t="s">
        <v>3732</v>
      </c>
      <c r="P54" s="51">
        <v>723000958</v>
      </c>
      <c r="Q54" s="51">
        <v>72301001</v>
      </c>
      <c r="R54" s="52" t="s">
        <v>3741</v>
      </c>
      <c r="S54" s="51" t="s">
        <v>2408</v>
      </c>
      <c r="T54" s="51">
        <v>2</v>
      </c>
      <c r="U54" t="s">
        <v>3573</v>
      </c>
    </row>
    <row r="55" spans="1:21" x14ac:dyDescent="0.25">
      <c r="A55" s="49" t="s">
        <v>3739</v>
      </c>
      <c r="B55" s="51" t="s">
        <v>3793</v>
      </c>
      <c r="C55" s="51" t="s">
        <v>3736</v>
      </c>
      <c r="D55" s="51" t="s">
        <v>3736</v>
      </c>
      <c r="E55" s="51" t="s">
        <v>3552</v>
      </c>
      <c r="F55" s="51">
        <v>2</v>
      </c>
      <c r="G55" s="51">
        <v>1677</v>
      </c>
      <c r="H55" s="51">
        <v>1397.5</v>
      </c>
      <c r="I55" s="51"/>
      <c r="J55" s="51"/>
      <c r="K55" s="51"/>
      <c r="L55" s="51">
        <v>1397.5</v>
      </c>
      <c r="M55" s="51"/>
      <c r="N55" s="51"/>
      <c r="O55" s="51" t="s">
        <v>3735</v>
      </c>
      <c r="P55" s="51">
        <v>5258128653</v>
      </c>
      <c r="Q55" s="51">
        <v>525801001</v>
      </c>
      <c r="R55" s="52" t="s">
        <v>3742</v>
      </c>
      <c r="S55" s="51" t="s">
        <v>3124</v>
      </c>
      <c r="T55" s="51">
        <v>2</v>
      </c>
      <c r="U55" t="s">
        <v>3601</v>
      </c>
    </row>
    <row r="56" spans="1:21" x14ac:dyDescent="0.25">
      <c r="A56" s="49" t="s">
        <v>3749</v>
      </c>
      <c r="B56" s="47" t="s">
        <v>3794</v>
      </c>
      <c r="C56" s="47" t="s">
        <v>3748</v>
      </c>
      <c r="D56" s="47" t="s">
        <v>3748</v>
      </c>
      <c r="E56" s="47" t="s">
        <v>3552</v>
      </c>
      <c r="F56" s="47">
        <v>1</v>
      </c>
      <c r="G56" s="47">
        <v>510</v>
      </c>
      <c r="H56" s="47">
        <v>425</v>
      </c>
      <c r="I56" s="47"/>
      <c r="J56" s="47"/>
      <c r="K56" s="47"/>
      <c r="L56" s="47">
        <v>425</v>
      </c>
      <c r="M56" s="47"/>
      <c r="N56" s="47"/>
      <c r="O56" s="47" t="s">
        <v>3645</v>
      </c>
      <c r="P56" s="47">
        <v>7724452117</v>
      </c>
      <c r="Q56" s="47">
        <v>772401001</v>
      </c>
      <c r="R56" s="50" t="s">
        <v>3752</v>
      </c>
      <c r="S56" s="47" t="s">
        <v>2408</v>
      </c>
      <c r="T56" s="47">
        <v>2</v>
      </c>
      <c r="U56" s="30" t="s">
        <v>3648</v>
      </c>
    </row>
    <row r="57" spans="1:21" x14ac:dyDescent="0.25">
      <c r="A57" s="49" t="s">
        <v>3750</v>
      </c>
      <c r="B57" s="51" t="s">
        <v>3795</v>
      </c>
      <c r="C57" s="51" t="s">
        <v>3748</v>
      </c>
      <c r="D57" s="51" t="s">
        <v>3748</v>
      </c>
      <c r="E57" s="51" t="s">
        <v>3552</v>
      </c>
      <c r="F57" s="51">
        <v>1</v>
      </c>
      <c r="G57" s="51">
        <v>651</v>
      </c>
      <c r="H57" s="51">
        <v>542.5</v>
      </c>
      <c r="I57" s="51"/>
      <c r="J57" s="51"/>
      <c r="K57" s="51"/>
      <c r="L57" s="51">
        <v>542.5</v>
      </c>
      <c r="M57" s="51"/>
      <c r="N57" s="51"/>
      <c r="O57" s="51" t="s">
        <v>3743</v>
      </c>
      <c r="P57" s="51" t="s">
        <v>3744</v>
      </c>
      <c r="Q57" s="51">
        <v>774301001</v>
      </c>
      <c r="R57" s="52" t="s">
        <v>3753</v>
      </c>
      <c r="S57" s="51" t="s">
        <v>2408</v>
      </c>
      <c r="T57" s="51">
        <v>2</v>
      </c>
      <c r="U57" t="s">
        <v>3573</v>
      </c>
    </row>
    <row r="58" spans="1:21" x14ac:dyDescent="0.25">
      <c r="A58" s="49" t="s">
        <v>3751</v>
      </c>
      <c r="B58" s="51" t="s">
        <v>3796</v>
      </c>
      <c r="C58" s="51" t="s">
        <v>3748</v>
      </c>
      <c r="D58" s="51" t="s">
        <v>3748</v>
      </c>
      <c r="E58" s="51" t="s">
        <v>3552</v>
      </c>
      <c r="F58" s="51">
        <v>1</v>
      </c>
      <c r="G58" s="51">
        <v>1466</v>
      </c>
      <c r="H58" s="51">
        <v>1221.6666666666667</v>
      </c>
      <c r="I58" s="51"/>
      <c r="J58" s="51"/>
      <c r="K58" s="51"/>
      <c r="L58" s="51">
        <v>1221.6666666666667</v>
      </c>
      <c r="M58" s="51"/>
      <c r="N58" s="51"/>
      <c r="O58" s="51" t="s">
        <v>3747</v>
      </c>
      <c r="P58" s="51">
        <v>7814823221</v>
      </c>
      <c r="Q58" s="51">
        <v>781401001</v>
      </c>
      <c r="R58" s="52" t="s">
        <v>3754</v>
      </c>
      <c r="S58" s="51" t="s">
        <v>39</v>
      </c>
      <c r="T58" s="51">
        <v>2</v>
      </c>
      <c r="U58" t="s">
        <v>3601</v>
      </c>
    </row>
  </sheetData>
  <autoFilter ref="O1:O58">
    <filterColumn colId="0" hiddenButton="1"/>
  </autoFilter>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Z58"/>
  <sheetViews>
    <sheetView topLeftCell="A13" zoomScale="70" zoomScaleNormal="70" workbookViewId="0">
      <selection activeCell="O58" sqref="O58"/>
    </sheetView>
  </sheetViews>
  <sheetFormatPr defaultRowHeight="15" x14ac:dyDescent="0.25"/>
  <cols>
    <col min="1" max="1" width="10.140625" bestFit="1" customWidth="1"/>
    <col min="2" max="2" width="37.5703125" customWidth="1"/>
    <col min="3" max="3" width="32" customWidth="1"/>
    <col min="4" max="4" width="41.85546875" customWidth="1"/>
    <col min="15" max="15" width="20.140625" customWidth="1"/>
    <col min="16" max="16" width="13.140625" customWidth="1"/>
    <col min="17" max="17" width="11.85546875" customWidth="1"/>
    <col min="18" max="18" width="20.140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63"/>
      <c r="B2" s="63"/>
      <c r="C2" s="63"/>
      <c r="D2" s="63"/>
      <c r="E2" s="63"/>
      <c r="F2" s="63"/>
      <c r="G2" s="63"/>
      <c r="H2" s="63"/>
      <c r="I2" s="63"/>
      <c r="J2" s="63"/>
      <c r="K2" s="63"/>
      <c r="L2" s="63"/>
      <c r="M2" s="63"/>
      <c r="N2" s="63"/>
      <c r="O2" s="63"/>
      <c r="P2" s="63"/>
      <c r="Q2" s="63"/>
      <c r="R2" s="63"/>
      <c r="S2" s="63"/>
      <c r="T2" s="63"/>
      <c r="U2" s="63"/>
    </row>
    <row r="3" spans="1:25" x14ac:dyDescent="0.25">
      <c r="A3" s="64"/>
      <c r="B3" s="64"/>
      <c r="C3" s="64"/>
      <c r="D3" s="64"/>
      <c r="E3" s="64"/>
      <c r="F3" s="64"/>
      <c r="G3" s="64"/>
      <c r="H3" s="64"/>
      <c r="I3" s="64"/>
      <c r="J3" s="64"/>
      <c r="K3" s="64"/>
      <c r="L3" s="64"/>
      <c r="M3" s="64"/>
      <c r="N3" s="64"/>
      <c r="O3" s="64"/>
      <c r="P3" s="64"/>
      <c r="Q3" s="64"/>
      <c r="R3" s="64"/>
      <c r="S3" s="64"/>
      <c r="T3" s="64"/>
      <c r="U3" s="64"/>
    </row>
    <row r="4" spans="1:25" x14ac:dyDescent="0.25">
      <c r="A4" s="65" t="s">
        <v>0</v>
      </c>
      <c r="B4" s="65"/>
      <c r="C4" s="65"/>
      <c r="D4" s="65"/>
      <c r="E4" s="65"/>
      <c r="F4" s="65"/>
      <c r="G4" s="65"/>
      <c r="H4" s="65"/>
      <c r="I4" s="65"/>
      <c r="J4" s="65"/>
      <c r="K4" s="65"/>
      <c r="L4" s="65"/>
      <c r="M4" s="65"/>
      <c r="N4" s="65"/>
      <c r="O4" s="65"/>
      <c r="P4" s="65"/>
      <c r="Q4" s="65"/>
      <c r="R4" s="65"/>
      <c r="S4" s="65"/>
      <c r="T4" s="65"/>
      <c r="U4" s="65"/>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66" t="s">
        <v>1</v>
      </c>
      <c r="B6" s="66"/>
      <c r="C6" s="66"/>
      <c r="D6" s="66"/>
      <c r="E6" s="66"/>
      <c r="F6" s="66"/>
      <c r="G6" s="66"/>
      <c r="H6" s="66"/>
      <c r="I6" s="66"/>
      <c r="J6" s="66"/>
      <c r="K6" s="66"/>
      <c r="L6" s="66"/>
      <c r="M6" s="66"/>
      <c r="N6" s="66"/>
      <c r="O6" s="66"/>
      <c r="P6" s="66"/>
      <c r="Q6" s="66"/>
      <c r="R6" s="66"/>
      <c r="S6" s="66"/>
      <c r="T6" s="66"/>
      <c r="U6" s="66"/>
    </row>
    <row r="7" spans="1:25" ht="18.75" x14ac:dyDescent="0.25">
      <c r="A7" s="9"/>
      <c r="B7" s="43"/>
      <c r="C7" s="43"/>
      <c r="D7" s="43"/>
      <c r="E7" s="11"/>
      <c r="F7" s="43"/>
      <c r="G7" s="43"/>
      <c r="H7" s="12"/>
      <c r="I7" s="12"/>
      <c r="J7" s="12"/>
      <c r="K7" s="12"/>
      <c r="L7" s="12"/>
      <c r="M7" s="12"/>
      <c r="N7" s="43"/>
      <c r="O7" s="43"/>
      <c r="P7" s="43"/>
      <c r="Q7" s="43"/>
      <c r="R7" s="43"/>
      <c r="S7" s="13"/>
      <c r="T7" s="43"/>
      <c r="U7" s="43"/>
    </row>
    <row r="8" spans="1:25" ht="15.75" x14ac:dyDescent="0.25">
      <c r="A8" s="67"/>
      <c r="B8" s="67"/>
      <c r="C8" s="67"/>
      <c r="D8" s="67"/>
      <c r="E8" s="67"/>
      <c r="F8" s="67"/>
      <c r="G8" s="67"/>
      <c r="H8" s="67"/>
      <c r="I8" s="67"/>
      <c r="J8" s="67"/>
      <c r="K8" s="67"/>
      <c r="L8" s="67"/>
      <c r="M8" s="67"/>
      <c r="N8" s="67"/>
      <c r="O8" s="67"/>
      <c r="P8" s="67"/>
      <c r="Q8" s="67"/>
      <c r="R8" s="67"/>
      <c r="S8" s="67"/>
      <c r="T8" s="67"/>
      <c r="U8" s="67"/>
    </row>
    <row r="9" spans="1:25" x14ac:dyDescent="0.25">
      <c r="A9" s="68" t="s">
        <v>2</v>
      </c>
      <c r="B9" s="68"/>
      <c r="C9" s="68"/>
      <c r="D9" s="68"/>
      <c r="E9" s="68"/>
      <c r="F9" s="68"/>
      <c r="G9" s="68"/>
      <c r="H9" s="68"/>
      <c r="I9" s="68"/>
      <c r="J9" s="68"/>
      <c r="K9" s="68"/>
      <c r="L9" s="68"/>
      <c r="M9" s="68"/>
      <c r="N9" s="68"/>
      <c r="O9" s="68"/>
      <c r="P9" s="68"/>
      <c r="Q9" s="68"/>
      <c r="R9" s="68"/>
      <c r="S9" s="68"/>
      <c r="T9" s="68"/>
      <c r="U9" s="68"/>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80.25" customHeight="1" x14ac:dyDescent="0.25">
      <c r="A11" s="69" t="s">
        <v>3</v>
      </c>
      <c r="B11" s="55" t="s">
        <v>4</v>
      </c>
      <c r="C11" s="22"/>
      <c r="D11" s="24"/>
      <c r="E11" s="22"/>
      <c r="F11" s="22"/>
      <c r="G11" s="23"/>
      <c r="H11" s="62" t="s">
        <v>10</v>
      </c>
      <c r="I11" s="62" t="s">
        <v>11</v>
      </c>
      <c r="J11" s="62" t="s">
        <v>12</v>
      </c>
      <c r="K11" s="62"/>
      <c r="L11" s="62" t="s">
        <v>13</v>
      </c>
      <c r="M11" s="55" t="s">
        <v>14</v>
      </c>
      <c r="N11" s="55" t="s">
        <v>15</v>
      </c>
      <c r="O11" s="55" t="s">
        <v>16</v>
      </c>
      <c r="P11" s="55" t="s">
        <v>17</v>
      </c>
      <c r="Q11" s="55" t="s">
        <v>18</v>
      </c>
      <c r="R11" s="70" t="s">
        <v>19</v>
      </c>
      <c r="S11" s="55" t="s">
        <v>20</v>
      </c>
      <c r="T11" s="55" t="s">
        <v>21</v>
      </c>
      <c r="U11" s="22"/>
    </row>
    <row r="12" spans="1:25" ht="230.25" x14ac:dyDescent="0.25">
      <c r="A12" s="69"/>
      <c r="B12" s="55"/>
      <c r="C12" s="22" t="s">
        <v>5</v>
      </c>
      <c r="D12" s="24" t="s">
        <v>6</v>
      </c>
      <c r="E12" s="22" t="s">
        <v>7</v>
      </c>
      <c r="F12" s="22" t="s">
        <v>8</v>
      </c>
      <c r="G12" s="23" t="s">
        <v>9</v>
      </c>
      <c r="H12" s="62"/>
      <c r="I12" s="62"/>
      <c r="J12" s="18" t="s">
        <v>23</v>
      </c>
      <c r="K12" s="18" t="s">
        <v>24</v>
      </c>
      <c r="L12" s="62"/>
      <c r="M12" s="55"/>
      <c r="N12" s="55"/>
      <c r="O12" s="55"/>
      <c r="P12" s="55"/>
      <c r="Q12" s="55"/>
      <c r="R12" s="70"/>
      <c r="S12" s="55"/>
      <c r="T12" s="55"/>
      <c r="U12" s="22" t="s">
        <v>22</v>
      </c>
    </row>
    <row r="13" spans="1:25"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row r="14" spans="1:25" ht="75" x14ac:dyDescent="0.25">
      <c r="A14" s="49">
        <v>1</v>
      </c>
      <c r="B14" s="47" t="str">
        <f t="shared" ref="B14:B20" si="0">"ТЦ"&amp;"_"&amp;X14&amp;"_"&amp;Y14&amp;"_"&amp;Q14&amp;"_"&amp;TEXT(U14,"ДД.ММ.ГГ")&amp;"_"&amp;T14</f>
        <v>ТЦ_ 20.5.02.02_78_780601001_22.03.24_1</v>
      </c>
      <c r="C14" s="47" t="s">
        <v>3567</v>
      </c>
      <c r="D14" s="48" t="s">
        <v>3576</v>
      </c>
      <c r="E14" s="47" t="s">
        <v>3552</v>
      </c>
      <c r="F14" s="47">
        <v>4</v>
      </c>
      <c r="G14" s="47" t="s">
        <v>3568</v>
      </c>
      <c r="H14" s="47">
        <f t="shared" ref="H14:H58" si="1">G14/1.2</f>
        <v>6910.8333333333339</v>
      </c>
      <c r="I14" s="47"/>
      <c r="J14" s="47"/>
      <c r="K14" s="47"/>
      <c r="L14" s="47">
        <f t="shared" ref="L14:L58" si="2">H14+I14+K14</f>
        <v>6910.8333333333339</v>
      </c>
      <c r="M14" s="47"/>
      <c r="N14" s="47"/>
      <c r="O14" s="47" t="s">
        <v>37</v>
      </c>
      <c r="P14" s="47">
        <v>7806155468</v>
      </c>
      <c r="Q14" s="47">
        <v>780601001</v>
      </c>
      <c r="R14" s="47" t="s">
        <v>38</v>
      </c>
      <c r="S14" s="47" t="s">
        <v>39</v>
      </c>
      <c r="T14" s="47">
        <v>1</v>
      </c>
      <c r="U14" s="30" t="s">
        <v>3569</v>
      </c>
      <c r="X14" t="s">
        <v>3570</v>
      </c>
      <c r="Y14">
        <v>78</v>
      </c>
    </row>
    <row r="15" spans="1:25" x14ac:dyDescent="0.25">
      <c r="A15" s="49" t="s">
        <v>3575</v>
      </c>
      <c r="B15" s="47" t="str">
        <f t="shared" si="0"/>
        <v>ТЦ_ 20.4.04.02_78_783901001_22.04.24_2</v>
      </c>
      <c r="C15" s="47" t="s">
        <v>3571</v>
      </c>
      <c r="D15" s="47" t="s">
        <v>3572</v>
      </c>
      <c r="E15" s="47" t="s">
        <v>3552</v>
      </c>
      <c r="F15" s="47">
        <v>1</v>
      </c>
      <c r="G15" s="47">
        <v>90000</v>
      </c>
      <c r="H15" s="47">
        <f t="shared" si="1"/>
        <v>75000</v>
      </c>
      <c r="I15" s="47"/>
      <c r="J15" s="47"/>
      <c r="K15" s="47"/>
      <c r="L15" s="47">
        <f t="shared" si="2"/>
        <v>75000</v>
      </c>
      <c r="M15" s="47"/>
      <c r="N15" s="47"/>
      <c r="O15" s="47" t="s">
        <v>40</v>
      </c>
      <c r="P15" s="47">
        <v>7839109650</v>
      </c>
      <c r="Q15" s="47">
        <v>783901001</v>
      </c>
      <c r="R15" s="47" t="s">
        <v>41</v>
      </c>
      <c r="S15" s="47" t="s">
        <v>39</v>
      </c>
      <c r="T15" s="47">
        <v>2</v>
      </c>
      <c r="U15" s="30" t="s">
        <v>3573</v>
      </c>
      <c r="X15" t="s">
        <v>3574</v>
      </c>
      <c r="Y15">
        <v>78</v>
      </c>
    </row>
    <row r="16" spans="1:25" x14ac:dyDescent="0.25">
      <c r="A16" s="49" t="s">
        <v>3579</v>
      </c>
      <c r="B16" s="47" t="str">
        <f t="shared" si="0"/>
        <v>ТЦ_ 20.4.04.02_78_783901001_22.04.24_2</v>
      </c>
      <c r="C16" s="47" t="s">
        <v>3577</v>
      </c>
      <c r="D16" s="47" t="s">
        <v>3578</v>
      </c>
      <c r="E16" s="47" t="s">
        <v>3552</v>
      </c>
      <c r="F16" s="47">
        <v>1</v>
      </c>
      <c r="G16" s="47">
        <v>540000</v>
      </c>
      <c r="H16" s="47">
        <f t="shared" si="1"/>
        <v>450000</v>
      </c>
      <c r="I16" s="47"/>
      <c r="J16" s="47"/>
      <c r="K16" s="47"/>
      <c r="L16" s="47">
        <f t="shared" si="2"/>
        <v>450000</v>
      </c>
      <c r="M16" s="47"/>
      <c r="N16" s="47"/>
      <c r="O16" s="47" t="s">
        <v>40</v>
      </c>
      <c r="P16" s="47">
        <v>7839109650</v>
      </c>
      <c r="Q16" s="47">
        <v>783901001</v>
      </c>
      <c r="R16" s="47" t="s">
        <v>41</v>
      </c>
      <c r="S16" s="47" t="s">
        <v>39</v>
      </c>
      <c r="T16" s="47">
        <v>2</v>
      </c>
      <c r="U16" s="30" t="s">
        <v>3573</v>
      </c>
      <c r="X16" t="s">
        <v>3574</v>
      </c>
      <c r="Y16">
        <v>78</v>
      </c>
    </row>
    <row r="17" spans="1:26" x14ac:dyDescent="0.25">
      <c r="A17" s="49" t="s">
        <v>3582</v>
      </c>
      <c r="B17" s="47" t="str">
        <f t="shared" si="0"/>
        <v>ТЦ_ 20.4.04.02_78_783901001_22.04.24_2</v>
      </c>
      <c r="C17" s="47" t="s">
        <v>3580</v>
      </c>
      <c r="D17" s="47" t="s">
        <v>3581</v>
      </c>
      <c r="E17" s="47" t="s">
        <v>3552</v>
      </c>
      <c r="F17" s="47">
        <v>1</v>
      </c>
      <c r="G17" s="47">
        <v>396000</v>
      </c>
      <c r="H17" s="47">
        <f t="shared" si="1"/>
        <v>330000</v>
      </c>
      <c r="I17" s="47"/>
      <c r="J17" s="47"/>
      <c r="K17" s="47"/>
      <c r="L17" s="47">
        <f t="shared" si="2"/>
        <v>330000</v>
      </c>
      <c r="M17" s="47"/>
      <c r="N17" s="47"/>
      <c r="O17" s="47" t="s">
        <v>40</v>
      </c>
      <c r="P17" s="47">
        <v>7839109650</v>
      </c>
      <c r="Q17" s="47">
        <v>783901001</v>
      </c>
      <c r="R17" s="47" t="s">
        <v>41</v>
      </c>
      <c r="S17" s="47" t="s">
        <v>39</v>
      </c>
      <c r="T17" s="47">
        <v>2</v>
      </c>
      <c r="U17" s="30" t="s">
        <v>3573</v>
      </c>
      <c r="X17" t="s">
        <v>3574</v>
      </c>
      <c r="Y17">
        <v>78</v>
      </c>
    </row>
    <row r="18" spans="1:26" x14ac:dyDescent="0.25">
      <c r="A18" s="49" t="s">
        <v>3586</v>
      </c>
      <c r="B18" s="47" t="str">
        <f t="shared" si="0"/>
        <v>ТЦ_ 89.1.61.02_78_783901001_22.04.24_2</v>
      </c>
      <c r="C18" s="47" t="s">
        <v>3583</v>
      </c>
      <c r="D18" s="47" t="s">
        <v>3584</v>
      </c>
      <c r="E18" s="47" t="s">
        <v>3552</v>
      </c>
      <c r="F18" s="47">
        <v>1</v>
      </c>
      <c r="G18" s="47">
        <v>27000</v>
      </c>
      <c r="H18" s="47">
        <f t="shared" si="1"/>
        <v>22500</v>
      </c>
      <c r="I18" s="47"/>
      <c r="J18" s="47"/>
      <c r="K18" s="47"/>
      <c r="L18" s="47">
        <f t="shared" si="2"/>
        <v>22500</v>
      </c>
      <c r="M18" s="47"/>
      <c r="N18" s="47"/>
      <c r="O18" s="47" t="s">
        <v>40</v>
      </c>
      <c r="P18" s="47">
        <v>7839109650</v>
      </c>
      <c r="Q18" s="47">
        <v>783901001</v>
      </c>
      <c r="R18" s="47" t="s">
        <v>41</v>
      </c>
      <c r="S18" s="47" t="s">
        <v>39</v>
      </c>
      <c r="T18" s="47">
        <v>2</v>
      </c>
      <c r="U18" s="30" t="s">
        <v>3573</v>
      </c>
      <c r="X18" t="s">
        <v>3585</v>
      </c>
      <c r="Y18">
        <v>78</v>
      </c>
    </row>
    <row r="19" spans="1:26" x14ac:dyDescent="0.25">
      <c r="A19" s="49" t="s">
        <v>3590</v>
      </c>
      <c r="B19" s="47" t="str">
        <f t="shared" si="0"/>
        <v>ТЦ_ 62.7.01.04_78_783901001_22.04.24_2</v>
      </c>
      <c r="C19" s="47" t="s">
        <v>3587</v>
      </c>
      <c r="D19" s="47" t="s">
        <v>3588</v>
      </c>
      <c r="E19" s="47" t="s">
        <v>3552</v>
      </c>
      <c r="F19" s="47">
        <v>1</v>
      </c>
      <c r="G19" s="47">
        <v>540000</v>
      </c>
      <c r="H19" s="47">
        <f t="shared" si="1"/>
        <v>450000</v>
      </c>
      <c r="I19" s="47"/>
      <c r="J19" s="47"/>
      <c r="K19" s="47"/>
      <c r="L19" s="47">
        <f t="shared" si="2"/>
        <v>450000</v>
      </c>
      <c r="M19" s="47"/>
      <c r="N19" s="47"/>
      <c r="O19" s="47" t="s">
        <v>40</v>
      </c>
      <c r="P19" s="47">
        <v>7839109650</v>
      </c>
      <c r="Q19" s="47">
        <v>783901001</v>
      </c>
      <c r="R19" s="47" t="s">
        <v>41</v>
      </c>
      <c r="S19" s="47" t="s">
        <v>39</v>
      </c>
      <c r="T19" s="47">
        <v>2</v>
      </c>
      <c r="U19" s="30" t="s">
        <v>3573</v>
      </c>
      <c r="X19" t="s">
        <v>3589</v>
      </c>
      <c r="Y19">
        <v>78</v>
      </c>
    </row>
    <row r="20" spans="1:26" x14ac:dyDescent="0.25">
      <c r="A20" s="49" t="s">
        <v>3602</v>
      </c>
      <c r="B20" s="47" t="str">
        <f t="shared" si="0"/>
        <v>ТЦ_ 21.1.08.03_78_324501001_22.04.24_2</v>
      </c>
      <c r="C20" s="47" t="s">
        <v>3597</v>
      </c>
      <c r="D20" s="47" t="s">
        <v>3597</v>
      </c>
      <c r="E20" s="47" t="s">
        <v>3598</v>
      </c>
      <c r="F20" s="47">
        <v>969</v>
      </c>
      <c r="G20" s="47" t="s">
        <v>3599</v>
      </c>
      <c r="H20" s="47">
        <f t="shared" si="1"/>
        <v>36.208333333333336</v>
      </c>
      <c r="I20" s="47"/>
      <c r="J20" s="47"/>
      <c r="K20" s="47"/>
      <c r="L20" s="47">
        <f t="shared" si="2"/>
        <v>36.208333333333336</v>
      </c>
      <c r="M20" s="47"/>
      <c r="N20" s="47"/>
      <c r="O20" s="47" t="s">
        <v>3591</v>
      </c>
      <c r="P20" s="47">
        <v>9710008385</v>
      </c>
      <c r="Q20" s="47">
        <v>324501001</v>
      </c>
      <c r="R20" s="50" t="s">
        <v>3614</v>
      </c>
      <c r="S20" s="47" t="s">
        <v>39</v>
      </c>
      <c r="T20" s="47">
        <v>2</v>
      </c>
      <c r="U20" s="30" t="s">
        <v>3573</v>
      </c>
      <c r="V20">
        <f ca="1">G20/100*RANDBETWEEN(3,5)</f>
        <v>1.3035000000000001</v>
      </c>
      <c r="W20">
        <f ca="1">G20/100*RANDBETWEEN(6,8)</f>
        <v>3.4760000000000004</v>
      </c>
      <c r="X20" t="s">
        <v>3600</v>
      </c>
      <c r="Y20">
        <v>78</v>
      </c>
    </row>
    <row r="21" spans="1:26" x14ac:dyDescent="0.25">
      <c r="A21" s="49" t="s">
        <v>3603</v>
      </c>
      <c r="B21" s="51" t="str">
        <f t="shared" ref="B21:B22" si="3">"ТЦ"&amp;"_"&amp;X21&amp;"_"&amp;Y21&amp;"_"&amp;Q21&amp;"_"&amp;TEXT(U21,"ДД.ММ.ГГ")&amp;"_"&amp;T21</f>
        <v>ТЦ_ 21.1.08.03_77_772001001_22.04.24_2</v>
      </c>
      <c r="C21" s="51" t="s">
        <v>3597</v>
      </c>
      <c r="D21" s="51" t="s">
        <v>3597</v>
      </c>
      <c r="E21" s="51" t="s">
        <v>3598</v>
      </c>
      <c r="F21" s="51">
        <v>969</v>
      </c>
      <c r="G21" s="51">
        <v>46.74</v>
      </c>
      <c r="H21" s="51">
        <f t="shared" si="1"/>
        <v>38.950000000000003</v>
      </c>
      <c r="I21" s="51"/>
      <c r="J21" s="51"/>
      <c r="K21" s="51"/>
      <c r="L21" s="51">
        <f t="shared" si="2"/>
        <v>38.950000000000003</v>
      </c>
      <c r="M21" s="51"/>
      <c r="N21" s="51"/>
      <c r="O21" s="51" t="s">
        <v>3593</v>
      </c>
      <c r="P21" s="51">
        <v>7721801761</v>
      </c>
      <c r="Q21" s="51">
        <v>772001001</v>
      </c>
      <c r="R21" s="52" t="s">
        <v>3616</v>
      </c>
      <c r="S21" s="51" t="s">
        <v>2408</v>
      </c>
      <c r="T21" s="51">
        <v>2</v>
      </c>
      <c r="U21" t="s">
        <v>3573</v>
      </c>
      <c r="X21" t="s">
        <v>3600</v>
      </c>
      <c r="Y21">
        <v>77</v>
      </c>
      <c r="Z21">
        <v>2</v>
      </c>
    </row>
    <row r="22" spans="1:26" x14ac:dyDescent="0.25">
      <c r="A22" s="49" t="s">
        <v>3604</v>
      </c>
      <c r="B22" s="51" t="str">
        <f t="shared" si="3"/>
        <v>ТЦ_ 21.1.08.03_77_505001001_23.04.24_2</v>
      </c>
      <c r="C22" s="51" t="s">
        <v>3597</v>
      </c>
      <c r="D22" s="51" t="s">
        <v>3597</v>
      </c>
      <c r="E22" s="51" t="s">
        <v>3598</v>
      </c>
      <c r="F22" s="51">
        <v>969</v>
      </c>
      <c r="G22" s="51">
        <v>96.36</v>
      </c>
      <c r="H22" s="51">
        <f t="shared" si="1"/>
        <v>80.3</v>
      </c>
      <c r="I22" s="51"/>
      <c r="J22" s="51"/>
      <c r="K22" s="51"/>
      <c r="L22" s="51">
        <f t="shared" si="2"/>
        <v>80.3</v>
      </c>
      <c r="M22" s="51"/>
      <c r="N22" s="51"/>
      <c r="O22" s="51" t="s">
        <v>3596</v>
      </c>
      <c r="P22" s="51">
        <v>5050098030</v>
      </c>
      <c r="Q22" s="51">
        <v>505001001</v>
      </c>
      <c r="R22" s="52" t="s">
        <v>3615</v>
      </c>
      <c r="S22" s="51" t="s">
        <v>2408</v>
      </c>
      <c r="T22" s="51">
        <v>2</v>
      </c>
      <c r="U22" t="s">
        <v>3601</v>
      </c>
      <c r="X22" t="s">
        <v>3600</v>
      </c>
      <c r="Y22">
        <v>77</v>
      </c>
      <c r="Z22">
        <v>3</v>
      </c>
    </row>
    <row r="23" spans="1:26" x14ac:dyDescent="0.25">
      <c r="A23" s="49" t="s">
        <v>3608</v>
      </c>
      <c r="B23" s="47" t="str">
        <f>"ТЦ"&amp;"_"&amp;X23&amp;"_"&amp;Y23&amp;"_"&amp;Q23&amp;"_"&amp;TEXT(U23,"ДД.ММ.ГГ")&amp;"_"&amp;T23</f>
        <v>ТЦ_ 21.1.08.03_77_772001001_22.04.24_2</v>
      </c>
      <c r="C23" s="47" t="s">
        <v>3605</v>
      </c>
      <c r="D23" s="47" t="s">
        <v>3605</v>
      </c>
      <c r="E23" s="47" t="s">
        <v>3598</v>
      </c>
      <c r="F23" s="47">
        <v>35</v>
      </c>
      <c r="G23" s="47">
        <v>69.08</v>
      </c>
      <c r="H23" s="47">
        <f t="shared" si="1"/>
        <v>57.56666666666667</v>
      </c>
      <c r="I23" s="47"/>
      <c r="J23" s="47"/>
      <c r="K23" s="47"/>
      <c r="L23" s="47">
        <f t="shared" si="2"/>
        <v>57.56666666666667</v>
      </c>
      <c r="M23" s="47"/>
      <c r="N23" s="47"/>
      <c r="O23" s="47" t="s">
        <v>3593</v>
      </c>
      <c r="P23" s="47">
        <v>7721801761</v>
      </c>
      <c r="Q23" s="47">
        <v>772001001</v>
      </c>
      <c r="R23" s="50" t="s">
        <v>3613</v>
      </c>
      <c r="S23" s="47" t="s">
        <v>2408</v>
      </c>
      <c r="T23" s="47">
        <v>2</v>
      </c>
      <c r="U23" s="30" t="s">
        <v>3573</v>
      </c>
      <c r="V23">
        <f ca="1">G23/100*RANDBETWEEN(3,5)</f>
        <v>2.0724</v>
      </c>
      <c r="W23">
        <f ca="1">G23/100*RANDBETWEEN(6,8)</f>
        <v>5.5263999999999998</v>
      </c>
      <c r="X23" t="s">
        <v>3600</v>
      </c>
      <c r="Y23">
        <v>77</v>
      </c>
    </row>
    <row r="24" spans="1:26" x14ac:dyDescent="0.25">
      <c r="A24" s="49" t="s">
        <v>3609</v>
      </c>
      <c r="B24" s="51" t="str">
        <f t="shared" ref="B24:B25" si="4">"ТЦ"&amp;"_"&amp;X24&amp;"_"&amp;Y24&amp;"_"&amp;Q24&amp;"_"&amp;TEXT(U24,"ДД.ММ.ГГ")&amp;"_"&amp;T24</f>
        <v>ТЦ_ 21.1.08.03_78_324501001_22.04.24_2</v>
      </c>
      <c r="C24" s="51" t="s">
        <v>3605</v>
      </c>
      <c r="D24" s="51" t="s">
        <v>3605</v>
      </c>
      <c r="E24" s="51" t="s">
        <v>3598</v>
      </c>
      <c r="F24" s="51">
        <v>35</v>
      </c>
      <c r="G24" s="51" t="s">
        <v>3606</v>
      </c>
      <c r="H24" s="51">
        <f t="shared" si="1"/>
        <v>61.041666666666671</v>
      </c>
      <c r="I24" s="51"/>
      <c r="J24" s="51"/>
      <c r="K24" s="51"/>
      <c r="L24" s="51">
        <f t="shared" si="2"/>
        <v>61.041666666666671</v>
      </c>
      <c r="M24" s="51"/>
      <c r="N24" s="51"/>
      <c r="O24" s="51" t="s">
        <v>3591</v>
      </c>
      <c r="P24" s="51">
        <v>9710008385</v>
      </c>
      <c r="Q24" s="51">
        <v>324501001</v>
      </c>
      <c r="R24" s="52" t="s">
        <v>3612</v>
      </c>
      <c r="S24" s="51" t="s">
        <v>39</v>
      </c>
      <c r="T24" s="51">
        <v>2</v>
      </c>
      <c r="U24" t="s">
        <v>3573</v>
      </c>
      <c r="X24" t="s">
        <v>3600</v>
      </c>
      <c r="Y24">
        <v>78</v>
      </c>
      <c r="Z24">
        <v>2</v>
      </c>
    </row>
    <row r="25" spans="1:26" x14ac:dyDescent="0.25">
      <c r="A25" s="49" t="s">
        <v>3610</v>
      </c>
      <c r="B25" s="51" t="str">
        <f t="shared" si="4"/>
        <v>ТЦ_ 21.1.08.03_78_780401001_23.04.24_2</v>
      </c>
      <c r="C25" s="51" t="s">
        <v>3605</v>
      </c>
      <c r="D25" s="51" t="s">
        <v>3605</v>
      </c>
      <c r="E25" s="51" t="s">
        <v>3598</v>
      </c>
      <c r="F25" s="51">
        <v>35</v>
      </c>
      <c r="G25" s="51" t="s">
        <v>3607</v>
      </c>
      <c r="H25" s="51">
        <f t="shared" si="1"/>
        <v>67.533333333333346</v>
      </c>
      <c r="I25" s="51"/>
      <c r="J25" s="51"/>
      <c r="K25" s="51"/>
      <c r="L25" s="51">
        <f t="shared" si="2"/>
        <v>67.533333333333346</v>
      </c>
      <c r="M25" s="51"/>
      <c r="N25" s="51"/>
      <c r="O25" s="51" t="s">
        <v>44</v>
      </c>
      <c r="P25" s="51">
        <v>7804274156</v>
      </c>
      <c r="Q25" s="51">
        <v>780401001</v>
      </c>
      <c r="R25" s="52" t="s">
        <v>3611</v>
      </c>
      <c r="S25" s="51" t="s">
        <v>39</v>
      </c>
      <c r="T25" s="51">
        <v>2</v>
      </c>
      <c r="U25" t="s">
        <v>3601</v>
      </c>
      <c r="X25" t="s">
        <v>3600</v>
      </c>
      <c r="Y25">
        <v>78</v>
      </c>
      <c r="Z25">
        <v>3</v>
      </c>
    </row>
    <row r="26" spans="1:26" ht="20.25" customHeight="1" x14ac:dyDescent="0.25">
      <c r="A26" s="49" t="s">
        <v>3623</v>
      </c>
      <c r="B26" s="47" t="str">
        <f>"ТЦ"&amp;"_"&amp;X26&amp;"_"&amp;Y26&amp;"_"&amp;Q26&amp;"_"&amp;TEXT(U26,"ДД.ММ.ГГ")&amp;"_"&amp;T26</f>
        <v>ТЦ_ 21.1.04.07_77_772001001_22.04.24_2</v>
      </c>
      <c r="C26" s="47" t="s">
        <v>3621</v>
      </c>
      <c r="D26" s="47" t="s">
        <v>3621</v>
      </c>
      <c r="E26" s="47" t="s">
        <v>3598</v>
      </c>
      <c r="F26" s="47">
        <v>400</v>
      </c>
      <c r="G26" s="47">
        <v>68.5</v>
      </c>
      <c r="H26" s="47">
        <f t="shared" si="1"/>
        <v>57.083333333333336</v>
      </c>
      <c r="I26" s="47"/>
      <c r="J26" s="47"/>
      <c r="K26" s="47"/>
      <c r="L26" s="47">
        <f t="shared" si="2"/>
        <v>57.083333333333336</v>
      </c>
      <c r="M26" s="47"/>
      <c r="N26" s="47"/>
      <c r="O26" s="47" t="s">
        <v>3617</v>
      </c>
      <c r="P26" s="47">
        <v>7720413452</v>
      </c>
      <c r="Q26" s="47">
        <v>772001001</v>
      </c>
      <c r="R26" s="50" t="s">
        <v>3640</v>
      </c>
      <c r="S26" s="47" t="s">
        <v>2408</v>
      </c>
      <c r="T26" s="47">
        <v>2</v>
      </c>
      <c r="U26" s="30" t="s">
        <v>3573</v>
      </c>
      <c r="V26">
        <f ca="1">G26/100*RANDBETWEEN(3,5)</f>
        <v>2.74</v>
      </c>
      <c r="W26">
        <f ca="1">G26/100*RANDBETWEEN(6,8)</f>
        <v>4.7949999999999999</v>
      </c>
      <c r="X26" t="s">
        <v>3622</v>
      </c>
      <c r="Y26">
        <v>77</v>
      </c>
    </row>
    <row r="27" spans="1:26" ht="18.75" customHeight="1" x14ac:dyDescent="0.25">
      <c r="A27" s="49" t="s">
        <v>3624</v>
      </c>
      <c r="B27" s="51" t="str">
        <f t="shared" ref="B27:B28" si="5">"ТЦ"&amp;"_"&amp;X27&amp;"_"&amp;Y27&amp;"_"&amp;Q27&amp;"_"&amp;TEXT(U27,"ДД.ММ.ГГ")&amp;"_"&amp;T27</f>
        <v>ТЦ_ 21.1.04.07_78_780201001_22.04.24_2</v>
      </c>
      <c r="C27" s="51" t="s">
        <v>3621</v>
      </c>
      <c r="D27" s="51" t="s">
        <v>3621</v>
      </c>
      <c r="E27" s="51" t="s">
        <v>3598</v>
      </c>
      <c r="F27" s="51">
        <v>400</v>
      </c>
      <c r="G27" s="51">
        <v>146.37</v>
      </c>
      <c r="H27" s="51">
        <f t="shared" si="1"/>
        <v>121.97500000000001</v>
      </c>
      <c r="I27" s="51"/>
      <c r="J27" s="51"/>
      <c r="K27" s="51"/>
      <c r="L27" s="51">
        <f t="shared" si="2"/>
        <v>121.97500000000001</v>
      </c>
      <c r="M27" s="51"/>
      <c r="N27" s="51"/>
      <c r="O27" s="51" t="s">
        <v>3619</v>
      </c>
      <c r="P27" s="51">
        <v>7804526942</v>
      </c>
      <c r="Q27" s="51">
        <v>780201001</v>
      </c>
      <c r="R27" s="52" t="s">
        <v>3639</v>
      </c>
      <c r="S27" s="51" t="s">
        <v>39</v>
      </c>
      <c r="T27" s="51">
        <v>2</v>
      </c>
      <c r="U27" t="s">
        <v>3573</v>
      </c>
      <c r="X27" t="s">
        <v>3622</v>
      </c>
      <c r="Y27">
        <v>78</v>
      </c>
      <c r="Z27">
        <v>2</v>
      </c>
    </row>
    <row r="28" spans="1:26" ht="14.25" customHeight="1" x14ac:dyDescent="0.25">
      <c r="A28" s="49" t="s">
        <v>3625</v>
      </c>
      <c r="B28" s="51" t="str">
        <f t="shared" si="5"/>
        <v>ТЦ_ 21.1.04.07_77_772001001_23.04.24_2</v>
      </c>
      <c r="C28" s="51" t="s">
        <v>3621</v>
      </c>
      <c r="D28" s="51" t="s">
        <v>3621</v>
      </c>
      <c r="E28" s="51" t="s">
        <v>3598</v>
      </c>
      <c r="F28" s="51">
        <v>400</v>
      </c>
      <c r="G28" s="51">
        <v>225</v>
      </c>
      <c r="H28" s="51">
        <f t="shared" si="1"/>
        <v>187.5</v>
      </c>
      <c r="I28" s="51"/>
      <c r="J28" s="51"/>
      <c r="K28" s="51"/>
      <c r="L28" s="51">
        <f t="shared" si="2"/>
        <v>187.5</v>
      </c>
      <c r="M28" s="51"/>
      <c r="N28" s="51"/>
      <c r="O28" s="51" t="s">
        <v>3593</v>
      </c>
      <c r="P28" s="51">
        <v>7721801761</v>
      </c>
      <c r="Q28" s="51">
        <v>772001001</v>
      </c>
      <c r="R28" s="52" t="s">
        <v>3638</v>
      </c>
      <c r="S28" s="51" t="s">
        <v>2408</v>
      </c>
      <c r="T28" s="51">
        <v>2</v>
      </c>
      <c r="U28" t="s">
        <v>3601</v>
      </c>
      <c r="X28" t="s">
        <v>3622</v>
      </c>
      <c r="Y28">
        <v>77</v>
      </c>
      <c r="Z28">
        <v>3</v>
      </c>
    </row>
    <row r="29" spans="1:26" x14ac:dyDescent="0.25">
      <c r="A29" s="49" t="s">
        <v>3632</v>
      </c>
      <c r="B29" s="47" t="str">
        <f>"ТЦ"&amp;"_"&amp;X29&amp;"_"&amp;Y29&amp;"_"&amp;Q29&amp;"_"&amp;TEXT(U29,"ДД.ММ.ГГ")&amp;"_"&amp;T29</f>
        <v>ТЦ_ 21.1.04.01_78_780401001_22.04.24_2</v>
      </c>
      <c r="C29" s="47" t="s">
        <v>3630</v>
      </c>
      <c r="D29" s="47" t="s">
        <v>3630</v>
      </c>
      <c r="E29" s="47" t="s">
        <v>3598</v>
      </c>
      <c r="F29" s="47">
        <v>60</v>
      </c>
      <c r="G29" s="47">
        <v>109</v>
      </c>
      <c r="H29" s="47">
        <f t="shared" si="1"/>
        <v>90.833333333333343</v>
      </c>
      <c r="I29" s="47"/>
      <c r="J29" s="47"/>
      <c r="K29" s="47"/>
      <c r="L29" s="47">
        <f t="shared" si="2"/>
        <v>90.833333333333343</v>
      </c>
      <c r="M29" s="47"/>
      <c r="N29" s="47"/>
      <c r="O29" s="47" t="s">
        <v>44</v>
      </c>
      <c r="P29" s="47">
        <v>7804274156</v>
      </c>
      <c r="Q29" s="47">
        <v>780401001</v>
      </c>
      <c r="R29" s="50" t="s">
        <v>3635</v>
      </c>
      <c r="S29" s="47" t="s">
        <v>39</v>
      </c>
      <c r="T29" s="47">
        <v>2</v>
      </c>
      <c r="U29" s="30" t="s">
        <v>3573</v>
      </c>
      <c r="V29">
        <f ca="1">G29/100*RANDBETWEEN(3,5)</f>
        <v>4.3600000000000003</v>
      </c>
      <c r="W29">
        <f ca="1">G29/100*RANDBETWEEN(6,8)</f>
        <v>7.6300000000000008</v>
      </c>
      <c r="X29" t="s">
        <v>3631</v>
      </c>
      <c r="Y29">
        <v>78</v>
      </c>
    </row>
    <row r="30" spans="1:26" x14ac:dyDescent="0.25">
      <c r="A30" s="49" t="s">
        <v>3633</v>
      </c>
      <c r="B30" s="51" t="str">
        <f t="shared" ref="B30:B31" si="6">"ТЦ"&amp;"_"&amp;X30&amp;"_"&amp;Y30&amp;"_"&amp;Q30&amp;"_"&amp;TEXT(U30,"ДД.ММ.ГГ")&amp;"_"&amp;T30</f>
        <v>ТЦ_ 21.1.04.01_77_770201001_22.04.24_2</v>
      </c>
      <c r="C30" s="51" t="s">
        <v>3630</v>
      </c>
      <c r="D30" s="51" t="s">
        <v>3630</v>
      </c>
      <c r="E30" s="51" t="s">
        <v>3598</v>
      </c>
      <c r="F30" s="51">
        <v>60</v>
      </c>
      <c r="G30" s="51">
        <v>109.02</v>
      </c>
      <c r="H30" s="51">
        <f t="shared" si="1"/>
        <v>90.85</v>
      </c>
      <c r="I30" s="51"/>
      <c r="J30" s="51"/>
      <c r="K30" s="51"/>
      <c r="L30" s="51">
        <f t="shared" si="2"/>
        <v>90.85</v>
      </c>
      <c r="M30" s="51"/>
      <c r="N30" s="51"/>
      <c r="O30" s="51" t="s">
        <v>3626</v>
      </c>
      <c r="P30" s="51">
        <v>7702680818</v>
      </c>
      <c r="Q30" s="51">
        <v>770201001</v>
      </c>
      <c r="R30" s="52" t="s">
        <v>3636</v>
      </c>
      <c r="S30" s="51" t="s">
        <v>2408</v>
      </c>
      <c r="T30" s="51">
        <v>2</v>
      </c>
      <c r="U30" t="s">
        <v>3573</v>
      </c>
      <c r="X30" t="s">
        <v>3631</v>
      </c>
      <c r="Y30">
        <v>77</v>
      </c>
      <c r="Z30">
        <v>2</v>
      </c>
    </row>
    <row r="31" spans="1:26" x14ac:dyDescent="0.25">
      <c r="A31" s="49" t="s">
        <v>3634</v>
      </c>
      <c r="B31" s="51" t="str">
        <f t="shared" si="6"/>
        <v>ТЦ_ 21.1.04.01_78_781001001_23.04.24_2</v>
      </c>
      <c r="C31" s="51" t="s">
        <v>3630</v>
      </c>
      <c r="D31" s="51" t="s">
        <v>3630</v>
      </c>
      <c r="E31" s="51" t="s">
        <v>3598</v>
      </c>
      <c r="F31" s="51">
        <v>60</v>
      </c>
      <c r="G31" s="51">
        <v>109.02</v>
      </c>
      <c r="H31" s="51">
        <f t="shared" si="1"/>
        <v>90.85</v>
      </c>
      <c r="I31" s="51"/>
      <c r="J31" s="51"/>
      <c r="K31" s="51"/>
      <c r="L31" s="51">
        <f t="shared" si="2"/>
        <v>90.85</v>
      </c>
      <c r="M31" s="51"/>
      <c r="N31" s="51"/>
      <c r="O31" s="51" t="s">
        <v>3629</v>
      </c>
      <c r="P31" s="51">
        <v>7810623359</v>
      </c>
      <c r="Q31" s="51">
        <v>781001001</v>
      </c>
      <c r="R31" s="52" t="s">
        <v>3637</v>
      </c>
      <c r="S31" s="51" t="s">
        <v>39</v>
      </c>
      <c r="T31" s="51">
        <v>2</v>
      </c>
      <c r="U31" t="s">
        <v>3601</v>
      </c>
      <c r="X31" t="s">
        <v>3631</v>
      </c>
      <c r="Y31">
        <v>78</v>
      </c>
      <c r="Z31">
        <v>3</v>
      </c>
    </row>
    <row r="32" spans="1:26" x14ac:dyDescent="0.25">
      <c r="A32" s="49" t="s">
        <v>3650</v>
      </c>
      <c r="B32" s="47" t="str">
        <f>"ТЦ"&amp;"_"&amp;X32&amp;"_"&amp;Y32&amp;"_"&amp;Q32&amp;"_"&amp;TEXT(U32,"ДД.ММ.ГГ")&amp;"_"&amp;T32</f>
        <v>ТЦ_ 18.1.09.11_64_645001001_21.04.24_1</v>
      </c>
      <c r="C32" s="47" t="s">
        <v>3647</v>
      </c>
      <c r="D32" s="47" t="s">
        <v>3647</v>
      </c>
      <c r="E32" s="47" t="s">
        <v>3552</v>
      </c>
      <c r="F32" s="47">
        <v>4</v>
      </c>
      <c r="G32" s="47">
        <v>3685</v>
      </c>
      <c r="H32" s="47">
        <f t="shared" si="1"/>
        <v>3070.8333333333335</v>
      </c>
      <c r="I32" s="47"/>
      <c r="J32" s="47"/>
      <c r="K32" s="47"/>
      <c r="L32" s="47">
        <f t="shared" si="2"/>
        <v>3070.8333333333335</v>
      </c>
      <c r="M32" s="47"/>
      <c r="N32" s="47"/>
      <c r="O32" s="47" t="s">
        <v>3642</v>
      </c>
      <c r="P32" s="47">
        <v>6450078745</v>
      </c>
      <c r="Q32" s="47">
        <v>645001001</v>
      </c>
      <c r="R32" s="50" t="s">
        <v>3653</v>
      </c>
      <c r="S32" s="47" t="s">
        <v>3296</v>
      </c>
      <c r="T32" s="47">
        <v>1</v>
      </c>
      <c r="U32" s="30" t="s">
        <v>3648</v>
      </c>
      <c r="V32">
        <f ca="1">G32/100*RANDBETWEEN(3,5)</f>
        <v>184.25</v>
      </c>
      <c r="W32">
        <f ca="1">G32/100*RANDBETWEEN(6,8)</f>
        <v>221.10000000000002</v>
      </c>
      <c r="X32" t="s">
        <v>3649</v>
      </c>
      <c r="Y32">
        <v>64</v>
      </c>
    </row>
    <row r="33" spans="1:26" x14ac:dyDescent="0.25">
      <c r="A33" s="49" t="s">
        <v>3651</v>
      </c>
      <c r="B33" s="51" t="str">
        <f t="shared" ref="B33:B34" si="7">"ТЦ"&amp;"_"&amp;X33&amp;"_"&amp;Y33&amp;"_"&amp;Q33&amp;"_"&amp;TEXT(U33,"ДД.ММ.ГГ")&amp;"_"&amp;T33</f>
        <v>ТЦ_ 18.1.09.11_78_668501001_22.04.24_1</v>
      </c>
      <c r="C33" s="51" t="s">
        <v>3647</v>
      </c>
      <c r="D33" s="51" t="s">
        <v>3647</v>
      </c>
      <c r="E33" s="51" t="s">
        <v>3552</v>
      </c>
      <c r="F33" s="51">
        <v>4</v>
      </c>
      <c r="G33" s="51">
        <v>4161</v>
      </c>
      <c r="H33" s="51">
        <f t="shared" si="1"/>
        <v>3467.5</v>
      </c>
      <c r="I33" s="51"/>
      <c r="J33" s="51"/>
      <c r="K33" s="51"/>
      <c r="L33" s="51">
        <f t="shared" si="2"/>
        <v>3467.5</v>
      </c>
      <c r="M33" s="51"/>
      <c r="N33" s="51"/>
      <c r="O33" s="51" t="s">
        <v>3758</v>
      </c>
      <c r="P33" s="51">
        <v>6671331139</v>
      </c>
      <c r="Q33" s="51">
        <v>668501001</v>
      </c>
      <c r="R33" s="52" t="s">
        <v>3654</v>
      </c>
      <c r="S33" s="51" t="s">
        <v>39</v>
      </c>
      <c r="T33" s="51">
        <v>1</v>
      </c>
      <c r="U33" t="s">
        <v>3573</v>
      </c>
      <c r="X33" t="s">
        <v>3649</v>
      </c>
      <c r="Y33">
        <v>78</v>
      </c>
      <c r="Z33">
        <v>2</v>
      </c>
    </row>
    <row r="34" spans="1:26" x14ac:dyDescent="0.25">
      <c r="A34" s="49" t="s">
        <v>3652</v>
      </c>
      <c r="B34" s="51" t="str">
        <f t="shared" si="7"/>
        <v>ТЦ_ 18.1.09.11_77_772401001_23.04.24_2</v>
      </c>
      <c r="C34" s="51" t="s">
        <v>3647</v>
      </c>
      <c r="D34" s="51" t="s">
        <v>3647</v>
      </c>
      <c r="E34" s="51" t="s">
        <v>3552</v>
      </c>
      <c r="F34" s="51">
        <v>4</v>
      </c>
      <c r="G34" s="51">
        <v>12002</v>
      </c>
      <c r="H34" s="51">
        <f t="shared" si="1"/>
        <v>10001.666666666668</v>
      </c>
      <c r="I34" s="51"/>
      <c r="J34" s="51"/>
      <c r="K34" s="51"/>
      <c r="L34" s="51">
        <f t="shared" si="2"/>
        <v>10001.666666666668</v>
      </c>
      <c r="M34" s="51"/>
      <c r="N34" s="51"/>
      <c r="O34" s="51" t="s">
        <v>3645</v>
      </c>
      <c r="P34" s="51">
        <v>7724452117</v>
      </c>
      <c r="Q34" s="51">
        <v>772401001</v>
      </c>
      <c r="R34" s="52" t="s">
        <v>3655</v>
      </c>
      <c r="S34" s="51" t="s">
        <v>2408</v>
      </c>
      <c r="T34" s="51">
        <v>2</v>
      </c>
      <c r="U34" t="s">
        <v>3601</v>
      </c>
      <c r="X34" t="s">
        <v>3649</v>
      </c>
      <c r="Y34">
        <v>77</v>
      </c>
      <c r="Z34">
        <v>3</v>
      </c>
    </row>
    <row r="35" spans="1:26" x14ac:dyDescent="0.25">
      <c r="A35" s="49" t="s">
        <v>3657</v>
      </c>
      <c r="B35" s="47" t="str">
        <f>"ТЦ"&amp;"_"&amp;X35&amp;"_"&amp;Y35&amp;"_"&amp;Q35&amp;"_"&amp;TEXT(U35,"ДД.ММ.ГГ")&amp;"_"&amp;T35</f>
        <v>ТЦ_ 18.1.09.11_64_645001001_21.04.24_1</v>
      </c>
      <c r="C35" s="47" t="s">
        <v>3656</v>
      </c>
      <c r="D35" s="47" t="s">
        <v>3656</v>
      </c>
      <c r="E35" s="47" t="s">
        <v>3552</v>
      </c>
      <c r="F35" s="47">
        <v>2</v>
      </c>
      <c r="G35" s="47">
        <v>3036</v>
      </c>
      <c r="H35" s="47">
        <f t="shared" si="1"/>
        <v>2530</v>
      </c>
      <c r="I35" s="47"/>
      <c r="J35" s="47"/>
      <c r="K35" s="47"/>
      <c r="L35" s="47">
        <f t="shared" si="2"/>
        <v>2530</v>
      </c>
      <c r="M35" s="47"/>
      <c r="N35" s="47"/>
      <c r="O35" s="47" t="s">
        <v>3642</v>
      </c>
      <c r="P35" s="47">
        <v>6450078745</v>
      </c>
      <c r="Q35" s="47">
        <v>645001001</v>
      </c>
      <c r="R35" s="50" t="s">
        <v>3660</v>
      </c>
      <c r="S35" s="47" t="s">
        <v>3296</v>
      </c>
      <c r="T35" s="47">
        <v>1</v>
      </c>
      <c r="U35" s="30" t="s">
        <v>3648</v>
      </c>
      <c r="V35">
        <f ca="1">G35/100*RANDBETWEEN(3,5)</f>
        <v>91.08</v>
      </c>
      <c r="W35">
        <f ca="1">G35/100*RANDBETWEEN(6,8)</f>
        <v>182.16</v>
      </c>
      <c r="X35" t="s">
        <v>3649</v>
      </c>
      <c r="Y35">
        <v>64</v>
      </c>
    </row>
    <row r="36" spans="1:26" x14ac:dyDescent="0.25">
      <c r="A36" s="49" t="s">
        <v>3658</v>
      </c>
      <c r="B36" s="51" t="str">
        <f t="shared" ref="B36:B37" si="8">"ТЦ"&amp;"_"&amp;X36&amp;"_"&amp;Y36&amp;"_"&amp;Q36&amp;"_"&amp;TEXT(U36,"ДД.ММ.ГГ")&amp;"_"&amp;T36</f>
        <v>ТЦ_ 18.1.09.11_78_668501001_22.04.24_1</v>
      </c>
      <c r="C36" s="51" t="s">
        <v>3656</v>
      </c>
      <c r="D36" s="51" t="s">
        <v>3656</v>
      </c>
      <c r="E36" s="51" t="s">
        <v>3552</v>
      </c>
      <c r="F36" s="51">
        <v>2</v>
      </c>
      <c r="G36" s="51">
        <v>3373</v>
      </c>
      <c r="H36" s="51">
        <f t="shared" si="1"/>
        <v>2810.8333333333335</v>
      </c>
      <c r="I36" s="51"/>
      <c r="J36" s="51"/>
      <c r="K36" s="51"/>
      <c r="L36" s="51">
        <f t="shared" si="2"/>
        <v>2810.8333333333335</v>
      </c>
      <c r="M36" s="51"/>
      <c r="N36" s="51"/>
      <c r="O36" s="51" t="s">
        <v>3758</v>
      </c>
      <c r="P36" s="51">
        <v>6671331139</v>
      </c>
      <c r="Q36" s="51">
        <v>668501001</v>
      </c>
      <c r="R36" s="52" t="s">
        <v>3661</v>
      </c>
      <c r="S36" s="51" t="s">
        <v>39</v>
      </c>
      <c r="T36" s="51">
        <v>1</v>
      </c>
      <c r="U36" t="s">
        <v>3573</v>
      </c>
      <c r="X36" t="s">
        <v>3649</v>
      </c>
      <c r="Y36">
        <v>78</v>
      </c>
      <c r="Z36">
        <v>2</v>
      </c>
    </row>
    <row r="37" spans="1:26" x14ac:dyDescent="0.25">
      <c r="A37" s="49" t="s">
        <v>3659</v>
      </c>
      <c r="B37" s="51" t="str">
        <f t="shared" si="8"/>
        <v>ТЦ_ 18.1.09.11_77_772401001_23.04.24_2</v>
      </c>
      <c r="C37" s="51" t="s">
        <v>3656</v>
      </c>
      <c r="D37" s="51" t="s">
        <v>3656</v>
      </c>
      <c r="E37" s="51" t="s">
        <v>3552</v>
      </c>
      <c r="F37" s="51">
        <v>2</v>
      </c>
      <c r="G37" s="51">
        <v>8463</v>
      </c>
      <c r="H37" s="51">
        <f t="shared" si="1"/>
        <v>7052.5</v>
      </c>
      <c r="I37" s="51"/>
      <c r="J37" s="51"/>
      <c r="K37" s="51"/>
      <c r="L37" s="51">
        <f t="shared" si="2"/>
        <v>7052.5</v>
      </c>
      <c r="M37" s="51"/>
      <c r="N37" s="51"/>
      <c r="O37" s="51" t="s">
        <v>3645</v>
      </c>
      <c r="P37" s="51">
        <v>7724452117</v>
      </c>
      <c r="Q37" s="51">
        <v>772401001</v>
      </c>
      <c r="R37" s="52" t="s">
        <v>3662</v>
      </c>
      <c r="S37" s="51" t="s">
        <v>2408</v>
      </c>
      <c r="T37" s="51">
        <v>2</v>
      </c>
      <c r="U37" t="s">
        <v>3601</v>
      </c>
      <c r="X37" t="s">
        <v>3649</v>
      </c>
      <c r="Y37">
        <v>77</v>
      </c>
      <c r="Z37">
        <v>3</v>
      </c>
    </row>
    <row r="38" spans="1:26" x14ac:dyDescent="0.25">
      <c r="A38" s="49" t="s">
        <v>3670</v>
      </c>
      <c r="B38" s="47" t="str">
        <f>"ТЦ"&amp;"_"&amp;X38&amp;"_"&amp;Y38&amp;"_"&amp;Q38&amp;"_"&amp;TEXT(U38,"ДД.ММ.ГГ")&amp;"_"&amp;T38</f>
        <v>ТЦ_ 18.1.09.11_74_667001001_21.04.24_2</v>
      </c>
      <c r="C38" s="47" t="s">
        <v>3669</v>
      </c>
      <c r="D38" s="47" t="s">
        <v>3669</v>
      </c>
      <c r="E38" s="47" t="s">
        <v>3552</v>
      </c>
      <c r="F38" s="47">
        <v>1</v>
      </c>
      <c r="G38" s="47">
        <v>1320</v>
      </c>
      <c r="H38" s="47">
        <f t="shared" si="1"/>
        <v>1100</v>
      </c>
      <c r="I38" s="47"/>
      <c r="J38" s="47"/>
      <c r="K38" s="47"/>
      <c r="L38" s="47">
        <f t="shared" si="2"/>
        <v>1100</v>
      </c>
      <c r="M38" s="47"/>
      <c r="N38" s="47"/>
      <c r="O38" s="47" t="s">
        <v>3664</v>
      </c>
      <c r="P38" s="47">
        <v>6679109432</v>
      </c>
      <c r="Q38" s="47">
        <v>667001001</v>
      </c>
      <c r="R38" s="50" t="s">
        <v>3673</v>
      </c>
      <c r="S38" s="47" t="s">
        <v>3470</v>
      </c>
      <c r="T38" s="47">
        <v>2</v>
      </c>
      <c r="U38" s="30" t="s">
        <v>3648</v>
      </c>
      <c r="V38">
        <f ca="1">G38/100*RANDBETWEEN(3,5)</f>
        <v>66</v>
      </c>
      <c r="W38">
        <f ca="1">G38/100*RANDBETWEEN(6,8)</f>
        <v>79.199999999999989</v>
      </c>
      <c r="X38" t="s">
        <v>3649</v>
      </c>
      <c r="Y38">
        <v>74</v>
      </c>
    </row>
    <row r="39" spans="1:26" x14ac:dyDescent="0.25">
      <c r="A39" s="49" t="s">
        <v>3671</v>
      </c>
      <c r="B39" s="51" t="str">
        <f t="shared" ref="B39:B40" si="9">"ТЦ"&amp;"_"&amp;X39&amp;"_"&amp;Y39&amp;"_"&amp;Q39&amp;"_"&amp;TEXT(U39,"ДД.ММ.ГГ")&amp;"_"&amp;T39</f>
        <v>ТЦ_ 18.1.09.11_59_590501001_22.04.24_1</v>
      </c>
      <c r="C39" s="51" t="s">
        <v>3669</v>
      </c>
      <c r="D39" s="51" t="s">
        <v>3669</v>
      </c>
      <c r="E39" s="51" t="s">
        <v>3552</v>
      </c>
      <c r="F39" s="51">
        <v>1</v>
      </c>
      <c r="G39" s="51">
        <v>1360</v>
      </c>
      <c r="H39" s="51">
        <f t="shared" si="1"/>
        <v>1133.3333333333335</v>
      </c>
      <c r="I39" s="51"/>
      <c r="J39" s="51"/>
      <c r="K39" s="51"/>
      <c r="L39" s="51">
        <f t="shared" si="2"/>
        <v>1133.3333333333335</v>
      </c>
      <c r="M39" s="51"/>
      <c r="N39" s="51"/>
      <c r="O39" s="51" t="s">
        <v>3666</v>
      </c>
      <c r="P39" s="51">
        <v>5905231483</v>
      </c>
      <c r="Q39" s="51">
        <v>590501001</v>
      </c>
      <c r="R39" s="52" t="s">
        <v>3674</v>
      </c>
      <c r="S39" s="51" t="s">
        <v>3213</v>
      </c>
      <c r="T39" s="51">
        <v>1</v>
      </c>
      <c r="U39" t="s">
        <v>3573</v>
      </c>
      <c r="X39" t="s">
        <v>3649</v>
      </c>
      <c r="Y39">
        <v>59</v>
      </c>
      <c r="Z39">
        <v>2</v>
      </c>
    </row>
    <row r="40" spans="1:26" x14ac:dyDescent="0.25">
      <c r="A40" s="49" t="s">
        <v>3672</v>
      </c>
      <c r="B40" s="51" t="str">
        <f t="shared" si="9"/>
        <v>ТЦ_ 18.1.09.11_74_745101001_23.04.24_1</v>
      </c>
      <c r="C40" s="51" t="s">
        <v>3669</v>
      </c>
      <c r="D40" s="51" t="s">
        <v>3669</v>
      </c>
      <c r="E40" s="51" t="s">
        <v>3552</v>
      </c>
      <c r="F40" s="51">
        <v>1</v>
      </c>
      <c r="G40" s="51">
        <v>1825</v>
      </c>
      <c r="H40" s="51">
        <f t="shared" si="1"/>
        <v>1520.8333333333335</v>
      </c>
      <c r="I40" s="51"/>
      <c r="J40" s="51"/>
      <c r="K40" s="51"/>
      <c r="L40" s="51">
        <f t="shared" si="2"/>
        <v>1520.8333333333335</v>
      </c>
      <c r="M40" s="51"/>
      <c r="N40" s="51"/>
      <c r="O40" s="51" t="s">
        <v>3667</v>
      </c>
      <c r="P40" s="51">
        <v>7451435053</v>
      </c>
      <c r="Q40" s="51">
        <v>745101001</v>
      </c>
      <c r="R40" s="52" t="s">
        <v>3675</v>
      </c>
      <c r="S40" s="51" t="s">
        <v>3470</v>
      </c>
      <c r="T40" s="51">
        <v>1</v>
      </c>
      <c r="U40" t="s">
        <v>3601</v>
      </c>
      <c r="X40" t="s">
        <v>3649</v>
      </c>
      <c r="Y40">
        <v>74</v>
      </c>
      <c r="Z40">
        <v>3</v>
      </c>
    </row>
    <row r="41" spans="1:26" x14ac:dyDescent="0.25">
      <c r="A41" s="49" t="s">
        <v>3684</v>
      </c>
      <c r="B41" s="47" t="str">
        <f>"ТЦ"&amp;"_"&amp;X41&amp;"_"&amp;Y41&amp;"_"&amp;Q41&amp;"_"&amp;TEXT(U41,"ДД.ММ.ГГ")&amp;"_"&amp;T41</f>
        <v>ТЦ_ 18.1.04.02_77_772401001_21.04.24_2</v>
      </c>
      <c r="C41" s="47" t="s">
        <v>3680</v>
      </c>
      <c r="D41" s="47" t="s">
        <v>3680</v>
      </c>
      <c r="E41" s="47" t="s">
        <v>3552</v>
      </c>
      <c r="F41" s="47">
        <v>1</v>
      </c>
      <c r="G41" s="47">
        <v>2700</v>
      </c>
      <c r="H41" s="47">
        <f t="shared" si="1"/>
        <v>2250</v>
      </c>
      <c r="I41" s="47"/>
      <c r="J41" s="47"/>
      <c r="K41" s="47"/>
      <c r="L41" s="47">
        <f t="shared" si="2"/>
        <v>2250</v>
      </c>
      <c r="M41" s="47"/>
      <c r="N41" s="47"/>
      <c r="O41" s="47" t="s">
        <v>3645</v>
      </c>
      <c r="P41" s="47">
        <v>7724452117</v>
      </c>
      <c r="Q41" s="47">
        <v>772401001</v>
      </c>
      <c r="R41" s="50" t="s">
        <v>3687</v>
      </c>
      <c r="S41" s="47" t="s">
        <v>2408</v>
      </c>
      <c r="T41" s="47">
        <v>2</v>
      </c>
      <c r="U41" s="30" t="s">
        <v>3648</v>
      </c>
      <c r="V41">
        <f ca="1">G41/100*RANDBETWEEN(3,5)</f>
        <v>81</v>
      </c>
      <c r="W41">
        <f ca="1">G41/100*RANDBETWEEN(6,8)</f>
        <v>216</v>
      </c>
      <c r="X41" t="s">
        <v>3681</v>
      </c>
      <c r="Y41">
        <v>77</v>
      </c>
    </row>
    <row r="42" spans="1:26" x14ac:dyDescent="0.25">
      <c r="A42" s="49" t="s">
        <v>3685</v>
      </c>
      <c r="B42" s="51" t="str">
        <f t="shared" ref="B42:B43" si="10">"ТЦ"&amp;"_"&amp;X42&amp;"_"&amp;Y42&amp;"_"&amp;Q42&amp;"_"&amp;TEXT(U42,"ДД.ММ.ГГ")&amp;"_"&amp;T42</f>
        <v>ТЦ_ 18.1.04.02_77_770401001_22.04.24_2</v>
      </c>
      <c r="C42" s="51" t="s">
        <v>3680</v>
      </c>
      <c r="D42" s="51" t="s">
        <v>3680</v>
      </c>
      <c r="E42" s="51" t="s">
        <v>3552</v>
      </c>
      <c r="F42" s="51">
        <v>1</v>
      </c>
      <c r="G42" s="51" t="s">
        <v>3683</v>
      </c>
      <c r="H42" s="51">
        <f t="shared" si="1"/>
        <v>3397</v>
      </c>
      <c r="I42" s="51"/>
      <c r="J42" s="51"/>
      <c r="K42" s="51"/>
      <c r="L42" s="51">
        <f t="shared" si="2"/>
        <v>3397</v>
      </c>
      <c r="M42" s="51"/>
      <c r="N42" s="51"/>
      <c r="O42" s="51" t="s">
        <v>3682</v>
      </c>
      <c r="P42" s="51">
        <v>7705674361</v>
      </c>
      <c r="Q42" s="51">
        <v>770401001</v>
      </c>
      <c r="R42" s="52" t="s">
        <v>3688</v>
      </c>
      <c r="S42" s="51" t="s">
        <v>2408</v>
      </c>
      <c r="T42" s="51">
        <v>2</v>
      </c>
      <c r="U42" t="s">
        <v>3573</v>
      </c>
      <c r="X42" t="s">
        <v>3681</v>
      </c>
      <c r="Y42">
        <v>77</v>
      </c>
      <c r="Z42">
        <v>2</v>
      </c>
    </row>
    <row r="43" spans="1:26" x14ac:dyDescent="0.25">
      <c r="A43" s="49" t="s">
        <v>3686</v>
      </c>
      <c r="B43" s="51" t="str">
        <f t="shared" si="10"/>
        <v>ТЦ_ 18.1.04.02_77_772001001_23.04.24_1</v>
      </c>
      <c r="C43" s="51" t="s">
        <v>3680</v>
      </c>
      <c r="D43" s="51" t="s">
        <v>3680</v>
      </c>
      <c r="E43" s="51" t="s">
        <v>3552</v>
      </c>
      <c r="F43" s="51">
        <v>1</v>
      </c>
      <c r="G43" s="51">
        <v>4898.95</v>
      </c>
      <c r="H43" s="51">
        <f t="shared" si="1"/>
        <v>4082.4583333333335</v>
      </c>
      <c r="I43" s="51"/>
      <c r="J43" s="51"/>
      <c r="K43" s="51"/>
      <c r="L43" s="51">
        <f t="shared" si="2"/>
        <v>4082.4583333333335</v>
      </c>
      <c r="M43" s="51"/>
      <c r="N43" s="51"/>
      <c r="O43" s="51" t="s">
        <v>3678</v>
      </c>
      <c r="P43" s="51">
        <v>7720323022</v>
      </c>
      <c r="Q43" s="51">
        <v>772001001</v>
      </c>
      <c r="R43" s="52" t="s">
        <v>3689</v>
      </c>
      <c r="S43" s="51" t="s">
        <v>2408</v>
      </c>
      <c r="T43" s="51">
        <v>1</v>
      </c>
      <c r="U43" t="s">
        <v>3601</v>
      </c>
      <c r="X43" t="s">
        <v>3681</v>
      </c>
      <c r="Y43">
        <v>77</v>
      </c>
      <c r="Z43">
        <v>3</v>
      </c>
    </row>
    <row r="44" spans="1:26" x14ac:dyDescent="0.25">
      <c r="A44" s="49" t="s">
        <v>3697</v>
      </c>
      <c r="B44" s="47" t="str">
        <f>"ТЦ"&amp;"_"&amp;X44&amp;"_"&amp;Y44&amp;"_"&amp;Q44&amp;"_"&amp;TEXT(U44,"ДД.ММ.ГГ")&amp;"_"&amp;T44</f>
        <v>ТЦ_ 18.1.08.05_50_500301001_21.04.24_1</v>
      </c>
      <c r="C44" s="47" t="s">
        <v>3694</v>
      </c>
      <c r="D44" s="47" t="s">
        <v>3694</v>
      </c>
      <c r="E44" s="47" t="s">
        <v>3552</v>
      </c>
      <c r="F44" s="47">
        <v>2</v>
      </c>
      <c r="G44" s="47" t="s">
        <v>3695</v>
      </c>
      <c r="H44" s="47">
        <f t="shared" si="1"/>
        <v>338.41666666666669</v>
      </c>
      <c r="I44" s="47"/>
      <c r="J44" s="47"/>
      <c r="K44" s="47"/>
      <c r="L44" s="47">
        <f t="shared" si="2"/>
        <v>338.41666666666669</v>
      </c>
      <c r="M44" s="47"/>
      <c r="N44" s="47"/>
      <c r="O44" s="47" t="s">
        <v>3691</v>
      </c>
      <c r="P44" s="47">
        <v>7736192449</v>
      </c>
      <c r="Q44" s="47">
        <v>500301001</v>
      </c>
      <c r="R44" s="50" t="s">
        <v>3700</v>
      </c>
      <c r="S44" s="47" t="s">
        <v>3005</v>
      </c>
      <c r="T44" s="47">
        <v>1</v>
      </c>
      <c r="U44" s="30" t="s">
        <v>3648</v>
      </c>
      <c r="V44">
        <f ca="1">G44/100*RANDBETWEEN(3,5)</f>
        <v>20.305</v>
      </c>
      <c r="W44">
        <f ca="1">G44/100*RANDBETWEEN(6,8)</f>
        <v>24.366</v>
      </c>
      <c r="X44" t="s">
        <v>3696</v>
      </c>
      <c r="Y44">
        <v>50</v>
      </c>
    </row>
    <row r="45" spans="1:26" x14ac:dyDescent="0.25">
      <c r="A45" s="49" t="s">
        <v>3698</v>
      </c>
      <c r="B45" s="51" t="str">
        <f t="shared" ref="B45:B46" si="11">"ТЦ"&amp;"_"&amp;X45&amp;"_"&amp;Y45&amp;"_"&amp;Q45&amp;"_"&amp;TEXT(U45,"ДД.ММ.ГГ")&amp;"_"&amp;T45</f>
        <v>ТЦ_ 18.1.08.05_77_772201001_22.04.24_2</v>
      </c>
      <c r="C45" s="51" t="s">
        <v>3694</v>
      </c>
      <c r="D45" s="51" t="s">
        <v>3694</v>
      </c>
      <c r="E45" s="51" t="s">
        <v>3552</v>
      </c>
      <c r="F45" s="51">
        <v>2</v>
      </c>
      <c r="G45" s="51">
        <v>468</v>
      </c>
      <c r="H45" s="51">
        <f t="shared" si="1"/>
        <v>390</v>
      </c>
      <c r="I45" s="51"/>
      <c r="J45" s="51"/>
      <c r="K45" s="51"/>
      <c r="L45" s="51">
        <f t="shared" si="2"/>
        <v>390</v>
      </c>
      <c r="M45" s="51"/>
      <c r="N45" s="51"/>
      <c r="O45" s="51" t="s">
        <v>3692</v>
      </c>
      <c r="P45" s="51">
        <v>7722493380</v>
      </c>
      <c r="Q45" s="51">
        <v>772201001</v>
      </c>
      <c r="R45" s="52" t="s">
        <v>3701</v>
      </c>
      <c r="S45" s="51" t="s">
        <v>2408</v>
      </c>
      <c r="T45" s="51">
        <v>2</v>
      </c>
      <c r="U45" t="s">
        <v>3573</v>
      </c>
      <c r="X45" t="s">
        <v>3696</v>
      </c>
      <c r="Y45">
        <v>77</v>
      </c>
      <c r="Z45">
        <v>2</v>
      </c>
    </row>
    <row r="46" spans="1:26" x14ac:dyDescent="0.25">
      <c r="A46" s="49" t="s">
        <v>3699</v>
      </c>
      <c r="B46" s="51" t="str">
        <f t="shared" si="11"/>
        <v>ТЦ_ 18.1.08.05_77_772401001_23.04.24_2</v>
      </c>
      <c r="C46" s="51" t="s">
        <v>3694</v>
      </c>
      <c r="D46" s="51" t="s">
        <v>3694</v>
      </c>
      <c r="E46" s="51" t="s">
        <v>3552</v>
      </c>
      <c r="F46" s="51">
        <v>2</v>
      </c>
      <c r="G46" s="51">
        <v>639</v>
      </c>
      <c r="H46" s="51">
        <f t="shared" si="1"/>
        <v>532.5</v>
      </c>
      <c r="I46" s="51"/>
      <c r="J46" s="51"/>
      <c r="K46" s="51"/>
      <c r="L46" s="51">
        <f t="shared" si="2"/>
        <v>532.5</v>
      </c>
      <c r="M46" s="51"/>
      <c r="N46" s="51"/>
      <c r="O46" s="51" t="s">
        <v>3645</v>
      </c>
      <c r="P46" s="51">
        <v>7724452117</v>
      </c>
      <c r="Q46" s="51">
        <v>772401001</v>
      </c>
      <c r="R46" s="52" t="s">
        <v>3702</v>
      </c>
      <c r="S46" s="51" t="s">
        <v>2408</v>
      </c>
      <c r="T46" s="51">
        <v>2</v>
      </c>
      <c r="U46" t="s">
        <v>3601</v>
      </c>
      <c r="X46" t="s">
        <v>3696</v>
      </c>
      <c r="Y46">
        <v>77</v>
      </c>
      <c r="Z46">
        <v>3</v>
      </c>
    </row>
    <row r="47" spans="1:26" x14ac:dyDescent="0.25">
      <c r="A47" s="49" t="s">
        <v>3711</v>
      </c>
      <c r="B47" s="47" t="str">
        <f>"ТЦ"&amp;"_"&amp;X47&amp;"_"&amp;Y47&amp;"_"&amp;Q47&amp;"_"&amp;TEXT(U47,"ДД.ММ.ГГ")&amp;"_"&amp;T47</f>
        <v>ТЦ_ 63.4.01.02_78_772201001_21.04.24_1</v>
      </c>
      <c r="C47" s="47" t="s">
        <v>3709</v>
      </c>
      <c r="D47" s="47" t="s">
        <v>3709</v>
      </c>
      <c r="E47" s="47" t="s">
        <v>3552</v>
      </c>
      <c r="F47" s="47">
        <v>2</v>
      </c>
      <c r="G47" s="47">
        <v>680</v>
      </c>
      <c r="H47" s="47">
        <f t="shared" si="1"/>
        <v>566.66666666666674</v>
      </c>
      <c r="I47" s="47"/>
      <c r="J47" s="47"/>
      <c r="K47" s="47"/>
      <c r="L47" s="47">
        <f t="shared" si="2"/>
        <v>566.66666666666674</v>
      </c>
      <c r="M47" s="47"/>
      <c r="N47" s="47"/>
      <c r="O47" s="47" t="s">
        <v>3704</v>
      </c>
      <c r="P47" s="47">
        <v>9722054805</v>
      </c>
      <c r="Q47" s="47">
        <v>772201001</v>
      </c>
      <c r="R47" s="50" t="s">
        <v>3714</v>
      </c>
      <c r="S47" s="47" t="s">
        <v>39</v>
      </c>
      <c r="T47" s="47">
        <v>1</v>
      </c>
      <c r="U47" s="30" t="s">
        <v>3648</v>
      </c>
      <c r="V47">
        <f ca="1">G47/100*RANDBETWEEN(3,5)</f>
        <v>27.2</v>
      </c>
      <c r="W47">
        <f ca="1">G47/100*RANDBETWEEN(6,8)</f>
        <v>40.799999999999997</v>
      </c>
      <c r="X47" t="s">
        <v>3710</v>
      </c>
      <c r="Y47">
        <v>78</v>
      </c>
    </row>
    <row r="48" spans="1:26" x14ac:dyDescent="0.25">
      <c r="A48" s="49" t="s">
        <v>3712</v>
      </c>
      <c r="B48" s="51" t="str">
        <f t="shared" ref="B48:B49" si="12">"ТЦ"&amp;"_"&amp;X48&amp;"_"&amp;Y48&amp;"_"&amp;Q48&amp;"_"&amp;TEXT(U48,"ДД.ММ.ГГ")&amp;"_"&amp;T48</f>
        <v>ТЦ_ 63.4.01.02_61_616501001_22.04.24_2</v>
      </c>
      <c r="C48" s="51" t="s">
        <v>3709</v>
      </c>
      <c r="D48" s="51" t="s">
        <v>3709</v>
      </c>
      <c r="E48" s="51" t="s">
        <v>3552</v>
      </c>
      <c r="F48" s="51">
        <v>2</v>
      </c>
      <c r="G48" s="51">
        <v>830</v>
      </c>
      <c r="H48" s="51">
        <f t="shared" si="1"/>
        <v>691.66666666666674</v>
      </c>
      <c r="I48" s="51"/>
      <c r="J48" s="51"/>
      <c r="K48" s="51"/>
      <c r="L48" s="51">
        <f t="shared" si="2"/>
        <v>691.66666666666674</v>
      </c>
      <c r="M48" s="51"/>
      <c r="N48" s="51"/>
      <c r="O48" s="51" t="s">
        <v>3706</v>
      </c>
      <c r="P48" s="51">
        <v>6163103300</v>
      </c>
      <c r="Q48" s="51">
        <v>616501001</v>
      </c>
      <c r="R48" s="52" t="s">
        <v>3715</v>
      </c>
      <c r="S48" s="51" t="s">
        <v>3253</v>
      </c>
      <c r="T48" s="51">
        <v>2</v>
      </c>
      <c r="U48" t="s">
        <v>3573</v>
      </c>
      <c r="X48" t="s">
        <v>3710</v>
      </c>
      <c r="Y48">
        <v>61</v>
      </c>
      <c r="Z48">
        <v>2</v>
      </c>
    </row>
    <row r="49" spans="1:26" x14ac:dyDescent="0.25">
      <c r="A49" s="49" t="s">
        <v>3713</v>
      </c>
      <c r="B49" s="51" t="str">
        <f t="shared" si="12"/>
        <v>ТЦ_ 63.4.01.02_77_772601001_23.04.24_1</v>
      </c>
      <c r="C49" s="51" t="s">
        <v>3709</v>
      </c>
      <c r="D49" s="51" t="s">
        <v>3709</v>
      </c>
      <c r="E49" s="51" t="s">
        <v>3552</v>
      </c>
      <c r="F49" s="51">
        <v>2</v>
      </c>
      <c r="G49" s="51">
        <v>860</v>
      </c>
      <c r="H49" s="51">
        <f t="shared" si="1"/>
        <v>716.66666666666674</v>
      </c>
      <c r="I49" s="51"/>
      <c r="J49" s="51"/>
      <c r="K49" s="51"/>
      <c r="L49" s="51">
        <f t="shared" si="2"/>
        <v>716.66666666666674</v>
      </c>
      <c r="M49" s="51"/>
      <c r="N49" s="51"/>
      <c r="O49" s="51" t="s">
        <v>3707</v>
      </c>
      <c r="P49" s="51">
        <v>7726366135</v>
      </c>
      <c r="Q49" s="51">
        <v>772601001</v>
      </c>
      <c r="R49" s="52" t="s">
        <v>3716</v>
      </c>
      <c r="S49" s="51" t="s">
        <v>2408</v>
      </c>
      <c r="T49" s="51">
        <v>1</v>
      </c>
      <c r="U49" t="s">
        <v>3601</v>
      </c>
      <c r="X49" t="s">
        <v>3710</v>
      </c>
      <c r="Y49">
        <v>77</v>
      </c>
      <c r="Z49">
        <v>3</v>
      </c>
    </row>
    <row r="50" spans="1:26" x14ac:dyDescent="0.25">
      <c r="A50" s="49" t="s">
        <v>3724</v>
      </c>
      <c r="B50" s="47" t="str">
        <f>"ТЦ"&amp;"_"&amp;X50&amp;"_"&amp;Y50&amp;"_"&amp;Q50&amp;"_"&amp;TEXT(U50,"ДД.ММ.ГГ")&amp;"_"&amp;T50</f>
        <v>ТЦ_ 59.1.17.04_77_771501001_21.04.24_2</v>
      </c>
      <c r="C50" s="47" t="s">
        <v>3755</v>
      </c>
      <c r="D50" s="47" t="s">
        <v>3755</v>
      </c>
      <c r="E50" s="47" t="s">
        <v>3552</v>
      </c>
      <c r="F50" s="47">
        <v>1</v>
      </c>
      <c r="G50" s="47">
        <v>2000</v>
      </c>
      <c r="H50" s="47">
        <f t="shared" si="1"/>
        <v>1666.6666666666667</v>
      </c>
      <c r="I50" s="47"/>
      <c r="J50" s="47"/>
      <c r="K50" s="47"/>
      <c r="L50" s="47">
        <f t="shared" si="2"/>
        <v>1666.6666666666667</v>
      </c>
      <c r="M50" s="47"/>
      <c r="N50" s="47"/>
      <c r="O50" s="47" t="s">
        <v>3718</v>
      </c>
      <c r="P50" s="47">
        <v>9715307100</v>
      </c>
      <c r="Q50" s="47">
        <v>771501001</v>
      </c>
      <c r="R50" s="50" t="s">
        <v>3727</v>
      </c>
      <c r="S50" s="47" t="s">
        <v>2408</v>
      </c>
      <c r="T50" s="47">
        <v>2</v>
      </c>
      <c r="U50" s="30" t="s">
        <v>3648</v>
      </c>
      <c r="V50">
        <f ca="1">G50/100*RANDBETWEEN(3,5)</f>
        <v>80</v>
      </c>
      <c r="W50">
        <f ca="1">G50/100*RANDBETWEEN(6,8)</f>
        <v>140</v>
      </c>
      <c r="X50" t="s">
        <v>3723</v>
      </c>
      <c r="Y50">
        <v>77</v>
      </c>
    </row>
    <row r="51" spans="1:26" x14ac:dyDescent="0.25">
      <c r="A51" s="49" t="s">
        <v>3725</v>
      </c>
      <c r="B51" s="51" t="str">
        <f t="shared" ref="B51:B52" si="13">"ТЦ"&amp;"_"&amp;X51&amp;"_"&amp;Y51&amp;"_"&amp;Q51&amp;"_"&amp;TEXT(U51,"ДД.ММ.ГГ")&amp;"_"&amp;T51</f>
        <v>ТЦ_ 59.1.17.04_50_507401001_22.04.24_2</v>
      </c>
      <c r="C51" s="51" t="s">
        <v>3755</v>
      </c>
      <c r="D51" s="51" t="s">
        <v>3755</v>
      </c>
      <c r="E51" s="51" t="s">
        <v>3552</v>
      </c>
      <c r="F51" s="51">
        <v>1</v>
      </c>
      <c r="G51" s="51">
        <v>2200</v>
      </c>
      <c r="H51" s="51">
        <f t="shared" si="1"/>
        <v>1833.3333333333335</v>
      </c>
      <c r="I51" s="51"/>
      <c r="J51" s="51"/>
      <c r="K51" s="51"/>
      <c r="L51" s="51">
        <f t="shared" si="2"/>
        <v>1833.3333333333335</v>
      </c>
      <c r="M51" s="51"/>
      <c r="N51" s="51"/>
      <c r="O51" s="51" t="s">
        <v>3721</v>
      </c>
      <c r="P51" s="51">
        <v>7704322328</v>
      </c>
      <c r="Q51" s="51">
        <v>507401001</v>
      </c>
      <c r="R51" s="52" t="s">
        <v>3728</v>
      </c>
      <c r="S51" s="51" t="s">
        <v>48</v>
      </c>
      <c r="T51" s="51">
        <v>2</v>
      </c>
      <c r="U51" t="s">
        <v>3573</v>
      </c>
      <c r="X51" t="s">
        <v>3723</v>
      </c>
      <c r="Y51">
        <v>50</v>
      </c>
      <c r="Z51">
        <v>2</v>
      </c>
    </row>
    <row r="52" spans="1:26" x14ac:dyDescent="0.25">
      <c r="A52" s="49" t="s">
        <v>3726</v>
      </c>
      <c r="B52" s="51" t="str">
        <f t="shared" si="13"/>
        <v>ТЦ_ 59.1.17.04_54_772901001_23.04.24_2</v>
      </c>
      <c r="C52" s="51" t="s">
        <v>3755</v>
      </c>
      <c r="D52" s="51" t="s">
        <v>3755</v>
      </c>
      <c r="E52" s="51" t="s">
        <v>3552</v>
      </c>
      <c r="F52" s="51">
        <v>1</v>
      </c>
      <c r="G52" s="51">
        <v>11020</v>
      </c>
      <c r="H52" s="51">
        <f t="shared" si="1"/>
        <v>9183.3333333333339</v>
      </c>
      <c r="I52" s="51"/>
      <c r="J52" s="51"/>
      <c r="K52" s="51"/>
      <c r="L52" s="51">
        <f t="shared" si="2"/>
        <v>9183.3333333333339</v>
      </c>
      <c r="M52" s="51"/>
      <c r="N52" s="51"/>
      <c r="O52" s="51" t="s">
        <v>3720</v>
      </c>
      <c r="P52" s="51">
        <v>9729294683</v>
      </c>
      <c r="Q52" s="51">
        <v>772901001</v>
      </c>
      <c r="R52" s="52" t="s">
        <v>3729</v>
      </c>
      <c r="S52" s="51" t="s">
        <v>3153</v>
      </c>
      <c r="T52" s="51">
        <v>2</v>
      </c>
      <c r="U52" t="s">
        <v>3601</v>
      </c>
      <c r="X52" t="s">
        <v>3723</v>
      </c>
      <c r="Y52">
        <v>54</v>
      </c>
      <c r="Z52">
        <v>3</v>
      </c>
    </row>
    <row r="53" spans="1:26" x14ac:dyDescent="0.25">
      <c r="A53" s="49" t="s">
        <v>3737</v>
      </c>
      <c r="B53" s="47" t="str">
        <f>"ТЦ"&amp;"_"&amp;X53&amp;"_"&amp;Y53&amp;"_"&amp;Q53&amp;"_"&amp;TEXT(U53,"ДД.ММ.ГГ")&amp;"_"&amp;T53</f>
        <v>ТЦ_ 18.1.08.05_77_525201001_21.04.24_1</v>
      </c>
      <c r="C53" s="47" t="s">
        <v>3736</v>
      </c>
      <c r="D53" s="47" t="s">
        <v>3736</v>
      </c>
      <c r="E53" s="47" t="s">
        <v>3552</v>
      </c>
      <c r="F53" s="47">
        <v>2</v>
      </c>
      <c r="G53" s="47">
        <v>504</v>
      </c>
      <c r="H53" s="47">
        <f t="shared" si="1"/>
        <v>420</v>
      </c>
      <c r="I53" s="47"/>
      <c r="J53" s="47"/>
      <c r="K53" s="47"/>
      <c r="L53" s="47">
        <f t="shared" si="2"/>
        <v>420</v>
      </c>
      <c r="M53" s="47"/>
      <c r="N53" s="47"/>
      <c r="O53" s="47" t="s">
        <v>3730</v>
      </c>
      <c r="P53" s="47">
        <v>7719452305</v>
      </c>
      <c r="Q53" s="47">
        <v>525201001</v>
      </c>
      <c r="R53" s="50" t="s">
        <v>3740</v>
      </c>
      <c r="S53" s="47" t="s">
        <v>2408</v>
      </c>
      <c r="T53" s="47">
        <v>1</v>
      </c>
      <c r="U53" s="30" t="s">
        <v>3648</v>
      </c>
      <c r="V53">
        <f ca="1">G53/100*RANDBETWEEN(3,5)</f>
        <v>15.120000000000001</v>
      </c>
      <c r="W53">
        <f ca="1">G53/100*RANDBETWEEN(6,8)</f>
        <v>30.240000000000002</v>
      </c>
      <c r="X53" t="s">
        <v>3696</v>
      </c>
      <c r="Y53">
        <v>77</v>
      </c>
    </row>
    <row r="54" spans="1:26" x14ac:dyDescent="0.25">
      <c r="A54" s="49" t="s">
        <v>3738</v>
      </c>
      <c r="B54" s="51" t="str">
        <f t="shared" ref="B54:B55" si="14">"ТЦ"&amp;"_"&amp;X54&amp;"_"&amp;Y54&amp;"_"&amp;Q54&amp;"_"&amp;TEXT(U54,"ДД.ММ.ГГ")&amp;"_"&amp;T54</f>
        <v>ТЦ_ 18.1.08.05_77_72301001_22.04.24_2</v>
      </c>
      <c r="C54" s="51" t="s">
        <v>3736</v>
      </c>
      <c r="D54" s="51" t="s">
        <v>3736</v>
      </c>
      <c r="E54" s="51" t="s">
        <v>3552</v>
      </c>
      <c r="F54" s="51">
        <v>2</v>
      </c>
      <c r="G54" s="51">
        <v>1368</v>
      </c>
      <c r="H54" s="51">
        <f t="shared" si="1"/>
        <v>1140</v>
      </c>
      <c r="I54" s="51"/>
      <c r="J54" s="51"/>
      <c r="K54" s="51"/>
      <c r="L54" s="51">
        <f t="shared" si="2"/>
        <v>1140</v>
      </c>
      <c r="M54" s="51"/>
      <c r="N54" s="51"/>
      <c r="O54" s="51" t="s">
        <v>3732</v>
      </c>
      <c r="P54" s="51">
        <v>723000958</v>
      </c>
      <c r="Q54" s="51">
        <v>72301001</v>
      </c>
      <c r="R54" s="52" t="s">
        <v>3741</v>
      </c>
      <c r="S54" s="51" t="s">
        <v>2408</v>
      </c>
      <c r="T54" s="51">
        <v>2</v>
      </c>
      <c r="U54" t="s">
        <v>3573</v>
      </c>
      <c r="X54" t="s">
        <v>3696</v>
      </c>
      <c r="Y54">
        <v>77</v>
      </c>
      <c r="Z54">
        <v>2</v>
      </c>
    </row>
    <row r="55" spans="1:26" x14ac:dyDescent="0.25">
      <c r="A55" s="49" t="s">
        <v>3739</v>
      </c>
      <c r="B55" s="51" t="str">
        <f t="shared" si="14"/>
        <v>ТЦ_ 18.1.08.05_52_525801001_23.04.24_2</v>
      </c>
      <c r="C55" s="51" t="s">
        <v>3736</v>
      </c>
      <c r="D55" s="51" t="s">
        <v>3736</v>
      </c>
      <c r="E55" s="51" t="s">
        <v>3552</v>
      </c>
      <c r="F55" s="51">
        <v>2</v>
      </c>
      <c r="G55" s="51">
        <v>1677</v>
      </c>
      <c r="H55" s="51">
        <f t="shared" si="1"/>
        <v>1397.5</v>
      </c>
      <c r="I55" s="51"/>
      <c r="J55" s="51"/>
      <c r="K55" s="51"/>
      <c r="L55" s="51">
        <f t="shared" si="2"/>
        <v>1397.5</v>
      </c>
      <c r="M55" s="51"/>
      <c r="N55" s="51"/>
      <c r="O55" s="51" t="s">
        <v>3735</v>
      </c>
      <c r="P55" s="51">
        <v>5258128653</v>
      </c>
      <c r="Q55" s="51">
        <v>525801001</v>
      </c>
      <c r="R55" s="52" t="s">
        <v>3742</v>
      </c>
      <c r="S55" s="51" t="s">
        <v>3124</v>
      </c>
      <c r="T55" s="51">
        <v>2</v>
      </c>
      <c r="U55" t="s">
        <v>3601</v>
      </c>
      <c r="X55" t="s">
        <v>3696</v>
      </c>
      <c r="Y55">
        <v>52</v>
      </c>
      <c r="Z55">
        <v>3</v>
      </c>
    </row>
    <row r="56" spans="1:26" x14ac:dyDescent="0.25">
      <c r="A56" s="49" t="s">
        <v>3749</v>
      </c>
      <c r="B56" s="47" t="str">
        <f>"ТЦ"&amp;"_"&amp;X56&amp;"_"&amp;Y56&amp;"_"&amp;Q56&amp;"_"&amp;TEXT(U56,"ДД.ММ.ГГ")&amp;"_"&amp;T56</f>
        <v>ТЦ_ 18.1.08.05_77_772401001_21.04.24_2</v>
      </c>
      <c r="C56" s="47" t="s">
        <v>3748</v>
      </c>
      <c r="D56" s="47" t="s">
        <v>3748</v>
      </c>
      <c r="E56" s="47" t="s">
        <v>3552</v>
      </c>
      <c r="F56" s="47">
        <v>1</v>
      </c>
      <c r="G56" s="47">
        <v>510</v>
      </c>
      <c r="H56" s="47">
        <f t="shared" si="1"/>
        <v>425</v>
      </c>
      <c r="I56" s="47"/>
      <c r="J56" s="47"/>
      <c r="K56" s="47"/>
      <c r="L56" s="47">
        <f t="shared" si="2"/>
        <v>425</v>
      </c>
      <c r="M56" s="47"/>
      <c r="N56" s="47"/>
      <c r="O56" s="47" t="s">
        <v>3645</v>
      </c>
      <c r="P56" s="47">
        <v>7724452117</v>
      </c>
      <c r="Q56" s="47">
        <v>772401001</v>
      </c>
      <c r="R56" s="50" t="s">
        <v>3752</v>
      </c>
      <c r="S56" s="47" t="s">
        <v>2408</v>
      </c>
      <c r="T56" s="47">
        <v>2</v>
      </c>
      <c r="U56" s="30" t="s">
        <v>3648</v>
      </c>
      <c r="V56">
        <f ca="1">G56/100*RANDBETWEEN(3,5)</f>
        <v>20.399999999999999</v>
      </c>
      <c r="W56">
        <f ca="1">G56/100*RANDBETWEEN(6,8)</f>
        <v>35.699999999999996</v>
      </c>
      <c r="X56" t="s">
        <v>3696</v>
      </c>
      <c r="Y56">
        <v>77</v>
      </c>
    </row>
    <row r="57" spans="1:26" x14ac:dyDescent="0.25">
      <c r="A57" s="49" t="s">
        <v>3750</v>
      </c>
      <c r="B57" s="51" t="str">
        <f t="shared" ref="B57:B58" si="15">"ТЦ"&amp;"_"&amp;X57&amp;"_"&amp;Y57&amp;"_"&amp;Q57&amp;"_"&amp;TEXT(U57,"ДД.ММ.ГГ")&amp;"_"&amp;T57</f>
        <v>ТЦ_ 18.1.08.05_77_774301001_22.04.24_2</v>
      </c>
      <c r="C57" s="51" t="s">
        <v>3748</v>
      </c>
      <c r="D57" s="51" t="s">
        <v>3748</v>
      </c>
      <c r="E57" s="51" t="s">
        <v>3552</v>
      </c>
      <c r="F57" s="51">
        <v>1</v>
      </c>
      <c r="G57" s="51">
        <v>651</v>
      </c>
      <c r="H57" s="51">
        <f t="shared" si="1"/>
        <v>542.5</v>
      </c>
      <c r="I57" s="51"/>
      <c r="J57" s="51"/>
      <c r="K57" s="51"/>
      <c r="L57" s="51">
        <f t="shared" si="2"/>
        <v>542.5</v>
      </c>
      <c r="M57" s="51"/>
      <c r="N57" s="51"/>
      <c r="O57" s="51" t="s">
        <v>3743</v>
      </c>
      <c r="P57" s="51" t="s">
        <v>3744</v>
      </c>
      <c r="Q57" s="51">
        <v>774301001</v>
      </c>
      <c r="R57" s="52" t="s">
        <v>3753</v>
      </c>
      <c r="S57" s="51" t="s">
        <v>2408</v>
      </c>
      <c r="T57" s="51">
        <v>2</v>
      </c>
      <c r="U57" t="s">
        <v>3573</v>
      </c>
      <c r="X57" t="s">
        <v>3696</v>
      </c>
      <c r="Y57">
        <v>77</v>
      </c>
      <c r="Z57">
        <v>2</v>
      </c>
    </row>
    <row r="58" spans="1:26" x14ac:dyDescent="0.25">
      <c r="A58" s="49" t="s">
        <v>3751</v>
      </c>
      <c r="B58" s="51" t="str">
        <f t="shared" si="15"/>
        <v>ТЦ_ 18.1.08.05_78_781401001_23.04.24_2</v>
      </c>
      <c r="C58" s="51" t="s">
        <v>3748</v>
      </c>
      <c r="D58" s="51" t="s">
        <v>3748</v>
      </c>
      <c r="E58" s="51" t="s">
        <v>3552</v>
      </c>
      <c r="F58" s="51">
        <v>1</v>
      </c>
      <c r="G58" s="51">
        <v>1466</v>
      </c>
      <c r="H58" s="51">
        <f t="shared" si="1"/>
        <v>1221.6666666666667</v>
      </c>
      <c r="I58" s="51"/>
      <c r="J58" s="51"/>
      <c r="K58" s="51"/>
      <c r="L58" s="51">
        <f t="shared" si="2"/>
        <v>1221.6666666666667</v>
      </c>
      <c r="M58" s="51"/>
      <c r="N58" s="51"/>
      <c r="O58" s="51" t="s">
        <v>3747</v>
      </c>
      <c r="P58" s="51">
        <v>7814823221</v>
      </c>
      <c r="Q58" s="51">
        <v>781401001</v>
      </c>
      <c r="R58" s="52" t="s">
        <v>3754</v>
      </c>
      <c r="S58" s="51" t="s">
        <v>39</v>
      </c>
      <c r="T58" s="51">
        <v>2</v>
      </c>
      <c r="U58" t="s">
        <v>3601</v>
      </c>
      <c r="X58" t="s">
        <v>3696</v>
      </c>
      <c r="Y58">
        <v>78</v>
      </c>
      <c r="Z58">
        <v>3</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pageSetup paperSize="9" orientation="portrait" horizontalDpi="1200" verticalDpi="1200"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0"/>
  <dimension ref="A14:A58"/>
  <sheetViews>
    <sheetView workbookViewId="0"/>
  </sheetViews>
  <sheetFormatPr defaultRowHeight="15" x14ac:dyDescent="0.25"/>
  <sheetData>
    <row r="14" spans="1:1" x14ac:dyDescent="0.25">
      <c r="A14" t="s">
        <v>37</v>
      </c>
    </row>
    <row r="15" spans="1:1" x14ac:dyDescent="0.25">
      <c r="A15" t="s">
        <v>40</v>
      </c>
    </row>
    <row r="20" spans="1:1" x14ac:dyDescent="0.25">
      <c r="A20" t="s">
        <v>3591</v>
      </c>
    </row>
    <row r="21" spans="1:1" x14ac:dyDescent="0.25">
      <c r="A21" t="s">
        <v>3593</v>
      </c>
    </row>
    <row r="22" spans="1:1" x14ac:dyDescent="0.25">
      <c r="A22" t="s">
        <v>3596</v>
      </c>
    </row>
    <row r="25" spans="1:1" x14ac:dyDescent="0.25">
      <c r="A25" t="s">
        <v>44</v>
      </c>
    </row>
    <row r="26" spans="1:1" x14ac:dyDescent="0.25">
      <c r="A26" t="s">
        <v>3617</v>
      </c>
    </row>
    <row r="27" spans="1:1" x14ac:dyDescent="0.25">
      <c r="A27" t="s">
        <v>3619</v>
      </c>
    </row>
    <row r="30" spans="1:1" x14ac:dyDescent="0.25">
      <c r="A30" t="s">
        <v>3626</v>
      </c>
    </row>
    <row r="31" spans="1:1" x14ac:dyDescent="0.25">
      <c r="A31" t="s">
        <v>3629</v>
      </c>
    </row>
    <row r="32" spans="1:1" x14ac:dyDescent="0.25">
      <c r="A32" t="s">
        <v>3642</v>
      </c>
    </row>
    <row r="33" spans="1:1" x14ac:dyDescent="0.25">
      <c r="A33" t="s">
        <v>3758</v>
      </c>
    </row>
    <row r="34" spans="1:1" x14ac:dyDescent="0.25">
      <c r="A34" t="s">
        <v>3645</v>
      </c>
    </row>
    <row r="38" spans="1:1" x14ac:dyDescent="0.25">
      <c r="A38" t="s">
        <v>3664</v>
      </c>
    </row>
    <row r="39" spans="1:1" x14ac:dyDescent="0.25">
      <c r="A39" t="s">
        <v>3666</v>
      </c>
    </row>
    <row r="40" spans="1:1" x14ac:dyDescent="0.25">
      <c r="A40" t="s">
        <v>3667</v>
      </c>
    </row>
    <row r="42" spans="1:1" x14ac:dyDescent="0.25">
      <c r="A42" t="s">
        <v>3682</v>
      </c>
    </row>
    <row r="43" spans="1:1" x14ac:dyDescent="0.25">
      <c r="A43" t="s">
        <v>3678</v>
      </c>
    </row>
    <row r="44" spans="1:1" x14ac:dyDescent="0.25">
      <c r="A44" t="s">
        <v>3691</v>
      </c>
    </row>
    <row r="45" spans="1:1" x14ac:dyDescent="0.25">
      <c r="A45" t="s">
        <v>3692</v>
      </c>
    </row>
    <row r="47" spans="1:1" x14ac:dyDescent="0.25">
      <c r="A47" t="s">
        <v>3704</v>
      </c>
    </row>
    <row r="48" spans="1:1" x14ac:dyDescent="0.25">
      <c r="A48" t="s">
        <v>3706</v>
      </c>
    </row>
    <row r="49" spans="1:1" x14ac:dyDescent="0.25">
      <c r="A49" t="s">
        <v>3707</v>
      </c>
    </row>
    <row r="50" spans="1:1" x14ac:dyDescent="0.25">
      <c r="A50" t="s">
        <v>3718</v>
      </c>
    </row>
    <row r="51" spans="1:1" x14ac:dyDescent="0.25">
      <c r="A51" t="s">
        <v>3721</v>
      </c>
    </row>
    <row r="52" spans="1:1" x14ac:dyDescent="0.25">
      <c r="A52" t="s">
        <v>3720</v>
      </c>
    </row>
    <row r="53" spans="1:1" x14ac:dyDescent="0.25">
      <c r="A53" t="s">
        <v>3730</v>
      </c>
    </row>
    <row r="54" spans="1:1" x14ac:dyDescent="0.25">
      <c r="A54" t="s">
        <v>3732</v>
      </c>
    </row>
    <row r="55" spans="1:1" x14ac:dyDescent="0.25">
      <c r="A55" t="s">
        <v>3735</v>
      </c>
    </row>
    <row r="57" spans="1:1" x14ac:dyDescent="0.25">
      <c r="A57" t="s">
        <v>3743</v>
      </c>
    </row>
    <row r="58" spans="1:1" x14ac:dyDescent="0.25">
      <c r="A58" t="s">
        <v>3747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41"/>
  <dimension ref="A1:U1"/>
  <sheetViews>
    <sheetView tabSelected="1" topLeftCell="D1" workbookViewId="0">
      <selection activeCell="Q20" sqref="Q20"/>
    </sheetView>
  </sheetViews>
  <sheetFormatPr defaultRowHeight="15" x14ac:dyDescent="0.25"/>
  <cols>
    <col min="3" max="3" width="19.5703125" customWidth="1"/>
    <col min="4" max="4" width="21.5703125" customWidth="1"/>
  </cols>
  <sheetData>
    <row r="1" spans="1:21" x14ac:dyDescent="0.25">
      <c r="A1" s="49" t="s">
        <v>3751</v>
      </c>
      <c r="B1" s="51" t="s">
        <v>3796</v>
      </c>
      <c r="C1" s="51" t="s">
        <v>3748</v>
      </c>
      <c r="D1" s="51" t="s">
        <v>3748</v>
      </c>
      <c r="E1" s="51" t="s">
        <v>3552</v>
      </c>
      <c r="F1" s="51">
        <v>1</v>
      </c>
      <c r="G1" s="51">
        <v>1466</v>
      </c>
      <c r="H1" s="51">
        <v>1221.6666666666667</v>
      </c>
      <c r="I1" s="51"/>
      <c r="J1" s="51"/>
      <c r="K1" s="51"/>
      <c r="L1" s="51">
        <v>1221.6666666666667</v>
      </c>
      <c r="M1" s="51"/>
      <c r="N1" s="51"/>
      <c r="O1" s="51" t="s">
        <v>3747</v>
      </c>
      <c r="P1" s="51">
        <v>7814823221</v>
      </c>
      <c r="Q1" s="51">
        <v>781401001</v>
      </c>
      <c r="R1" s="52" t="s">
        <v>3754</v>
      </c>
      <c r="S1" s="51" t="s">
        <v>39</v>
      </c>
      <c r="T1" s="51">
        <v>2</v>
      </c>
      <c r="U1" t="s">
        <v>3601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40"/>
  <dimension ref="A1:U1"/>
  <sheetViews>
    <sheetView workbookViewId="0">
      <selection sqref="A1:U1"/>
    </sheetView>
  </sheetViews>
  <sheetFormatPr defaultRowHeight="15" x14ac:dyDescent="0.25"/>
  <sheetData>
    <row r="1" spans="1:21" x14ac:dyDescent="0.25">
      <c r="A1" s="49" t="s">
        <v>3750</v>
      </c>
      <c r="B1" s="51" t="s">
        <v>3795</v>
      </c>
      <c r="C1" s="51" t="s">
        <v>3748</v>
      </c>
      <c r="D1" s="51" t="s">
        <v>3748</v>
      </c>
      <c r="E1" s="51" t="s">
        <v>3552</v>
      </c>
      <c r="F1" s="51">
        <v>1</v>
      </c>
      <c r="G1" s="51">
        <v>651</v>
      </c>
      <c r="H1" s="51">
        <v>542.5</v>
      </c>
      <c r="I1" s="51"/>
      <c r="J1" s="51"/>
      <c r="K1" s="51"/>
      <c r="L1" s="51">
        <v>542.5</v>
      </c>
      <c r="M1" s="51"/>
      <c r="N1" s="51"/>
      <c r="O1" s="51" t="s">
        <v>3743</v>
      </c>
      <c r="P1" s="51" t="s">
        <v>3744</v>
      </c>
      <c r="Q1" s="51">
        <v>774301001</v>
      </c>
      <c r="R1" s="52" t="s">
        <v>3753</v>
      </c>
      <c r="S1" s="51" t="s">
        <v>2408</v>
      </c>
      <c r="T1" s="51">
        <v>2</v>
      </c>
      <c r="U1" t="s">
        <v>3573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9"/>
  <dimension ref="A1:U1"/>
  <sheetViews>
    <sheetView workbookViewId="0">
      <selection sqref="A1:U1"/>
    </sheetView>
  </sheetViews>
  <sheetFormatPr defaultRowHeight="15" x14ac:dyDescent="0.25"/>
  <sheetData>
    <row r="1" spans="1:21" x14ac:dyDescent="0.25">
      <c r="A1" s="49" t="s">
        <v>3739</v>
      </c>
      <c r="B1" s="51" t="s">
        <v>3793</v>
      </c>
      <c r="C1" s="51" t="s">
        <v>3736</v>
      </c>
      <c r="D1" s="51" t="s">
        <v>3736</v>
      </c>
      <c r="E1" s="51" t="s">
        <v>3552</v>
      </c>
      <c r="F1" s="51">
        <v>2</v>
      </c>
      <c r="G1" s="51">
        <v>1677</v>
      </c>
      <c r="H1" s="51">
        <v>1397.5</v>
      </c>
      <c r="I1" s="51"/>
      <c r="J1" s="51"/>
      <c r="K1" s="51"/>
      <c r="L1" s="51">
        <v>1397.5</v>
      </c>
      <c r="M1" s="51"/>
      <c r="N1" s="51"/>
      <c r="O1" s="51" t="s">
        <v>3735</v>
      </c>
      <c r="P1" s="51">
        <v>5258128653</v>
      </c>
      <c r="Q1" s="51">
        <v>525801001</v>
      </c>
      <c r="R1" s="52" t="s">
        <v>3742</v>
      </c>
      <c r="S1" s="51" t="s">
        <v>3124</v>
      </c>
      <c r="T1" s="51">
        <v>2</v>
      </c>
      <c r="U1" t="s">
        <v>3601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8"/>
  <dimension ref="A1:U1"/>
  <sheetViews>
    <sheetView workbookViewId="0">
      <selection sqref="A1:U1"/>
    </sheetView>
  </sheetViews>
  <sheetFormatPr defaultRowHeight="15" x14ac:dyDescent="0.25"/>
  <sheetData>
    <row r="1" spans="1:21" x14ac:dyDescent="0.25">
      <c r="A1" s="49" t="s">
        <v>3738</v>
      </c>
      <c r="B1" s="51" t="s">
        <v>3792</v>
      </c>
      <c r="C1" s="51" t="s">
        <v>3736</v>
      </c>
      <c r="D1" s="51" t="s">
        <v>3736</v>
      </c>
      <c r="E1" s="51" t="s">
        <v>3552</v>
      </c>
      <c r="F1" s="51">
        <v>2</v>
      </c>
      <c r="G1" s="51">
        <v>1368</v>
      </c>
      <c r="H1" s="51">
        <v>1140</v>
      </c>
      <c r="I1" s="51"/>
      <c r="J1" s="51"/>
      <c r="K1" s="51"/>
      <c r="L1" s="51">
        <v>1140</v>
      </c>
      <c r="M1" s="51"/>
      <c r="N1" s="51"/>
      <c r="O1" s="51" t="s">
        <v>3732</v>
      </c>
      <c r="P1" s="51">
        <v>723000958</v>
      </c>
      <c r="Q1" s="51">
        <v>72301001</v>
      </c>
      <c r="R1" s="52" t="s">
        <v>3741</v>
      </c>
      <c r="S1" s="51" t="s">
        <v>2408</v>
      </c>
      <c r="T1" s="51">
        <v>2</v>
      </c>
      <c r="U1" t="s">
        <v>3573</v>
      </c>
    </row>
  </sheetData>
  <hyperlinks>
    <hyperlink ref="R1"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7"/>
  <dimension ref="A1:U1"/>
  <sheetViews>
    <sheetView workbookViewId="0">
      <selection sqref="A1:U1"/>
    </sheetView>
  </sheetViews>
  <sheetFormatPr defaultRowHeight="15" x14ac:dyDescent="0.25"/>
  <sheetData>
    <row r="1" spans="1:21" x14ac:dyDescent="0.25">
      <c r="A1" s="49" t="s">
        <v>3737</v>
      </c>
      <c r="B1" s="47" t="s">
        <v>3791</v>
      </c>
      <c r="C1" s="47" t="s">
        <v>3736</v>
      </c>
      <c r="D1" s="47" t="s">
        <v>3736</v>
      </c>
      <c r="E1" s="47" t="s">
        <v>3552</v>
      </c>
      <c r="F1" s="47">
        <v>2</v>
      </c>
      <c r="G1" s="47">
        <v>504</v>
      </c>
      <c r="H1" s="47">
        <v>420</v>
      </c>
      <c r="I1" s="47"/>
      <c r="J1" s="47"/>
      <c r="K1" s="47"/>
      <c r="L1" s="47">
        <v>420</v>
      </c>
      <c r="M1" s="47"/>
      <c r="N1" s="47"/>
      <c r="O1" s="47" t="s">
        <v>3730</v>
      </c>
      <c r="P1" s="47">
        <v>7719452305</v>
      </c>
      <c r="Q1" s="47">
        <v>525201001</v>
      </c>
      <c r="R1" s="50" t="s">
        <v>3740</v>
      </c>
      <c r="S1" s="47" t="s">
        <v>2408</v>
      </c>
      <c r="T1" s="47">
        <v>1</v>
      </c>
      <c r="U1" s="30" t="s">
        <v>3648</v>
      </c>
    </row>
  </sheetData>
  <hyperlinks>
    <hyperlink ref="R1" r:id="rId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6"/>
  <dimension ref="A1:U1"/>
  <sheetViews>
    <sheetView workbookViewId="0">
      <selection sqref="A1:U1"/>
    </sheetView>
  </sheetViews>
  <sheetFormatPr defaultRowHeight="15" x14ac:dyDescent="0.25"/>
  <sheetData>
    <row r="1" spans="1:21" x14ac:dyDescent="0.25">
      <c r="A1" s="49" t="s">
        <v>3726</v>
      </c>
      <c r="B1" s="51" t="s">
        <v>3790</v>
      </c>
      <c r="C1" s="51" t="s">
        <v>3755</v>
      </c>
      <c r="D1" s="51" t="s">
        <v>3755</v>
      </c>
      <c r="E1" s="51" t="s">
        <v>3552</v>
      </c>
      <c r="F1" s="51">
        <v>1</v>
      </c>
      <c r="G1" s="51">
        <v>11020</v>
      </c>
      <c r="H1" s="51">
        <v>9183.3333333333339</v>
      </c>
      <c r="I1" s="51"/>
      <c r="J1" s="51"/>
      <c r="K1" s="51"/>
      <c r="L1" s="51">
        <v>9183.3333333333339</v>
      </c>
      <c r="M1" s="51"/>
      <c r="N1" s="51"/>
      <c r="O1" s="51" t="s">
        <v>3720</v>
      </c>
      <c r="P1" s="51">
        <v>9729294683</v>
      </c>
      <c r="Q1" s="51">
        <v>772901001</v>
      </c>
      <c r="R1" s="52" t="s">
        <v>3729</v>
      </c>
      <c r="S1" s="51" t="s">
        <v>3153</v>
      </c>
      <c r="T1" s="51">
        <v>2</v>
      </c>
      <c r="U1" t="s">
        <v>3601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5"/>
  <dimension ref="A1:U1"/>
  <sheetViews>
    <sheetView workbookViewId="0">
      <selection sqref="A1:U1"/>
    </sheetView>
  </sheetViews>
  <sheetFormatPr defaultRowHeight="15" x14ac:dyDescent="0.25"/>
  <sheetData>
    <row r="1" spans="1:21" x14ac:dyDescent="0.25">
      <c r="A1" s="49" t="s">
        <v>3725</v>
      </c>
      <c r="B1" s="51" t="s">
        <v>3789</v>
      </c>
      <c r="C1" s="51" t="s">
        <v>3755</v>
      </c>
      <c r="D1" s="51" t="s">
        <v>3755</v>
      </c>
      <c r="E1" s="51" t="s">
        <v>3552</v>
      </c>
      <c r="F1" s="51">
        <v>1</v>
      </c>
      <c r="G1" s="51">
        <v>2200</v>
      </c>
      <c r="H1" s="51">
        <v>1833.3333333333335</v>
      </c>
      <c r="I1" s="51"/>
      <c r="J1" s="51"/>
      <c r="K1" s="51"/>
      <c r="L1" s="51">
        <v>1833.3333333333335</v>
      </c>
      <c r="M1" s="51"/>
      <c r="N1" s="51"/>
      <c r="O1" s="51" t="s">
        <v>3721</v>
      </c>
      <c r="P1" s="51">
        <v>7704322328</v>
      </c>
      <c r="Q1" s="51">
        <v>507401001</v>
      </c>
      <c r="R1" s="52" t="s">
        <v>3728</v>
      </c>
      <c r="S1" s="51" t="s">
        <v>48</v>
      </c>
      <c r="T1" s="51">
        <v>2</v>
      </c>
      <c r="U1" t="s">
        <v>3573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4"/>
  <dimension ref="A1:U1"/>
  <sheetViews>
    <sheetView workbookViewId="0">
      <selection sqref="A1:U1"/>
    </sheetView>
  </sheetViews>
  <sheetFormatPr defaultRowHeight="15" x14ac:dyDescent="0.25"/>
  <sheetData>
    <row r="1" spans="1:21" x14ac:dyDescent="0.25">
      <c r="A1" s="49" t="s">
        <v>3724</v>
      </c>
      <c r="B1" s="47" t="s">
        <v>3788</v>
      </c>
      <c r="C1" s="47" t="s">
        <v>3755</v>
      </c>
      <c r="D1" s="47" t="s">
        <v>3755</v>
      </c>
      <c r="E1" s="47" t="s">
        <v>3552</v>
      </c>
      <c r="F1" s="47">
        <v>1</v>
      </c>
      <c r="G1" s="47">
        <v>2000</v>
      </c>
      <c r="H1" s="47">
        <v>1666.6666666666667</v>
      </c>
      <c r="I1" s="47"/>
      <c r="J1" s="47"/>
      <c r="K1" s="47"/>
      <c r="L1" s="47">
        <v>1666.6666666666667</v>
      </c>
      <c r="M1" s="47"/>
      <c r="N1" s="47"/>
      <c r="O1" s="47" t="s">
        <v>3718</v>
      </c>
      <c r="P1" s="47">
        <v>9715307100</v>
      </c>
      <c r="Q1" s="47">
        <v>771501001</v>
      </c>
      <c r="R1" s="50" t="s">
        <v>3727</v>
      </c>
      <c r="S1" s="47" t="s">
        <v>2408</v>
      </c>
      <c r="T1" s="47">
        <v>2</v>
      </c>
      <c r="U1" s="30" t="s">
        <v>3648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3"/>
  <dimension ref="A1:U1"/>
  <sheetViews>
    <sheetView workbookViewId="0">
      <selection sqref="A1:U1"/>
    </sheetView>
  </sheetViews>
  <sheetFormatPr defaultRowHeight="15" x14ac:dyDescent="0.25"/>
  <sheetData>
    <row r="1" spans="1:21" x14ac:dyDescent="0.25">
      <c r="A1" s="49" t="s">
        <v>3713</v>
      </c>
      <c r="B1" s="51" t="s">
        <v>3787</v>
      </c>
      <c r="C1" s="51" t="s">
        <v>3709</v>
      </c>
      <c r="D1" s="51" t="s">
        <v>3709</v>
      </c>
      <c r="E1" s="51" t="s">
        <v>3552</v>
      </c>
      <c r="F1" s="51">
        <v>2</v>
      </c>
      <c r="G1" s="51">
        <v>860</v>
      </c>
      <c r="H1" s="51">
        <v>716.66666666666674</v>
      </c>
      <c r="I1" s="51"/>
      <c r="J1" s="51"/>
      <c r="K1" s="51"/>
      <c r="L1" s="51">
        <v>716.66666666666674</v>
      </c>
      <c r="M1" s="51"/>
      <c r="N1" s="51"/>
      <c r="O1" s="51" t="s">
        <v>3707</v>
      </c>
      <c r="P1" s="51">
        <v>7726366135</v>
      </c>
      <c r="Q1" s="51">
        <v>772601001</v>
      </c>
      <c r="R1" s="52" t="s">
        <v>3716</v>
      </c>
      <c r="S1" s="51" t="s">
        <v>2408</v>
      </c>
      <c r="T1" s="51">
        <v>1</v>
      </c>
      <c r="U1" t="s">
        <v>3601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2"/>
  <dimension ref="A1:U1"/>
  <sheetViews>
    <sheetView workbookViewId="0">
      <selection sqref="A1:U1"/>
    </sheetView>
  </sheetViews>
  <sheetFormatPr defaultRowHeight="15" x14ac:dyDescent="0.25"/>
  <sheetData>
    <row r="1" spans="1:21" x14ac:dyDescent="0.25">
      <c r="A1" s="49" t="s">
        <v>3712</v>
      </c>
      <c r="B1" s="51" t="s">
        <v>3786</v>
      </c>
      <c r="C1" s="51" t="s">
        <v>3709</v>
      </c>
      <c r="D1" s="51" t="s">
        <v>3709</v>
      </c>
      <c r="E1" s="51" t="s">
        <v>3552</v>
      </c>
      <c r="F1" s="51">
        <v>2</v>
      </c>
      <c r="G1" s="51">
        <v>830</v>
      </c>
      <c r="H1" s="51">
        <v>691.66666666666674</v>
      </c>
      <c r="I1" s="51"/>
      <c r="J1" s="51"/>
      <c r="K1" s="51"/>
      <c r="L1" s="51">
        <v>691.66666666666674</v>
      </c>
      <c r="M1" s="51"/>
      <c r="N1" s="51"/>
      <c r="O1" s="51" t="s">
        <v>3706</v>
      </c>
      <c r="P1" s="51">
        <v>6163103300</v>
      </c>
      <c r="Q1" s="51">
        <v>616501001</v>
      </c>
      <c r="R1" s="52" t="s">
        <v>3715</v>
      </c>
      <c r="S1" s="51" t="s">
        <v>3253</v>
      </c>
      <c r="T1" s="51">
        <v>2</v>
      </c>
      <c r="U1" t="s">
        <v>3573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1"/>
  <dimension ref="A1:U1"/>
  <sheetViews>
    <sheetView workbookViewId="0">
      <selection sqref="A1:U1"/>
    </sheetView>
  </sheetViews>
  <sheetFormatPr defaultRowHeight="15" x14ac:dyDescent="0.25"/>
  <sheetData>
    <row r="1" spans="1:21" x14ac:dyDescent="0.25">
      <c r="A1" s="49" t="s">
        <v>3711</v>
      </c>
      <c r="B1" s="47" t="s">
        <v>3785</v>
      </c>
      <c r="C1" s="47" t="s">
        <v>3709</v>
      </c>
      <c r="D1" s="47" t="s">
        <v>3709</v>
      </c>
      <c r="E1" s="47" t="s">
        <v>3552</v>
      </c>
      <c r="F1" s="47">
        <v>2</v>
      </c>
      <c r="G1" s="47">
        <v>680</v>
      </c>
      <c r="H1" s="47">
        <v>566.66666666666674</v>
      </c>
      <c r="I1" s="47"/>
      <c r="J1" s="47"/>
      <c r="K1" s="47"/>
      <c r="L1" s="47">
        <v>566.66666666666674</v>
      </c>
      <c r="M1" s="47"/>
      <c r="N1" s="47"/>
      <c r="O1" s="47" t="s">
        <v>3704</v>
      </c>
      <c r="P1" s="47">
        <v>9722054805</v>
      </c>
      <c r="Q1" s="47">
        <v>772201001</v>
      </c>
      <c r="R1" s="50" t="s">
        <v>3714</v>
      </c>
      <c r="S1" s="47" t="s">
        <v>39</v>
      </c>
      <c r="T1" s="47">
        <v>1</v>
      </c>
      <c r="U1" s="30" t="s">
        <v>3648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30"/>
  <dimension ref="A1:U1"/>
  <sheetViews>
    <sheetView workbookViewId="0">
      <selection sqref="A1:U1"/>
    </sheetView>
  </sheetViews>
  <sheetFormatPr defaultRowHeight="15" x14ac:dyDescent="0.25"/>
  <sheetData>
    <row r="1" spans="1:21" x14ac:dyDescent="0.25">
      <c r="A1" s="49" t="s">
        <v>3698</v>
      </c>
      <c r="B1" s="51" t="s">
        <v>3783</v>
      </c>
      <c r="C1" s="51" t="s">
        <v>3694</v>
      </c>
      <c r="D1" s="51" t="s">
        <v>3694</v>
      </c>
      <c r="E1" s="51" t="s">
        <v>3552</v>
      </c>
      <c r="F1" s="51">
        <v>2</v>
      </c>
      <c r="G1" s="51">
        <v>468</v>
      </c>
      <c r="H1" s="51">
        <v>390</v>
      </c>
      <c r="I1" s="51"/>
      <c r="J1" s="51"/>
      <c r="K1" s="51"/>
      <c r="L1" s="51">
        <v>390</v>
      </c>
      <c r="M1" s="51"/>
      <c r="N1" s="51"/>
      <c r="O1" s="51" t="s">
        <v>3692</v>
      </c>
      <c r="P1" s="51">
        <v>7722493380</v>
      </c>
      <c r="Q1" s="51">
        <v>772201001</v>
      </c>
      <c r="R1" s="52" t="s">
        <v>3701</v>
      </c>
      <c r="S1" s="51" t="s">
        <v>2408</v>
      </c>
      <c r="T1" s="51">
        <v>2</v>
      </c>
      <c r="U1" t="s">
        <v>3573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9"/>
  <dimension ref="A1:U1"/>
  <sheetViews>
    <sheetView workbookViewId="0">
      <selection sqref="A1:U1"/>
    </sheetView>
  </sheetViews>
  <sheetFormatPr defaultRowHeight="15" x14ac:dyDescent="0.25"/>
  <sheetData>
    <row r="1" spans="1:21" x14ac:dyDescent="0.25">
      <c r="A1" s="49" t="s">
        <v>3697</v>
      </c>
      <c r="B1" s="47" t="s">
        <v>3782</v>
      </c>
      <c r="C1" s="47" t="s">
        <v>3694</v>
      </c>
      <c r="D1" s="47" t="s">
        <v>3694</v>
      </c>
      <c r="E1" s="47" t="s">
        <v>3552</v>
      </c>
      <c r="F1" s="47">
        <v>2</v>
      </c>
      <c r="G1" s="47" t="s">
        <v>3695</v>
      </c>
      <c r="H1" s="47">
        <v>338.41666666666669</v>
      </c>
      <c r="I1" s="47"/>
      <c r="J1" s="47"/>
      <c r="K1" s="47"/>
      <c r="L1" s="47">
        <v>338.41666666666669</v>
      </c>
      <c r="M1" s="47"/>
      <c r="N1" s="47"/>
      <c r="O1" s="47" t="s">
        <v>3691</v>
      </c>
      <c r="P1" s="47">
        <v>7736192449</v>
      </c>
      <c r="Q1" s="47">
        <v>500301001</v>
      </c>
      <c r="R1" s="50" t="s">
        <v>3700</v>
      </c>
      <c r="S1" s="47" t="s">
        <v>3005</v>
      </c>
      <c r="T1" s="47">
        <v>1</v>
      </c>
      <c r="U1" s="30" t="s">
        <v>3648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8"/>
  <dimension ref="A1:U1"/>
  <sheetViews>
    <sheetView workbookViewId="0">
      <selection sqref="A1:U1"/>
    </sheetView>
  </sheetViews>
  <sheetFormatPr defaultRowHeight="15" x14ac:dyDescent="0.25"/>
  <sheetData>
    <row r="1" spans="1:21" x14ac:dyDescent="0.25">
      <c r="A1" s="49" t="s">
        <v>3686</v>
      </c>
      <c r="B1" s="51" t="s">
        <v>3781</v>
      </c>
      <c r="C1" s="51" t="s">
        <v>3680</v>
      </c>
      <c r="D1" s="51" t="s">
        <v>3680</v>
      </c>
      <c r="E1" s="51" t="s">
        <v>3552</v>
      </c>
      <c r="F1" s="51">
        <v>1</v>
      </c>
      <c r="G1" s="51">
        <v>4898.95</v>
      </c>
      <c r="H1" s="51">
        <v>4082.4583333333335</v>
      </c>
      <c r="I1" s="51"/>
      <c r="J1" s="51"/>
      <c r="K1" s="51"/>
      <c r="L1" s="51">
        <v>4082.4583333333335</v>
      </c>
      <c r="M1" s="51"/>
      <c r="N1" s="51"/>
      <c r="O1" s="51" t="s">
        <v>3678</v>
      </c>
      <c r="P1" s="51">
        <v>7720323022</v>
      </c>
      <c r="Q1" s="51">
        <v>772001001</v>
      </c>
      <c r="R1" s="52" t="s">
        <v>3689</v>
      </c>
      <c r="S1" s="51" t="s">
        <v>2408</v>
      </c>
      <c r="T1" s="51">
        <v>1</v>
      </c>
      <c r="U1" t="s">
        <v>3601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7"/>
  <dimension ref="A1:U1"/>
  <sheetViews>
    <sheetView workbookViewId="0">
      <selection sqref="A1:U1"/>
    </sheetView>
  </sheetViews>
  <sheetFormatPr defaultRowHeight="15" x14ac:dyDescent="0.25"/>
  <sheetData>
    <row r="1" spans="1:21" x14ac:dyDescent="0.25">
      <c r="A1" s="49" t="s">
        <v>3685</v>
      </c>
      <c r="B1" s="51" t="s">
        <v>3780</v>
      </c>
      <c r="C1" s="51" t="s">
        <v>3680</v>
      </c>
      <c r="D1" s="51" t="s">
        <v>3680</v>
      </c>
      <c r="E1" s="51" t="s">
        <v>3552</v>
      </c>
      <c r="F1" s="51">
        <v>1</v>
      </c>
      <c r="G1" s="51" t="s">
        <v>3683</v>
      </c>
      <c r="H1" s="51">
        <v>3397</v>
      </c>
      <c r="I1" s="51"/>
      <c r="J1" s="51"/>
      <c r="K1" s="51"/>
      <c r="L1" s="51">
        <v>3397</v>
      </c>
      <c r="M1" s="51"/>
      <c r="N1" s="51"/>
      <c r="O1" s="51" t="s">
        <v>3682</v>
      </c>
      <c r="P1" s="51">
        <v>7705674361</v>
      </c>
      <c r="Q1" s="51">
        <v>770401001</v>
      </c>
      <c r="R1" s="52" t="s">
        <v>3688</v>
      </c>
      <c r="S1" s="51" t="s">
        <v>2408</v>
      </c>
      <c r="T1" s="51">
        <v>2</v>
      </c>
      <c r="U1" t="s">
        <v>3573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6"/>
  <dimension ref="A1:U1"/>
  <sheetViews>
    <sheetView workbookViewId="0">
      <selection sqref="A1:U1"/>
    </sheetView>
  </sheetViews>
  <sheetFormatPr defaultRowHeight="15" x14ac:dyDescent="0.25"/>
  <sheetData>
    <row r="1" spans="1:21" x14ac:dyDescent="0.25">
      <c r="A1" s="49" t="s">
        <v>3672</v>
      </c>
      <c r="B1" s="51" t="s">
        <v>3778</v>
      </c>
      <c r="C1" s="51" t="s">
        <v>3669</v>
      </c>
      <c r="D1" s="51" t="s">
        <v>3669</v>
      </c>
      <c r="E1" s="51" t="s">
        <v>3552</v>
      </c>
      <c r="F1" s="51">
        <v>1</v>
      </c>
      <c r="G1" s="51">
        <v>1825</v>
      </c>
      <c r="H1" s="51">
        <v>1520.8333333333335</v>
      </c>
      <c r="I1" s="51"/>
      <c r="J1" s="51"/>
      <c r="K1" s="51"/>
      <c r="L1" s="51">
        <v>1520.8333333333335</v>
      </c>
      <c r="M1" s="51"/>
      <c r="N1" s="51"/>
      <c r="O1" s="51" t="s">
        <v>3667</v>
      </c>
      <c r="P1" s="51">
        <v>7451435053</v>
      </c>
      <c r="Q1" s="51">
        <v>745101001</v>
      </c>
      <c r="R1" s="52" t="s">
        <v>3675</v>
      </c>
      <c r="S1" s="51" t="s">
        <v>3470</v>
      </c>
      <c r="T1" s="51">
        <v>1</v>
      </c>
      <c r="U1" t="s">
        <v>3601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5"/>
  <dimension ref="A1:U1"/>
  <sheetViews>
    <sheetView workbookViewId="0">
      <selection sqref="A1:U1"/>
    </sheetView>
  </sheetViews>
  <sheetFormatPr defaultRowHeight="15" x14ac:dyDescent="0.25"/>
  <sheetData>
    <row r="1" spans="1:21" x14ac:dyDescent="0.25">
      <c r="A1" s="49" t="s">
        <v>3671</v>
      </c>
      <c r="B1" s="51" t="s">
        <v>3777</v>
      </c>
      <c r="C1" s="51" t="s">
        <v>3669</v>
      </c>
      <c r="D1" s="51" t="s">
        <v>3669</v>
      </c>
      <c r="E1" s="51" t="s">
        <v>3552</v>
      </c>
      <c r="F1" s="51">
        <v>1</v>
      </c>
      <c r="G1" s="51">
        <v>1360</v>
      </c>
      <c r="H1" s="51">
        <v>1133.3333333333335</v>
      </c>
      <c r="I1" s="51"/>
      <c r="J1" s="51"/>
      <c r="K1" s="51"/>
      <c r="L1" s="51">
        <v>1133.3333333333335</v>
      </c>
      <c r="M1" s="51"/>
      <c r="N1" s="51"/>
      <c r="O1" s="51" t="s">
        <v>3666</v>
      </c>
      <c r="P1" s="51">
        <v>5905231483</v>
      </c>
      <c r="Q1" s="51">
        <v>590501001</v>
      </c>
      <c r="R1" s="52" t="s">
        <v>3674</v>
      </c>
      <c r="S1" s="51" t="s">
        <v>3213</v>
      </c>
      <c r="T1" s="51">
        <v>1</v>
      </c>
      <c r="U1" t="s">
        <v>3573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4"/>
  <dimension ref="A1:U1"/>
  <sheetViews>
    <sheetView workbookViewId="0">
      <selection sqref="A1:U1"/>
    </sheetView>
  </sheetViews>
  <sheetFormatPr defaultRowHeight="15" x14ac:dyDescent="0.25"/>
  <sheetData>
    <row r="1" spans="1:21" x14ac:dyDescent="0.25">
      <c r="A1" s="49" t="s">
        <v>3670</v>
      </c>
      <c r="B1" s="47" t="s">
        <v>3776</v>
      </c>
      <c r="C1" s="47" t="s">
        <v>3669</v>
      </c>
      <c r="D1" s="47" t="s">
        <v>3669</v>
      </c>
      <c r="E1" s="47" t="s">
        <v>3552</v>
      </c>
      <c r="F1" s="47">
        <v>1</v>
      </c>
      <c r="G1" s="47">
        <v>1320</v>
      </c>
      <c r="H1" s="47">
        <v>1100</v>
      </c>
      <c r="I1" s="47"/>
      <c r="J1" s="47"/>
      <c r="K1" s="47"/>
      <c r="L1" s="47">
        <v>1100</v>
      </c>
      <c r="M1" s="47"/>
      <c r="N1" s="47"/>
      <c r="O1" s="47" t="s">
        <v>3664</v>
      </c>
      <c r="P1" s="47">
        <v>6679109432</v>
      </c>
      <c r="Q1" s="47">
        <v>667001001</v>
      </c>
      <c r="R1" s="50" t="s">
        <v>3673</v>
      </c>
      <c r="S1" s="47" t="s">
        <v>3470</v>
      </c>
      <c r="T1" s="47">
        <v>2</v>
      </c>
      <c r="U1" s="30" t="s">
        <v>3648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3"/>
  <dimension ref="A1:U5"/>
  <sheetViews>
    <sheetView workbookViewId="0">
      <selection activeCell="N27" sqref="N27"/>
    </sheetView>
  </sheetViews>
  <sheetFormatPr defaultRowHeight="15" x14ac:dyDescent="0.25"/>
  <sheetData>
    <row r="1" spans="1:21" x14ac:dyDescent="0.25">
      <c r="A1" s="49" t="s">
        <v>3652</v>
      </c>
      <c r="B1" s="51" t="s">
        <v>3775</v>
      </c>
      <c r="C1" s="51" t="s">
        <v>3647</v>
      </c>
      <c r="D1" s="51" t="s">
        <v>3647</v>
      </c>
      <c r="E1" s="51" t="s">
        <v>3552</v>
      </c>
      <c r="F1" s="51">
        <v>4</v>
      </c>
      <c r="G1" s="51">
        <v>12002</v>
      </c>
      <c r="H1" s="51">
        <v>10001.666666666668</v>
      </c>
      <c r="I1" s="51"/>
      <c r="J1" s="51"/>
      <c r="K1" s="51"/>
      <c r="L1" s="51">
        <v>10001.666666666668</v>
      </c>
      <c r="M1" s="51"/>
      <c r="N1" s="51"/>
      <c r="O1" s="51" t="s">
        <v>3645</v>
      </c>
      <c r="P1" s="51">
        <v>7724452117</v>
      </c>
      <c r="Q1" s="51">
        <v>772401001</v>
      </c>
      <c r="R1" s="52" t="s">
        <v>3655</v>
      </c>
      <c r="S1" s="51" t="s">
        <v>2408</v>
      </c>
      <c r="T1" s="51">
        <v>2</v>
      </c>
      <c r="U1" t="s">
        <v>3601</v>
      </c>
    </row>
    <row r="2" spans="1:21" x14ac:dyDescent="0.25">
      <c r="A2" s="49" t="s">
        <v>3659</v>
      </c>
      <c r="B2" s="51" t="s">
        <v>3775</v>
      </c>
      <c r="C2" s="51" t="s">
        <v>3656</v>
      </c>
      <c r="D2" s="51" t="s">
        <v>3656</v>
      </c>
      <c r="E2" s="51" t="s">
        <v>3552</v>
      </c>
      <c r="F2" s="51">
        <v>2</v>
      </c>
      <c r="G2" s="51">
        <v>8463</v>
      </c>
      <c r="H2" s="51">
        <v>7052.5</v>
      </c>
      <c r="I2" s="51"/>
      <c r="J2" s="51"/>
      <c r="K2" s="51"/>
      <c r="L2" s="51">
        <v>7052.5</v>
      </c>
      <c r="M2" s="51"/>
      <c r="N2" s="51"/>
      <c r="O2" s="51" t="s">
        <v>3645</v>
      </c>
      <c r="P2" s="51">
        <v>7724452117</v>
      </c>
      <c r="Q2" s="51">
        <v>772401001</v>
      </c>
      <c r="R2" s="52" t="s">
        <v>3662</v>
      </c>
      <c r="S2" s="51" t="s">
        <v>2408</v>
      </c>
      <c r="T2" s="51">
        <v>2</v>
      </c>
      <c r="U2" t="s">
        <v>3601</v>
      </c>
    </row>
    <row r="3" spans="1:21" x14ac:dyDescent="0.25">
      <c r="A3" s="49" t="s">
        <v>3684</v>
      </c>
      <c r="B3" s="47" t="s">
        <v>3779</v>
      </c>
      <c r="C3" s="47" t="s">
        <v>3680</v>
      </c>
      <c r="D3" s="47" t="s">
        <v>3680</v>
      </c>
      <c r="E3" s="47" t="s">
        <v>3552</v>
      </c>
      <c r="F3" s="47">
        <v>1</v>
      </c>
      <c r="G3" s="47">
        <v>2700</v>
      </c>
      <c r="H3" s="47">
        <v>2250</v>
      </c>
      <c r="I3" s="47"/>
      <c r="J3" s="47"/>
      <c r="K3" s="47"/>
      <c r="L3" s="47">
        <v>2250</v>
      </c>
      <c r="M3" s="47"/>
      <c r="N3" s="47"/>
      <c r="O3" s="47" t="s">
        <v>3645</v>
      </c>
      <c r="P3" s="47">
        <v>7724452117</v>
      </c>
      <c r="Q3" s="47">
        <v>772401001</v>
      </c>
      <c r="R3" s="50" t="s">
        <v>3687</v>
      </c>
      <c r="S3" s="47" t="s">
        <v>2408</v>
      </c>
      <c r="T3" s="47">
        <v>2</v>
      </c>
      <c r="U3" s="30" t="s">
        <v>3648</v>
      </c>
    </row>
    <row r="4" spans="1:21" x14ac:dyDescent="0.25">
      <c r="A4" s="49" t="s">
        <v>3699</v>
      </c>
      <c r="B4" s="51" t="s">
        <v>3784</v>
      </c>
      <c r="C4" s="51" t="s">
        <v>3694</v>
      </c>
      <c r="D4" s="51" t="s">
        <v>3694</v>
      </c>
      <c r="E4" s="51" t="s">
        <v>3552</v>
      </c>
      <c r="F4" s="51">
        <v>2</v>
      </c>
      <c r="G4" s="51">
        <v>639</v>
      </c>
      <c r="H4" s="51">
        <v>532.5</v>
      </c>
      <c r="I4" s="51"/>
      <c r="J4" s="51"/>
      <c r="K4" s="51"/>
      <c r="L4" s="51">
        <v>532.5</v>
      </c>
      <c r="M4" s="51"/>
      <c r="N4" s="51"/>
      <c r="O4" s="51" t="s">
        <v>3645</v>
      </c>
      <c r="P4" s="51">
        <v>7724452117</v>
      </c>
      <c r="Q4" s="51">
        <v>772401001</v>
      </c>
      <c r="R4" s="52" t="s">
        <v>3702</v>
      </c>
      <c r="S4" s="51" t="s">
        <v>2408</v>
      </c>
      <c r="T4" s="51">
        <v>2</v>
      </c>
      <c r="U4" t="s">
        <v>3601</v>
      </c>
    </row>
    <row r="5" spans="1:21" x14ac:dyDescent="0.25">
      <c r="A5" s="49" t="s">
        <v>3749</v>
      </c>
      <c r="B5" s="47" t="s">
        <v>3794</v>
      </c>
      <c r="C5" s="47" t="s">
        <v>3748</v>
      </c>
      <c r="D5" s="47" t="s">
        <v>3748</v>
      </c>
      <c r="E5" s="47" t="s">
        <v>3552</v>
      </c>
      <c r="F5" s="47">
        <v>1</v>
      </c>
      <c r="G5" s="47">
        <v>510</v>
      </c>
      <c r="H5" s="47">
        <v>425</v>
      </c>
      <c r="I5" s="47"/>
      <c r="J5" s="47"/>
      <c r="K5" s="47"/>
      <c r="L5" s="47">
        <v>425</v>
      </c>
      <c r="M5" s="47"/>
      <c r="N5" s="47"/>
      <c r="O5" s="47" t="s">
        <v>3645</v>
      </c>
      <c r="P5" s="47">
        <v>7724452117</v>
      </c>
      <c r="Q5" s="47">
        <v>772401001</v>
      </c>
      <c r="R5" s="50" t="s">
        <v>3752</v>
      </c>
      <c r="S5" s="47" t="s">
        <v>2408</v>
      </c>
      <c r="T5" s="47">
        <v>2</v>
      </c>
      <c r="U5" s="30" t="s">
        <v>3648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2"/>
  <dimension ref="A1:U2"/>
  <sheetViews>
    <sheetView workbookViewId="0">
      <selection sqref="A1:U2"/>
    </sheetView>
  </sheetViews>
  <sheetFormatPr defaultRowHeight="15" x14ac:dyDescent="0.25"/>
  <sheetData>
    <row r="1" spans="1:21" x14ac:dyDescent="0.25">
      <c r="A1" s="49" t="s">
        <v>3651</v>
      </c>
      <c r="B1" s="51" t="s">
        <v>3774</v>
      </c>
      <c r="C1" s="51" t="s">
        <v>3647</v>
      </c>
      <c r="D1" s="51" t="s">
        <v>3647</v>
      </c>
      <c r="E1" s="51" t="s">
        <v>3552</v>
      </c>
      <c r="F1" s="51">
        <v>4</v>
      </c>
      <c r="G1" s="51">
        <v>4161</v>
      </c>
      <c r="H1" s="51">
        <v>3467.5</v>
      </c>
      <c r="I1" s="51"/>
      <c r="J1" s="51"/>
      <c r="K1" s="51"/>
      <c r="L1" s="51">
        <v>3467.5</v>
      </c>
      <c r="M1" s="51"/>
      <c r="N1" s="51"/>
      <c r="O1" s="51" t="s">
        <v>3758</v>
      </c>
      <c r="P1" s="51">
        <v>6671331139</v>
      </c>
      <c r="Q1" s="51">
        <v>668501001</v>
      </c>
      <c r="R1" s="52" t="s">
        <v>3654</v>
      </c>
      <c r="S1" s="51" t="s">
        <v>39</v>
      </c>
      <c r="T1" s="51">
        <v>1</v>
      </c>
      <c r="U1" t="s">
        <v>3573</v>
      </c>
    </row>
    <row r="2" spans="1:21" x14ac:dyDescent="0.25">
      <c r="A2" s="49" t="s">
        <v>3658</v>
      </c>
      <c r="B2" s="51" t="s">
        <v>3774</v>
      </c>
      <c r="C2" s="51" t="s">
        <v>3656</v>
      </c>
      <c r="D2" s="51" t="s">
        <v>3656</v>
      </c>
      <c r="E2" s="51" t="s">
        <v>3552</v>
      </c>
      <c r="F2" s="51">
        <v>2</v>
      </c>
      <c r="G2" s="51">
        <v>3373</v>
      </c>
      <c r="H2" s="51">
        <v>2810.8333333333335</v>
      </c>
      <c r="I2" s="51"/>
      <c r="J2" s="51"/>
      <c r="K2" s="51"/>
      <c r="L2" s="51">
        <v>2810.8333333333335</v>
      </c>
      <c r="M2" s="51"/>
      <c r="N2" s="51"/>
      <c r="O2" s="51" t="s">
        <v>3758</v>
      </c>
      <c r="P2" s="51">
        <v>6671331139</v>
      </c>
      <c r="Q2" s="51">
        <v>668501001</v>
      </c>
      <c r="R2" s="52" t="s">
        <v>3661</v>
      </c>
      <c r="S2" s="51" t="s">
        <v>39</v>
      </c>
      <c r="T2" s="51">
        <v>1</v>
      </c>
      <c r="U2" t="s">
        <v>3573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1"/>
  <dimension ref="A1:U2"/>
  <sheetViews>
    <sheetView workbookViewId="0">
      <selection sqref="A1:U2"/>
    </sheetView>
  </sheetViews>
  <sheetFormatPr defaultRowHeight="15" x14ac:dyDescent="0.25"/>
  <sheetData>
    <row r="1" spans="1:21" x14ac:dyDescent="0.25">
      <c r="A1" s="49" t="s">
        <v>3650</v>
      </c>
      <c r="B1" s="47" t="s">
        <v>3773</v>
      </c>
      <c r="C1" s="47" t="s">
        <v>3647</v>
      </c>
      <c r="D1" s="47" t="s">
        <v>3647</v>
      </c>
      <c r="E1" s="47" t="s">
        <v>3552</v>
      </c>
      <c r="F1" s="47">
        <v>4</v>
      </c>
      <c r="G1" s="47">
        <v>3685</v>
      </c>
      <c r="H1" s="47">
        <v>3070.8333333333335</v>
      </c>
      <c r="I1" s="47"/>
      <c r="J1" s="47"/>
      <c r="K1" s="47"/>
      <c r="L1" s="47">
        <v>3070.8333333333335</v>
      </c>
      <c r="M1" s="47"/>
      <c r="N1" s="47"/>
      <c r="O1" s="47" t="s">
        <v>3642</v>
      </c>
      <c r="P1" s="47">
        <v>6450078745</v>
      </c>
      <c r="Q1" s="47">
        <v>645001001</v>
      </c>
      <c r="R1" s="50" t="s">
        <v>3653</v>
      </c>
      <c r="S1" s="47" t="s">
        <v>3296</v>
      </c>
      <c r="T1" s="47">
        <v>1</v>
      </c>
      <c r="U1" s="30" t="s">
        <v>3648</v>
      </c>
    </row>
    <row r="2" spans="1:21" x14ac:dyDescent="0.25">
      <c r="A2" s="49" t="s">
        <v>3657</v>
      </c>
      <c r="B2" s="47" t="s">
        <v>3773</v>
      </c>
      <c r="C2" s="47" t="s">
        <v>3656</v>
      </c>
      <c r="D2" s="47" t="s">
        <v>3656</v>
      </c>
      <c r="E2" s="47" t="s">
        <v>3552</v>
      </c>
      <c r="F2" s="47">
        <v>2</v>
      </c>
      <c r="G2" s="47">
        <v>3036</v>
      </c>
      <c r="H2" s="47">
        <v>2530</v>
      </c>
      <c r="I2" s="47"/>
      <c r="J2" s="47"/>
      <c r="K2" s="47"/>
      <c r="L2" s="47">
        <v>2530</v>
      </c>
      <c r="M2" s="47"/>
      <c r="N2" s="47"/>
      <c r="O2" s="47" t="s">
        <v>3642</v>
      </c>
      <c r="P2" s="47">
        <v>6450078745</v>
      </c>
      <c r="Q2" s="47">
        <v>645001001</v>
      </c>
      <c r="R2" s="50" t="s">
        <v>3660</v>
      </c>
      <c r="S2" s="47" t="s">
        <v>3296</v>
      </c>
      <c r="T2" s="47">
        <v>1</v>
      </c>
      <c r="U2" s="30" t="s">
        <v>3648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20"/>
  <dimension ref="A1:U1"/>
  <sheetViews>
    <sheetView workbookViewId="0">
      <selection sqref="A1:U1"/>
    </sheetView>
  </sheetViews>
  <sheetFormatPr defaultRowHeight="15" x14ac:dyDescent="0.25"/>
  <sheetData>
    <row r="1" spans="1:21" x14ac:dyDescent="0.25">
      <c r="A1" s="49" t="s">
        <v>3634</v>
      </c>
      <c r="B1" s="51" t="s">
        <v>3772</v>
      </c>
      <c r="C1" s="51" t="s">
        <v>3630</v>
      </c>
      <c r="D1" s="51" t="s">
        <v>3630</v>
      </c>
      <c r="E1" s="51" t="s">
        <v>3598</v>
      </c>
      <c r="F1" s="51">
        <v>60</v>
      </c>
      <c r="G1" s="51">
        <v>109.02</v>
      </c>
      <c r="H1" s="51">
        <v>90.85</v>
      </c>
      <c r="I1" s="51"/>
      <c r="J1" s="51"/>
      <c r="K1" s="51"/>
      <c r="L1" s="51">
        <v>90.85</v>
      </c>
      <c r="M1" s="51"/>
      <c r="N1" s="51"/>
      <c r="O1" s="51" t="s">
        <v>3629</v>
      </c>
      <c r="P1" s="51">
        <v>7810623359</v>
      </c>
      <c r="Q1" s="51">
        <v>781001001</v>
      </c>
      <c r="R1" s="52" t="s">
        <v>3637</v>
      </c>
      <c r="S1" s="51" t="s">
        <v>39</v>
      </c>
      <c r="T1" s="51">
        <v>2</v>
      </c>
      <c r="U1" t="s">
        <v>3601</v>
      </c>
    </row>
  </sheetData>
  <hyperlinks>
    <hyperlink ref="R1" r:id="rId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9"/>
  <dimension ref="A1:U1"/>
  <sheetViews>
    <sheetView workbookViewId="0">
      <selection sqref="A1:U1"/>
    </sheetView>
  </sheetViews>
  <sheetFormatPr defaultRowHeight="15" x14ac:dyDescent="0.25"/>
  <sheetData>
    <row r="1" spans="1:21" x14ac:dyDescent="0.25">
      <c r="A1" s="49" t="s">
        <v>3633</v>
      </c>
      <c r="B1" s="51" t="s">
        <v>3771</v>
      </c>
      <c r="C1" s="51" t="s">
        <v>3630</v>
      </c>
      <c r="D1" s="51" t="s">
        <v>3630</v>
      </c>
      <c r="E1" s="51" t="s">
        <v>3598</v>
      </c>
      <c r="F1" s="51">
        <v>60</v>
      </c>
      <c r="G1" s="51">
        <v>109.02</v>
      </c>
      <c r="H1" s="51">
        <v>90.85</v>
      </c>
      <c r="I1" s="51"/>
      <c r="J1" s="51"/>
      <c r="K1" s="51"/>
      <c r="L1" s="51">
        <v>90.85</v>
      </c>
      <c r="M1" s="51"/>
      <c r="N1" s="51"/>
      <c r="O1" s="51" t="s">
        <v>3626</v>
      </c>
      <c r="P1" s="51">
        <v>7702680818</v>
      </c>
      <c r="Q1" s="51">
        <v>770201001</v>
      </c>
      <c r="R1" s="52" t="s">
        <v>3636</v>
      </c>
      <c r="S1" s="51" t="s">
        <v>2408</v>
      </c>
      <c r="T1" s="51">
        <v>2</v>
      </c>
      <c r="U1" t="s">
        <v>3573</v>
      </c>
    </row>
  </sheetData>
  <hyperlinks>
    <hyperlink ref="R1" r:id="rId1"/>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8"/>
  <dimension ref="A1:U1"/>
  <sheetViews>
    <sheetView workbookViewId="0">
      <selection sqref="A1:U1"/>
    </sheetView>
  </sheetViews>
  <sheetFormatPr defaultRowHeight="15" x14ac:dyDescent="0.25"/>
  <sheetData>
    <row r="1" spans="1:21" x14ac:dyDescent="0.25">
      <c r="A1" s="49" t="s">
        <v>3624</v>
      </c>
      <c r="B1" s="51" t="s">
        <v>3768</v>
      </c>
      <c r="C1" s="51" t="s">
        <v>3621</v>
      </c>
      <c r="D1" s="51" t="s">
        <v>3621</v>
      </c>
      <c r="E1" s="51" t="s">
        <v>3598</v>
      </c>
      <c r="F1" s="51">
        <v>400</v>
      </c>
      <c r="G1" s="51">
        <v>146.37</v>
      </c>
      <c r="H1" s="51">
        <v>121.97500000000001</v>
      </c>
      <c r="I1" s="51"/>
      <c r="J1" s="51"/>
      <c r="K1" s="51"/>
      <c r="L1" s="51">
        <v>121.97500000000001</v>
      </c>
      <c r="M1" s="51"/>
      <c r="N1" s="51"/>
      <c r="O1" s="51" t="s">
        <v>3619</v>
      </c>
      <c r="P1" s="51">
        <v>7804526942</v>
      </c>
      <c r="Q1" s="51">
        <v>780201001</v>
      </c>
      <c r="R1" s="52" t="s">
        <v>3639</v>
      </c>
      <c r="S1" s="51" t="s">
        <v>39</v>
      </c>
      <c r="T1" s="51">
        <v>2</v>
      </c>
      <c r="U1" t="s">
        <v>3573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7"/>
  <dimension ref="A1:U1"/>
  <sheetViews>
    <sheetView workbookViewId="0">
      <selection sqref="A1:U1"/>
    </sheetView>
  </sheetViews>
  <sheetFormatPr defaultRowHeight="15" x14ac:dyDescent="0.25"/>
  <sheetData>
    <row r="1" spans="1:21" x14ac:dyDescent="0.25">
      <c r="A1" s="49" t="s">
        <v>3623</v>
      </c>
      <c r="B1" s="47" t="s">
        <v>3767</v>
      </c>
      <c r="C1" s="47" t="s">
        <v>3621</v>
      </c>
      <c r="D1" s="47" t="s">
        <v>3621</v>
      </c>
      <c r="E1" s="47" t="s">
        <v>3598</v>
      </c>
      <c r="F1" s="47">
        <v>400</v>
      </c>
      <c r="G1" s="47">
        <v>68.5</v>
      </c>
      <c r="H1" s="47">
        <v>57.083333333333336</v>
      </c>
      <c r="I1" s="47"/>
      <c r="J1" s="47"/>
      <c r="K1" s="47"/>
      <c r="L1" s="47">
        <v>57.083333333333336</v>
      </c>
      <c r="M1" s="47"/>
      <c r="N1" s="47"/>
      <c r="O1" s="47" t="s">
        <v>3617</v>
      </c>
      <c r="P1" s="47">
        <v>7720413452</v>
      </c>
      <c r="Q1" s="47">
        <v>772001001</v>
      </c>
      <c r="R1" s="50" t="s">
        <v>3640</v>
      </c>
      <c r="S1" s="47" t="s">
        <v>2408</v>
      </c>
      <c r="T1" s="47">
        <v>2</v>
      </c>
      <c r="U1" s="30" t="s">
        <v>3573</v>
      </c>
    </row>
  </sheetData>
  <hyperlinks>
    <hyperlink ref="R1" r:id="rId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6"/>
  <dimension ref="A1:U2"/>
  <sheetViews>
    <sheetView workbookViewId="0">
      <selection sqref="A1:U2"/>
    </sheetView>
  </sheetViews>
  <sheetFormatPr defaultRowHeight="15" x14ac:dyDescent="0.25"/>
  <sheetData>
    <row r="1" spans="1:21" x14ac:dyDescent="0.25">
      <c r="A1" s="49" t="s">
        <v>3610</v>
      </c>
      <c r="B1" s="51" t="s">
        <v>3766</v>
      </c>
      <c r="C1" s="51" t="s">
        <v>3605</v>
      </c>
      <c r="D1" s="51" t="s">
        <v>3605</v>
      </c>
      <c r="E1" s="51" t="s">
        <v>3598</v>
      </c>
      <c r="F1" s="51">
        <v>35</v>
      </c>
      <c r="G1" s="51" t="s">
        <v>3607</v>
      </c>
      <c r="H1" s="51">
        <v>67.533333333333346</v>
      </c>
      <c r="I1" s="51"/>
      <c r="J1" s="51"/>
      <c r="K1" s="51"/>
      <c r="L1" s="51">
        <v>67.533333333333346</v>
      </c>
      <c r="M1" s="51"/>
      <c r="N1" s="51"/>
      <c r="O1" s="51" t="s">
        <v>44</v>
      </c>
      <c r="P1" s="51">
        <v>7804274156</v>
      </c>
      <c r="Q1" s="51">
        <v>780401001</v>
      </c>
      <c r="R1" s="52" t="s">
        <v>3611</v>
      </c>
      <c r="S1" s="51" t="s">
        <v>39</v>
      </c>
      <c r="T1" s="51">
        <v>2</v>
      </c>
      <c r="U1" t="s">
        <v>3601</v>
      </c>
    </row>
    <row r="2" spans="1:21" x14ac:dyDescent="0.25">
      <c r="A2" s="49" t="s">
        <v>3632</v>
      </c>
      <c r="B2" s="47" t="s">
        <v>3770</v>
      </c>
      <c r="C2" s="47" t="s">
        <v>3630</v>
      </c>
      <c r="D2" s="47" t="s">
        <v>3630</v>
      </c>
      <c r="E2" s="47" t="s">
        <v>3598</v>
      </c>
      <c r="F2" s="47">
        <v>60</v>
      </c>
      <c r="G2" s="47">
        <v>109</v>
      </c>
      <c r="H2" s="47">
        <v>90.833333333333343</v>
      </c>
      <c r="I2" s="47"/>
      <c r="J2" s="47"/>
      <c r="K2" s="47"/>
      <c r="L2" s="47">
        <v>90.833333333333343</v>
      </c>
      <c r="M2" s="47"/>
      <c r="N2" s="47"/>
      <c r="O2" s="47" t="s">
        <v>44</v>
      </c>
      <c r="P2" s="47">
        <v>7804274156</v>
      </c>
      <c r="Q2" s="47">
        <v>780401001</v>
      </c>
      <c r="R2" s="50" t="s">
        <v>3635</v>
      </c>
      <c r="S2" s="47" t="s">
        <v>39</v>
      </c>
      <c r="T2" s="47">
        <v>2</v>
      </c>
      <c r="U2" s="30" t="s">
        <v>3573</v>
      </c>
    </row>
  </sheetData>
  <hyperlinks>
    <hyperlink ref="R2" r:id="rId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5"/>
  <dimension ref="A1:U1"/>
  <sheetViews>
    <sheetView workbookViewId="0">
      <selection sqref="A1:U1"/>
    </sheetView>
  </sheetViews>
  <sheetFormatPr defaultRowHeight="15" x14ac:dyDescent="0.25"/>
  <sheetData>
    <row r="1" spans="1:21" x14ac:dyDescent="0.25">
      <c r="A1" s="49" t="s">
        <v>3604</v>
      </c>
      <c r="B1" s="51" t="s">
        <v>3765</v>
      </c>
      <c r="C1" s="51" t="s">
        <v>3597</v>
      </c>
      <c r="D1" s="51" t="s">
        <v>3597</v>
      </c>
      <c r="E1" s="51" t="s">
        <v>3598</v>
      </c>
      <c r="F1" s="51">
        <v>969</v>
      </c>
      <c r="G1" s="51">
        <v>96.36</v>
      </c>
      <c r="H1" s="51">
        <v>80.3</v>
      </c>
      <c r="I1" s="51"/>
      <c r="J1" s="51"/>
      <c r="K1" s="51"/>
      <c r="L1" s="51">
        <v>80.3</v>
      </c>
      <c r="M1" s="51"/>
      <c r="N1" s="51"/>
      <c r="O1" s="51" t="s">
        <v>3596</v>
      </c>
      <c r="P1" s="51">
        <v>5050098030</v>
      </c>
      <c r="Q1" s="51">
        <v>505001001</v>
      </c>
      <c r="R1" s="52" t="s">
        <v>3615</v>
      </c>
      <c r="S1" s="51" t="s">
        <v>2408</v>
      </c>
      <c r="T1" s="51">
        <v>2</v>
      </c>
      <c r="U1" t="s">
        <v>3601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4"/>
  <dimension ref="A1:U3"/>
  <sheetViews>
    <sheetView workbookViewId="0">
      <selection sqref="A1:U3"/>
    </sheetView>
  </sheetViews>
  <sheetFormatPr defaultRowHeight="15" x14ac:dyDescent="0.25"/>
  <sheetData>
    <row r="1" spans="1:21" x14ac:dyDescent="0.25">
      <c r="A1" s="49" t="s">
        <v>3603</v>
      </c>
      <c r="B1" s="51" t="s">
        <v>3764</v>
      </c>
      <c r="C1" s="51" t="s">
        <v>3597</v>
      </c>
      <c r="D1" s="51" t="s">
        <v>3597</v>
      </c>
      <c r="E1" s="51" t="s">
        <v>3598</v>
      </c>
      <c r="F1" s="51">
        <v>969</v>
      </c>
      <c r="G1" s="51">
        <v>46.74</v>
      </c>
      <c r="H1" s="51">
        <v>38.950000000000003</v>
      </c>
      <c r="I1" s="51"/>
      <c r="J1" s="51"/>
      <c r="K1" s="51"/>
      <c r="L1" s="51">
        <v>38.950000000000003</v>
      </c>
      <c r="M1" s="51"/>
      <c r="N1" s="51"/>
      <c r="O1" s="51" t="s">
        <v>3593</v>
      </c>
      <c r="P1" s="51">
        <v>7721801761</v>
      </c>
      <c r="Q1" s="51">
        <v>772001001</v>
      </c>
      <c r="R1" s="52" t="s">
        <v>3616</v>
      </c>
      <c r="S1" s="51" t="s">
        <v>2408</v>
      </c>
      <c r="T1" s="51">
        <v>2</v>
      </c>
      <c r="U1" t="s">
        <v>3573</v>
      </c>
    </row>
    <row r="2" spans="1:21" x14ac:dyDescent="0.25">
      <c r="A2" s="49" t="s">
        <v>3608</v>
      </c>
      <c r="B2" s="47" t="s">
        <v>3764</v>
      </c>
      <c r="C2" s="47" t="s">
        <v>3605</v>
      </c>
      <c r="D2" s="47" t="s">
        <v>3605</v>
      </c>
      <c r="E2" s="47" t="s">
        <v>3598</v>
      </c>
      <c r="F2" s="47">
        <v>35</v>
      </c>
      <c r="G2" s="47">
        <v>69.08</v>
      </c>
      <c r="H2" s="47">
        <v>57.56666666666667</v>
      </c>
      <c r="I2" s="47"/>
      <c r="J2" s="47"/>
      <c r="K2" s="47"/>
      <c r="L2" s="47">
        <v>57.56666666666667</v>
      </c>
      <c r="M2" s="47"/>
      <c r="N2" s="47"/>
      <c r="O2" s="47" t="s">
        <v>3593</v>
      </c>
      <c r="P2" s="47">
        <v>7721801761</v>
      </c>
      <c r="Q2" s="47">
        <v>772001001</v>
      </c>
      <c r="R2" s="50" t="s">
        <v>3613</v>
      </c>
      <c r="S2" s="47" t="s">
        <v>2408</v>
      </c>
      <c r="T2" s="47">
        <v>2</v>
      </c>
      <c r="U2" s="30" t="s">
        <v>3573</v>
      </c>
    </row>
    <row r="3" spans="1:21" x14ac:dyDescent="0.25">
      <c r="A3" s="49" t="s">
        <v>3625</v>
      </c>
      <c r="B3" s="51" t="s">
        <v>3769</v>
      </c>
      <c r="C3" s="51" t="s">
        <v>3621</v>
      </c>
      <c r="D3" s="51" t="s">
        <v>3621</v>
      </c>
      <c r="E3" s="51" t="s">
        <v>3598</v>
      </c>
      <c r="F3" s="51">
        <v>400</v>
      </c>
      <c r="G3" s="51">
        <v>225</v>
      </c>
      <c r="H3" s="51">
        <v>187.5</v>
      </c>
      <c r="I3" s="51"/>
      <c r="J3" s="51"/>
      <c r="K3" s="51"/>
      <c r="L3" s="51">
        <v>187.5</v>
      </c>
      <c r="M3" s="51"/>
      <c r="N3" s="51"/>
      <c r="O3" s="51" t="s">
        <v>3593</v>
      </c>
      <c r="P3" s="51">
        <v>7721801761</v>
      </c>
      <c r="Q3" s="51">
        <v>772001001</v>
      </c>
      <c r="R3" s="52" t="s">
        <v>3638</v>
      </c>
      <c r="S3" s="51" t="s">
        <v>2408</v>
      </c>
      <c r="T3" s="51">
        <v>2</v>
      </c>
      <c r="U3" t="s">
        <v>3601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3"/>
  <dimension ref="A1:U2"/>
  <sheetViews>
    <sheetView workbookViewId="0">
      <selection sqref="A1:U2"/>
    </sheetView>
  </sheetViews>
  <sheetFormatPr defaultRowHeight="15" x14ac:dyDescent="0.25"/>
  <sheetData>
    <row r="1" spans="1:21" x14ac:dyDescent="0.25">
      <c r="A1" s="49" t="s">
        <v>3602</v>
      </c>
      <c r="B1" s="47" t="s">
        <v>3763</v>
      </c>
      <c r="C1" s="47" t="s">
        <v>3597</v>
      </c>
      <c r="D1" s="47" t="s">
        <v>3597</v>
      </c>
      <c r="E1" s="47" t="s">
        <v>3598</v>
      </c>
      <c r="F1" s="47">
        <v>969</v>
      </c>
      <c r="G1" s="47" t="s">
        <v>3599</v>
      </c>
      <c r="H1" s="47">
        <v>36.208333333333336</v>
      </c>
      <c r="I1" s="47"/>
      <c r="J1" s="47"/>
      <c r="K1" s="47"/>
      <c r="L1" s="47">
        <v>36.208333333333336</v>
      </c>
      <c r="M1" s="47"/>
      <c r="N1" s="47"/>
      <c r="O1" s="47" t="s">
        <v>3591</v>
      </c>
      <c r="P1" s="47">
        <v>9710008385</v>
      </c>
      <c r="Q1" s="47">
        <v>324501001</v>
      </c>
      <c r="R1" s="50" t="s">
        <v>3614</v>
      </c>
      <c r="S1" s="47" t="s">
        <v>39</v>
      </c>
      <c r="T1" s="47">
        <v>2</v>
      </c>
      <c r="U1" s="30" t="s">
        <v>3573</v>
      </c>
    </row>
    <row r="2" spans="1:21" x14ac:dyDescent="0.25">
      <c r="A2" s="49" t="s">
        <v>3609</v>
      </c>
      <c r="B2" s="51" t="s">
        <v>3763</v>
      </c>
      <c r="C2" s="51" t="s">
        <v>3605</v>
      </c>
      <c r="D2" s="51" t="s">
        <v>3605</v>
      </c>
      <c r="E2" s="51" t="s">
        <v>3598</v>
      </c>
      <c r="F2" s="51">
        <v>35</v>
      </c>
      <c r="G2" s="51" t="s">
        <v>3606</v>
      </c>
      <c r="H2" s="51">
        <v>61.041666666666671</v>
      </c>
      <c r="I2" s="51"/>
      <c r="J2" s="51"/>
      <c r="K2" s="51"/>
      <c r="L2" s="51">
        <v>61.041666666666671</v>
      </c>
      <c r="M2" s="51"/>
      <c r="N2" s="51"/>
      <c r="O2" s="51" t="s">
        <v>3591</v>
      </c>
      <c r="P2" s="51">
        <v>9710008385</v>
      </c>
      <c r="Q2" s="51">
        <v>324501001</v>
      </c>
      <c r="R2" s="52" t="s">
        <v>3612</v>
      </c>
      <c r="S2" s="51" t="s">
        <v>39</v>
      </c>
      <c r="T2" s="51">
        <v>2</v>
      </c>
      <c r="U2" t="s">
        <v>3573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2"/>
  <dimension ref="A1:U5"/>
  <sheetViews>
    <sheetView workbookViewId="0">
      <selection sqref="A1:U5"/>
    </sheetView>
  </sheetViews>
  <sheetFormatPr defaultRowHeight="15" x14ac:dyDescent="0.25"/>
  <sheetData>
    <row r="1" spans="1:21" x14ac:dyDescent="0.25">
      <c r="A1" s="49" t="s">
        <v>3575</v>
      </c>
      <c r="B1" s="47" t="s">
        <v>3760</v>
      </c>
      <c r="C1" s="47" t="s">
        <v>3571</v>
      </c>
      <c r="D1" s="47" t="s">
        <v>3572</v>
      </c>
      <c r="E1" s="47" t="s">
        <v>3552</v>
      </c>
      <c r="F1" s="47">
        <v>1</v>
      </c>
      <c r="G1" s="47">
        <v>90000</v>
      </c>
      <c r="H1" s="47">
        <v>75000</v>
      </c>
      <c r="I1" s="47"/>
      <c r="J1" s="47"/>
      <c r="K1" s="47"/>
      <c r="L1" s="47">
        <v>75000</v>
      </c>
      <c r="M1" s="47"/>
      <c r="N1" s="47"/>
      <c r="O1" s="47" t="s">
        <v>40</v>
      </c>
      <c r="P1" s="47">
        <v>7839109650</v>
      </c>
      <c r="Q1" s="47">
        <v>783901001</v>
      </c>
      <c r="R1" s="47" t="s">
        <v>41</v>
      </c>
      <c r="S1" s="47" t="s">
        <v>39</v>
      </c>
      <c r="T1" s="47">
        <v>2</v>
      </c>
      <c r="U1" s="30" t="s">
        <v>3573</v>
      </c>
    </row>
    <row r="2" spans="1:21" x14ac:dyDescent="0.25">
      <c r="A2" s="49" t="s">
        <v>3579</v>
      </c>
      <c r="B2" s="47" t="s">
        <v>3760</v>
      </c>
      <c r="C2" s="47" t="s">
        <v>3577</v>
      </c>
      <c r="D2" s="47" t="s">
        <v>3578</v>
      </c>
      <c r="E2" s="47" t="s">
        <v>3552</v>
      </c>
      <c r="F2" s="47">
        <v>1</v>
      </c>
      <c r="G2" s="47">
        <v>540000</v>
      </c>
      <c r="H2" s="47">
        <v>450000</v>
      </c>
      <c r="I2" s="47"/>
      <c r="J2" s="47"/>
      <c r="K2" s="47"/>
      <c r="L2" s="47">
        <v>450000</v>
      </c>
      <c r="M2" s="47"/>
      <c r="N2" s="47"/>
      <c r="O2" s="47" t="s">
        <v>40</v>
      </c>
      <c r="P2" s="47">
        <v>7839109650</v>
      </c>
      <c r="Q2" s="47">
        <v>783901001</v>
      </c>
      <c r="R2" s="47" t="s">
        <v>41</v>
      </c>
      <c r="S2" s="47" t="s">
        <v>39</v>
      </c>
      <c r="T2" s="47">
        <v>2</v>
      </c>
      <c r="U2" s="30" t="s">
        <v>3573</v>
      </c>
    </row>
    <row r="3" spans="1:21" x14ac:dyDescent="0.25">
      <c r="A3" s="49" t="s">
        <v>3582</v>
      </c>
      <c r="B3" s="47" t="s">
        <v>3760</v>
      </c>
      <c r="C3" s="47" t="s">
        <v>3580</v>
      </c>
      <c r="D3" s="47" t="s">
        <v>3581</v>
      </c>
      <c r="E3" s="47" t="s">
        <v>3552</v>
      </c>
      <c r="F3" s="47">
        <v>1</v>
      </c>
      <c r="G3" s="47">
        <v>396000</v>
      </c>
      <c r="H3" s="47">
        <v>330000</v>
      </c>
      <c r="I3" s="47"/>
      <c r="J3" s="47"/>
      <c r="K3" s="47"/>
      <c r="L3" s="47">
        <v>330000</v>
      </c>
      <c r="M3" s="47"/>
      <c r="N3" s="47"/>
      <c r="O3" s="47" t="s">
        <v>40</v>
      </c>
      <c r="P3" s="47">
        <v>7839109650</v>
      </c>
      <c r="Q3" s="47">
        <v>783901001</v>
      </c>
      <c r="R3" s="47" t="s">
        <v>41</v>
      </c>
      <c r="S3" s="47" t="s">
        <v>39</v>
      </c>
      <c r="T3" s="47">
        <v>2</v>
      </c>
      <c r="U3" s="30" t="s">
        <v>3573</v>
      </c>
    </row>
    <row r="4" spans="1:21" x14ac:dyDescent="0.25">
      <c r="A4" s="49" t="s">
        <v>3586</v>
      </c>
      <c r="B4" s="47" t="s">
        <v>3761</v>
      </c>
      <c r="C4" s="47" t="s">
        <v>3583</v>
      </c>
      <c r="D4" s="47" t="s">
        <v>3584</v>
      </c>
      <c r="E4" s="47" t="s">
        <v>3552</v>
      </c>
      <c r="F4" s="47">
        <v>1</v>
      </c>
      <c r="G4" s="47">
        <v>27000</v>
      </c>
      <c r="H4" s="47">
        <v>22500</v>
      </c>
      <c r="I4" s="47"/>
      <c r="J4" s="47"/>
      <c r="K4" s="47"/>
      <c r="L4" s="47">
        <v>22500</v>
      </c>
      <c r="M4" s="47"/>
      <c r="N4" s="47"/>
      <c r="O4" s="47" t="s">
        <v>40</v>
      </c>
      <c r="P4" s="47">
        <v>7839109650</v>
      </c>
      <c r="Q4" s="47">
        <v>783901001</v>
      </c>
      <c r="R4" s="47" t="s">
        <v>41</v>
      </c>
      <c r="S4" s="47" t="s">
        <v>39</v>
      </c>
      <c r="T4" s="47">
        <v>2</v>
      </c>
      <c r="U4" s="30" t="s">
        <v>3573</v>
      </c>
    </row>
    <row r="5" spans="1:21" x14ac:dyDescent="0.25">
      <c r="A5" s="49" t="s">
        <v>3590</v>
      </c>
      <c r="B5" s="47" t="s">
        <v>3762</v>
      </c>
      <c r="C5" s="47" t="s">
        <v>3587</v>
      </c>
      <c r="D5" s="47" t="s">
        <v>3588</v>
      </c>
      <c r="E5" s="47" t="s">
        <v>3552</v>
      </c>
      <c r="F5" s="47">
        <v>1</v>
      </c>
      <c r="G5" s="47">
        <v>540000</v>
      </c>
      <c r="H5" s="47">
        <v>450000</v>
      </c>
      <c r="I5" s="47"/>
      <c r="J5" s="47"/>
      <c r="K5" s="47"/>
      <c r="L5" s="47">
        <v>450000</v>
      </c>
      <c r="M5" s="47"/>
      <c r="N5" s="47"/>
      <c r="O5" s="47" t="s">
        <v>40</v>
      </c>
      <c r="P5" s="47">
        <v>7839109650</v>
      </c>
      <c r="Q5" s="47">
        <v>783901001</v>
      </c>
      <c r="R5" s="47" t="s">
        <v>41</v>
      </c>
      <c r="S5" s="47" t="s">
        <v>39</v>
      </c>
      <c r="T5" s="47">
        <v>2</v>
      </c>
      <c r="U5" s="30" t="s">
        <v>3573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11"/>
  <dimension ref="A1:U1"/>
  <sheetViews>
    <sheetView workbookViewId="0">
      <selection sqref="A1:U1"/>
    </sheetView>
  </sheetViews>
  <sheetFormatPr defaultRowHeight="15" x14ac:dyDescent="0.25"/>
  <sheetData>
    <row r="1" spans="1:21" ht="345" x14ac:dyDescent="0.25">
      <c r="A1" s="49">
        <v>1</v>
      </c>
      <c r="B1" s="47" t="s">
        <v>3759</v>
      </c>
      <c r="C1" s="47" t="s">
        <v>3567</v>
      </c>
      <c r="D1" s="48" t="s">
        <v>3576</v>
      </c>
      <c r="E1" s="47" t="s">
        <v>3552</v>
      </c>
      <c r="F1" s="47">
        <v>4</v>
      </c>
      <c r="G1" s="47" t="s">
        <v>3568</v>
      </c>
      <c r="H1" s="47">
        <v>6910.8333333333339</v>
      </c>
      <c r="I1" s="47"/>
      <c r="J1" s="47"/>
      <c r="K1" s="47"/>
      <c r="L1" s="47">
        <v>6910.8333333333339</v>
      </c>
      <c r="M1" s="47"/>
      <c r="N1" s="47"/>
      <c r="O1" s="47" t="s">
        <v>37</v>
      </c>
      <c r="P1" s="47">
        <v>7806155468</v>
      </c>
      <c r="Q1" s="47">
        <v>780601001</v>
      </c>
      <c r="R1" s="47" t="s">
        <v>38</v>
      </c>
      <c r="S1" s="47" t="s">
        <v>39</v>
      </c>
      <c r="T1" s="47">
        <v>1</v>
      </c>
      <c r="U1" s="30" t="s">
        <v>3569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M14" sqref="M14"/>
    </sheetView>
  </sheetViews>
  <sheetFormatPr defaultRowHeight="15" x14ac:dyDescent="0.25"/>
  <sheetData>
    <row r="1" spans="1:23" x14ac:dyDescent="0.25">
      <c r="A1" s="31" t="s">
        <v>2317</v>
      </c>
      <c r="B1" s="30" t="s">
        <v>2316</v>
      </c>
      <c r="C1" s="30" t="s">
        <v>2314</v>
      </c>
      <c r="D1" s="30">
        <v>4.8</v>
      </c>
      <c r="E1" s="30" t="s">
        <v>29</v>
      </c>
      <c r="F1" s="30">
        <v>653</v>
      </c>
      <c r="G1" s="30">
        <v>39328.879999999997</v>
      </c>
      <c r="H1" s="30">
        <f t="shared" ref="H1:H6" si="0">G1/1.2</f>
        <v>32774.066666666666</v>
      </c>
      <c r="I1" s="30"/>
      <c r="J1" s="30"/>
      <c r="K1" s="30"/>
      <c r="L1" s="30">
        <f t="shared" ref="L1:L6" si="1">H1+I1+K1</f>
        <v>32774.066666666666</v>
      </c>
      <c r="M1" s="30"/>
      <c r="N1" s="30"/>
      <c r="O1" s="30" t="s">
        <v>44</v>
      </c>
      <c r="P1" s="30">
        <v>784201001</v>
      </c>
      <c r="Q1" s="30">
        <v>7804526950</v>
      </c>
      <c r="R1" s="30" t="s">
        <v>45</v>
      </c>
      <c r="S1" s="30" t="s">
        <v>39</v>
      </c>
      <c r="T1" s="30">
        <v>2</v>
      </c>
      <c r="U1" s="30" t="s">
        <v>2315</v>
      </c>
      <c r="V1">
        <f ca="1">G1/100*RANDBETWEEN(3,5)</f>
        <v>1966.444</v>
      </c>
      <c r="W1">
        <f ca="1">G1/100*RANDBETWEEN(6,8)</f>
        <v>3146.3103999999998</v>
      </c>
    </row>
    <row r="2" spans="1:23" x14ac:dyDescent="0.25">
      <c r="A2" s="31" t="s">
        <v>2318</v>
      </c>
      <c r="B2" t="s">
        <v>2316</v>
      </c>
      <c r="C2" t="s">
        <v>2314</v>
      </c>
      <c r="D2">
        <v>4.8</v>
      </c>
      <c r="E2" t="s">
        <v>29</v>
      </c>
      <c r="F2">
        <v>653</v>
      </c>
      <c r="G2">
        <f ca="1">G1+V1</f>
        <v>41295.324000000001</v>
      </c>
      <c r="H2">
        <f t="shared" ca="1" si="0"/>
        <v>34412.770000000004</v>
      </c>
      <c r="L2">
        <f t="shared" ca="1" si="1"/>
        <v>34412.770000000004</v>
      </c>
      <c r="O2" t="s">
        <v>44</v>
      </c>
      <c r="P2">
        <v>784201001</v>
      </c>
      <c r="Q2">
        <v>7804526950</v>
      </c>
      <c r="R2" t="s">
        <v>45</v>
      </c>
      <c r="S2" t="s">
        <v>39</v>
      </c>
      <c r="T2">
        <v>2</v>
      </c>
      <c r="U2" t="s">
        <v>2315</v>
      </c>
    </row>
    <row r="3" spans="1:23" x14ac:dyDescent="0.25">
      <c r="A3" s="31" t="s">
        <v>2319</v>
      </c>
      <c r="B3" t="s">
        <v>2316</v>
      </c>
      <c r="C3" t="s">
        <v>2314</v>
      </c>
      <c r="D3">
        <v>4.8</v>
      </c>
      <c r="E3" t="s">
        <v>29</v>
      </c>
      <c r="F3">
        <v>653</v>
      </c>
      <c r="G3">
        <f ca="1">G1+W1</f>
        <v>42475.190399999999</v>
      </c>
      <c r="H3">
        <f t="shared" ca="1" si="0"/>
        <v>35395.991999999998</v>
      </c>
      <c r="L3">
        <f t="shared" ca="1" si="1"/>
        <v>35395.991999999998</v>
      </c>
      <c r="O3" t="s">
        <v>44</v>
      </c>
      <c r="P3">
        <v>784201001</v>
      </c>
      <c r="Q3">
        <v>7804526950</v>
      </c>
      <c r="R3" t="s">
        <v>45</v>
      </c>
      <c r="S3" t="s">
        <v>39</v>
      </c>
      <c r="T3">
        <v>2</v>
      </c>
      <c r="U3" t="s">
        <v>2315</v>
      </c>
    </row>
    <row r="4" spans="1:23" x14ac:dyDescent="0.25">
      <c r="A4" s="31" t="s">
        <v>2320</v>
      </c>
      <c r="B4" s="30" t="s">
        <v>2316</v>
      </c>
      <c r="C4" s="30" t="s">
        <v>2313</v>
      </c>
      <c r="D4" s="30">
        <v>4.9000000000000004</v>
      </c>
      <c r="E4" s="30" t="s">
        <v>29</v>
      </c>
      <c r="F4" s="30">
        <v>768</v>
      </c>
      <c r="G4" s="30">
        <v>57388</v>
      </c>
      <c r="H4" s="30">
        <f t="shared" si="0"/>
        <v>47823.333333333336</v>
      </c>
      <c r="I4" s="30"/>
      <c r="J4" s="30"/>
      <c r="K4" s="30"/>
      <c r="L4" s="30">
        <f t="shared" si="1"/>
        <v>47823.333333333336</v>
      </c>
      <c r="M4" s="30"/>
      <c r="N4" s="30"/>
      <c r="O4" s="30" t="s">
        <v>44</v>
      </c>
      <c r="P4" s="30">
        <v>784201001</v>
      </c>
      <c r="Q4" s="30">
        <v>7804526950</v>
      </c>
      <c r="R4" s="30" t="s">
        <v>45</v>
      </c>
      <c r="S4" s="30" t="s">
        <v>39</v>
      </c>
      <c r="T4" s="30">
        <v>2</v>
      </c>
      <c r="U4" s="30" t="s">
        <v>2315</v>
      </c>
      <c r="V4">
        <f ca="1">G4/100*RANDBETWEEN(3,5)</f>
        <v>1721.6399999999999</v>
      </c>
      <c r="W4">
        <f ca="1">G4/100*RANDBETWEEN(6,8)</f>
        <v>3443.2799999999997</v>
      </c>
    </row>
    <row r="5" spans="1:23" x14ac:dyDescent="0.25">
      <c r="A5" s="31" t="s">
        <v>2321</v>
      </c>
      <c r="B5" t="s">
        <v>2316</v>
      </c>
      <c r="C5" t="s">
        <v>2313</v>
      </c>
      <c r="D5">
        <v>4.9000000000000004</v>
      </c>
      <c r="E5" t="s">
        <v>29</v>
      </c>
      <c r="F5">
        <v>768</v>
      </c>
      <c r="G5">
        <f ca="1">G4+V4</f>
        <v>59109.64</v>
      </c>
      <c r="H5">
        <f t="shared" ca="1" si="0"/>
        <v>49258.033333333333</v>
      </c>
      <c r="L5">
        <f t="shared" ca="1" si="1"/>
        <v>49258.033333333333</v>
      </c>
      <c r="O5" t="s">
        <v>44</v>
      </c>
      <c r="P5">
        <v>784201001</v>
      </c>
      <c r="Q5">
        <v>7804526950</v>
      </c>
      <c r="R5" t="s">
        <v>45</v>
      </c>
      <c r="S5" t="s">
        <v>39</v>
      </c>
      <c r="T5">
        <v>2</v>
      </c>
      <c r="U5" t="s">
        <v>2315</v>
      </c>
    </row>
    <row r="6" spans="1:23" x14ac:dyDescent="0.25">
      <c r="A6" s="31" t="s">
        <v>2322</v>
      </c>
      <c r="B6" t="s">
        <v>2316</v>
      </c>
      <c r="C6" t="s">
        <v>2313</v>
      </c>
      <c r="D6">
        <v>4.9000000000000004</v>
      </c>
      <c r="E6" t="s">
        <v>29</v>
      </c>
      <c r="F6">
        <v>768</v>
      </c>
      <c r="G6">
        <f ca="1">G4+W4</f>
        <v>60831.28</v>
      </c>
      <c r="H6">
        <f t="shared" ca="1" si="0"/>
        <v>50692.733333333337</v>
      </c>
      <c r="L6">
        <f t="shared" ca="1" si="1"/>
        <v>50692.733333333337</v>
      </c>
      <c r="O6" t="s">
        <v>44</v>
      </c>
      <c r="P6">
        <v>784201001</v>
      </c>
      <c r="Q6">
        <v>7804526950</v>
      </c>
      <c r="R6" t="s">
        <v>45</v>
      </c>
      <c r="S6" t="s">
        <v>39</v>
      </c>
      <c r="T6">
        <v>2</v>
      </c>
      <c r="U6" t="s">
        <v>2315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63</v>
      </c>
      <c r="B1" s="38" t="s">
        <v>2417</v>
      </c>
    </row>
    <row r="2" spans="1:2" x14ac:dyDescent="0.2">
      <c r="A2" s="40" t="s">
        <v>2563</v>
      </c>
      <c r="B2" s="40">
        <v>19</v>
      </c>
    </row>
    <row r="3" spans="1:2" x14ac:dyDescent="0.2">
      <c r="A3" s="40" t="s">
        <v>2564</v>
      </c>
      <c r="B3" s="40">
        <v>19</v>
      </c>
    </row>
    <row r="4" spans="1:2" x14ac:dyDescent="0.2">
      <c r="A4" s="40" t="s">
        <v>3166</v>
      </c>
      <c r="B4" s="40">
        <v>56</v>
      </c>
    </row>
    <row r="5" spans="1:2" x14ac:dyDescent="0.2">
      <c r="A5" s="40" t="s">
        <v>2594</v>
      </c>
      <c r="B5" s="40">
        <v>23</v>
      </c>
    </row>
    <row r="6" spans="1:2" x14ac:dyDescent="0.2">
      <c r="A6" s="40" t="s">
        <v>2420</v>
      </c>
      <c r="B6" s="40">
        <v>2</v>
      </c>
    </row>
    <row r="7" spans="1:2" x14ac:dyDescent="0.2">
      <c r="A7" s="40" t="s">
        <v>2530</v>
      </c>
      <c r="B7" s="40">
        <v>16</v>
      </c>
    </row>
    <row r="8" spans="1:2" x14ac:dyDescent="0.2">
      <c r="A8" s="40" t="s">
        <v>2418</v>
      </c>
      <c r="B8" s="40">
        <v>1</v>
      </c>
    </row>
    <row r="9" spans="1:2" x14ac:dyDescent="0.2">
      <c r="A9" s="40" t="s">
        <v>2531</v>
      </c>
      <c r="B9" s="40">
        <v>16</v>
      </c>
    </row>
    <row r="10" spans="1:2" x14ac:dyDescent="0.2">
      <c r="A10" s="40" t="s">
        <v>3236</v>
      </c>
      <c r="B10" s="40">
        <v>61</v>
      </c>
    </row>
    <row r="11" spans="1:2" x14ac:dyDescent="0.2">
      <c r="A11" s="40" t="s">
        <v>2552</v>
      </c>
      <c r="B11" s="40">
        <v>17</v>
      </c>
    </row>
    <row r="12" spans="1:2" x14ac:dyDescent="0.2">
      <c r="A12" s="40" t="s">
        <v>3237</v>
      </c>
      <c r="B12" s="40">
        <v>61</v>
      </c>
    </row>
    <row r="13" spans="1:2" x14ac:dyDescent="0.2">
      <c r="A13" s="40" t="s">
        <v>2524</v>
      </c>
      <c r="B13" s="40">
        <v>15</v>
      </c>
    </row>
    <row r="14" spans="1:2" x14ac:dyDescent="0.2">
      <c r="A14" s="40" t="s">
        <v>3317</v>
      </c>
      <c r="B14" s="40">
        <v>66</v>
      </c>
    </row>
    <row r="15" spans="1:2" x14ac:dyDescent="0.2">
      <c r="A15" s="40" t="s">
        <v>2573</v>
      </c>
      <c r="B15" s="40">
        <v>21</v>
      </c>
    </row>
    <row r="16" spans="1:2" x14ac:dyDescent="0.2">
      <c r="A16" s="40" t="s">
        <v>2511</v>
      </c>
      <c r="B16" s="40">
        <v>14</v>
      </c>
    </row>
    <row r="17" spans="1:2" x14ac:dyDescent="0.2">
      <c r="A17" s="40" t="s">
        <v>2582</v>
      </c>
      <c r="B17" s="40">
        <v>22</v>
      </c>
    </row>
    <row r="18" spans="1:2" x14ac:dyDescent="0.2">
      <c r="A18" s="40" t="s">
        <v>2734</v>
      </c>
      <c r="B18" s="40">
        <v>33</v>
      </c>
    </row>
    <row r="19" spans="1:2" x14ac:dyDescent="0.2">
      <c r="A19" s="40" t="s">
        <v>3196</v>
      </c>
      <c r="B19" s="40">
        <v>59</v>
      </c>
    </row>
    <row r="20" spans="1:2" ht="25.5" x14ac:dyDescent="0.2">
      <c r="A20" s="40" t="s">
        <v>3302</v>
      </c>
      <c r="B20" s="40">
        <v>65</v>
      </c>
    </row>
    <row r="21" spans="1:2" x14ac:dyDescent="0.2">
      <c r="A21" s="40" t="s">
        <v>2708</v>
      </c>
      <c r="B21" s="40">
        <v>31</v>
      </c>
    </row>
    <row r="22" spans="1:2" x14ac:dyDescent="0.2">
      <c r="A22" s="40" t="s">
        <v>3414</v>
      </c>
      <c r="B22" s="40">
        <v>71</v>
      </c>
    </row>
    <row r="23" spans="1:2" x14ac:dyDescent="0.2">
      <c r="A23" s="40" t="s">
        <v>2823</v>
      </c>
      <c r="B23" s="40">
        <v>38</v>
      </c>
    </row>
    <row r="24" spans="1:2" x14ac:dyDescent="0.2">
      <c r="A24" s="40" t="s">
        <v>3533</v>
      </c>
      <c r="B24" s="40">
        <v>91</v>
      </c>
    </row>
    <row r="25" spans="1:2" x14ac:dyDescent="0.2">
      <c r="A25" s="40" t="s">
        <v>3534</v>
      </c>
      <c r="B25" s="40">
        <v>91</v>
      </c>
    </row>
    <row r="26" spans="1:2" x14ac:dyDescent="0.2">
      <c r="A26" s="40" t="s">
        <v>2532</v>
      </c>
      <c r="B26" s="40">
        <v>16</v>
      </c>
    </row>
    <row r="27" spans="1:2" x14ac:dyDescent="0.2">
      <c r="A27" s="40" t="s">
        <v>2674</v>
      </c>
      <c r="B27" s="40">
        <v>27</v>
      </c>
    </row>
    <row r="28" spans="1:2" x14ac:dyDescent="0.2">
      <c r="A28" s="40" t="s">
        <v>3522</v>
      </c>
      <c r="B28" s="40">
        <v>87</v>
      </c>
    </row>
    <row r="29" spans="1:2" x14ac:dyDescent="0.2">
      <c r="A29" s="40" t="s">
        <v>2595</v>
      </c>
      <c r="B29" s="40">
        <v>23</v>
      </c>
    </row>
    <row r="30" spans="1:2" x14ac:dyDescent="0.2">
      <c r="A30" s="40" t="s">
        <v>2824</v>
      </c>
      <c r="B30" s="40">
        <v>38</v>
      </c>
    </row>
    <row r="31" spans="1:2" x14ac:dyDescent="0.2">
      <c r="A31" s="40" t="s">
        <v>3385</v>
      </c>
      <c r="B31" s="40">
        <v>69</v>
      </c>
    </row>
    <row r="32" spans="1:2" x14ac:dyDescent="0.2">
      <c r="A32" s="40" t="s">
        <v>2896</v>
      </c>
      <c r="B32" s="40">
        <v>42</v>
      </c>
    </row>
    <row r="33" spans="1:2" x14ac:dyDescent="0.2">
      <c r="A33" s="40" t="s">
        <v>3303</v>
      </c>
      <c r="B33" s="40">
        <v>65</v>
      </c>
    </row>
    <row r="34" spans="1:2" x14ac:dyDescent="0.2">
      <c r="A34" s="40" t="s">
        <v>3088</v>
      </c>
      <c r="B34" s="40">
        <v>51</v>
      </c>
    </row>
    <row r="35" spans="1:2" x14ac:dyDescent="0.2">
      <c r="A35" s="40" t="s">
        <v>3001</v>
      </c>
      <c r="B35" s="40">
        <v>50</v>
      </c>
    </row>
    <row r="36" spans="1:2" x14ac:dyDescent="0.2">
      <c r="A36" s="40" t="s">
        <v>2596</v>
      </c>
      <c r="B36" s="40">
        <v>23</v>
      </c>
    </row>
    <row r="37" spans="1:2" x14ac:dyDescent="0.2">
      <c r="A37" s="40" t="s">
        <v>3318</v>
      </c>
      <c r="B37" s="40">
        <v>66</v>
      </c>
    </row>
    <row r="38" spans="1:2" x14ac:dyDescent="0.2">
      <c r="A38" s="40" t="s">
        <v>2568</v>
      </c>
      <c r="B38" s="40">
        <v>20</v>
      </c>
    </row>
    <row r="39" spans="1:2" x14ac:dyDescent="0.2">
      <c r="A39" s="40" t="s">
        <v>2504</v>
      </c>
      <c r="B39" s="40">
        <v>13</v>
      </c>
    </row>
    <row r="40" spans="1:2" x14ac:dyDescent="0.2">
      <c r="A40" s="40" t="s">
        <v>2525</v>
      </c>
      <c r="B40" s="40">
        <v>15</v>
      </c>
    </row>
    <row r="41" spans="1:2" x14ac:dyDescent="0.2">
      <c r="A41" s="40" t="s">
        <v>3106</v>
      </c>
      <c r="B41" s="40">
        <v>52</v>
      </c>
    </row>
    <row r="42" spans="1:2" x14ac:dyDescent="0.2">
      <c r="A42" s="40" t="s">
        <v>3282</v>
      </c>
      <c r="B42" s="40">
        <v>64</v>
      </c>
    </row>
    <row r="43" spans="1:2" x14ac:dyDescent="0.2">
      <c r="A43" s="40" t="s">
        <v>2597</v>
      </c>
      <c r="B43" s="40">
        <v>23</v>
      </c>
    </row>
    <row r="44" spans="1:2" x14ac:dyDescent="0.2">
      <c r="A44" s="40" t="s">
        <v>3535</v>
      </c>
      <c r="B44" s="40">
        <v>91</v>
      </c>
    </row>
    <row r="45" spans="1:2" x14ac:dyDescent="0.2">
      <c r="A45" s="40" t="s">
        <v>3536</v>
      </c>
      <c r="B45" s="40">
        <v>91</v>
      </c>
    </row>
    <row r="46" spans="1:2" x14ac:dyDescent="0.2">
      <c r="A46" s="40" t="s">
        <v>2643</v>
      </c>
      <c r="B46" s="40">
        <v>25</v>
      </c>
    </row>
    <row r="47" spans="1:2" x14ac:dyDescent="0.2">
      <c r="A47" s="40" t="s">
        <v>2533</v>
      </c>
      <c r="B47" s="40">
        <v>16</v>
      </c>
    </row>
    <row r="48" spans="1:2" x14ac:dyDescent="0.2">
      <c r="A48" s="40" t="s">
        <v>2644</v>
      </c>
      <c r="B48" s="40">
        <v>25</v>
      </c>
    </row>
    <row r="49" spans="1:2" x14ac:dyDescent="0.2">
      <c r="A49" s="40" t="s">
        <v>2620</v>
      </c>
      <c r="B49" s="40">
        <v>24</v>
      </c>
    </row>
    <row r="50" spans="1:2" x14ac:dyDescent="0.2">
      <c r="A50" s="40" t="s">
        <v>3319</v>
      </c>
      <c r="B50" s="40">
        <v>66</v>
      </c>
    </row>
    <row r="51" spans="1:2" x14ac:dyDescent="0.2">
      <c r="A51" s="40" t="s">
        <v>2689</v>
      </c>
      <c r="B51" s="40">
        <v>29</v>
      </c>
    </row>
    <row r="52" spans="1:2" x14ac:dyDescent="0.2">
      <c r="A52" s="40" t="s">
        <v>3320</v>
      </c>
      <c r="B52" s="40">
        <v>66</v>
      </c>
    </row>
    <row r="53" spans="1:2" x14ac:dyDescent="0.2">
      <c r="A53" s="40" t="s">
        <v>3408</v>
      </c>
      <c r="B53" s="40">
        <v>70</v>
      </c>
    </row>
    <row r="54" spans="1:2" x14ac:dyDescent="0.2">
      <c r="A54" s="40" t="s">
        <v>2701</v>
      </c>
      <c r="B54" s="40">
        <v>30</v>
      </c>
    </row>
    <row r="55" spans="1:2" x14ac:dyDescent="0.2">
      <c r="A55" s="40" t="s">
        <v>3283</v>
      </c>
      <c r="B55" s="40">
        <v>64</v>
      </c>
    </row>
    <row r="56" spans="1:2" x14ac:dyDescent="0.2">
      <c r="A56" s="40" t="s">
        <v>2702</v>
      </c>
      <c r="B56" s="40">
        <v>30</v>
      </c>
    </row>
    <row r="57" spans="1:2" x14ac:dyDescent="0.2">
      <c r="A57" s="40" t="s">
        <v>2703</v>
      </c>
      <c r="B57" s="40">
        <v>30</v>
      </c>
    </row>
    <row r="58" spans="1:2" x14ac:dyDescent="0.2">
      <c r="A58" s="40" t="s">
        <v>2621</v>
      </c>
      <c r="B58" s="40">
        <v>24</v>
      </c>
    </row>
    <row r="59" spans="1:2" x14ac:dyDescent="0.2">
      <c r="A59" s="40" t="s">
        <v>3443</v>
      </c>
      <c r="B59" s="40">
        <v>74</v>
      </c>
    </row>
    <row r="60" spans="1:2" x14ac:dyDescent="0.2">
      <c r="A60" s="40" t="s">
        <v>2775</v>
      </c>
      <c r="B60" s="40">
        <v>35</v>
      </c>
    </row>
    <row r="61" spans="1:2" x14ac:dyDescent="0.2">
      <c r="A61" s="40" t="s">
        <v>2441</v>
      </c>
      <c r="B61" s="40">
        <v>3</v>
      </c>
    </row>
    <row r="62" spans="1:2" x14ac:dyDescent="0.2">
      <c r="A62" s="40" t="s">
        <v>2534</v>
      </c>
      <c r="B62" s="40">
        <v>16</v>
      </c>
    </row>
    <row r="63" spans="1:2" x14ac:dyDescent="0.2">
      <c r="A63" s="40" t="s">
        <v>2846</v>
      </c>
      <c r="B63" s="40">
        <v>39</v>
      </c>
    </row>
    <row r="64" spans="1:2" x14ac:dyDescent="0.2">
      <c r="A64" s="40" t="s">
        <v>2825</v>
      </c>
      <c r="B64" s="40">
        <v>38</v>
      </c>
    </row>
    <row r="65" spans="1:2" x14ac:dyDescent="0.2">
      <c r="A65" s="40" t="s">
        <v>2421</v>
      </c>
      <c r="B65" s="40">
        <v>2</v>
      </c>
    </row>
    <row r="66" spans="1:2" x14ac:dyDescent="0.2">
      <c r="A66" s="40" t="s">
        <v>3444</v>
      </c>
      <c r="B66" s="40">
        <v>74</v>
      </c>
    </row>
    <row r="67" spans="1:2" x14ac:dyDescent="0.2">
      <c r="A67" s="40" t="s">
        <v>2462</v>
      </c>
      <c r="B67" s="40">
        <v>7</v>
      </c>
    </row>
    <row r="68" spans="1:2" x14ac:dyDescent="0.2">
      <c r="A68" s="40" t="s">
        <v>2868</v>
      </c>
      <c r="B68" s="40">
        <v>40</v>
      </c>
    </row>
    <row r="69" spans="1:2" x14ac:dyDescent="0.2">
      <c r="A69" s="40" t="s">
        <v>3284</v>
      </c>
      <c r="B69" s="40">
        <v>64</v>
      </c>
    </row>
    <row r="70" spans="1:2" x14ac:dyDescent="0.2">
      <c r="A70" s="40" t="s">
        <v>3107</v>
      </c>
      <c r="B70" s="40">
        <v>52</v>
      </c>
    </row>
    <row r="71" spans="1:2" x14ac:dyDescent="0.2">
      <c r="A71" s="40" t="s">
        <v>3002</v>
      </c>
      <c r="B71" s="40">
        <v>50</v>
      </c>
    </row>
    <row r="72" spans="1:2" x14ac:dyDescent="0.2">
      <c r="A72" s="40" t="s">
        <v>3285</v>
      </c>
      <c r="B72" s="40">
        <v>64</v>
      </c>
    </row>
    <row r="73" spans="1:2" x14ac:dyDescent="0.2">
      <c r="A73" s="40" t="s">
        <v>3473</v>
      </c>
      <c r="B73" s="40">
        <v>75</v>
      </c>
    </row>
    <row r="74" spans="1:2" x14ac:dyDescent="0.2">
      <c r="A74" s="40" t="s">
        <v>2847</v>
      </c>
      <c r="B74" s="40">
        <v>39</v>
      </c>
    </row>
    <row r="75" spans="1:2" x14ac:dyDescent="0.2">
      <c r="A75" s="40" t="s">
        <v>3145</v>
      </c>
      <c r="B75" s="40">
        <v>54</v>
      </c>
    </row>
    <row r="76" spans="1:2" x14ac:dyDescent="0.2">
      <c r="A76" s="40" t="s">
        <v>2583</v>
      </c>
      <c r="B76" s="40">
        <v>22</v>
      </c>
    </row>
    <row r="77" spans="1:2" x14ac:dyDescent="0.2">
      <c r="A77" s="40" t="s">
        <v>3437</v>
      </c>
      <c r="B77" s="40">
        <v>73</v>
      </c>
    </row>
    <row r="78" spans="1:2" x14ac:dyDescent="0.2">
      <c r="A78" s="40" t="s">
        <v>3238</v>
      </c>
      <c r="B78" s="40">
        <v>61</v>
      </c>
    </row>
    <row r="79" spans="1:2" x14ac:dyDescent="0.2">
      <c r="A79" s="40" t="s">
        <v>3537</v>
      </c>
      <c r="B79" s="40">
        <v>91</v>
      </c>
    </row>
    <row r="80" spans="1:2" x14ac:dyDescent="0.2">
      <c r="A80" s="40" t="s">
        <v>3386</v>
      </c>
      <c r="B80" s="40">
        <v>69</v>
      </c>
    </row>
    <row r="81" spans="1:2" x14ac:dyDescent="0.2">
      <c r="A81" s="40" t="s">
        <v>3239</v>
      </c>
      <c r="B81" s="40">
        <v>61</v>
      </c>
    </row>
    <row r="82" spans="1:2" x14ac:dyDescent="0.2">
      <c r="A82" s="40" t="s">
        <v>2915</v>
      </c>
      <c r="B82" s="40">
        <v>43</v>
      </c>
    </row>
    <row r="83" spans="1:2" x14ac:dyDescent="0.2">
      <c r="A83" s="40" t="s">
        <v>2709</v>
      </c>
      <c r="B83" s="40">
        <v>31</v>
      </c>
    </row>
    <row r="84" spans="1:2" x14ac:dyDescent="0.2">
      <c r="A84" s="40" t="s">
        <v>2422</v>
      </c>
      <c r="B84" s="40">
        <v>2</v>
      </c>
    </row>
    <row r="85" spans="1:2" x14ac:dyDescent="0.2">
      <c r="A85" s="40" t="s">
        <v>3415</v>
      </c>
      <c r="B85" s="40">
        <v>71</v>
      </c>
    </row>
    <row r="86" spans="1:2" x14ac:dyDescent="0.2">
      <c r="A86" s="40" t="s">
        <v>3185</v>
      </c>
      <c r="B86" s="40">
        <v>58</v>
      </c>
    </row>
    <row r="87" spans="1:2" x14ac:dyDescent="0.2">
      <c r="A87" s="40" t="s">
        <v>2897</v>
      </c>
      <c r="B87" s="40">
        <v>42</v>
      </c>
    </row>
    <row r="88" spans="1:2" x14ac:dyDescent="0.2">
      <c r="A88" s="40" t="s">
        <v>2681</v>
      </c>
      <c r="B88" s="40">
        <v>28</v>
      </c>
    </row>
    <row r="89" spans="1:2" x14ac:dyDescent="0.2">
      <c r="A89" s="40" t="s">
        <v>2681</v>
      </c>
      <c r="B89" s="40">
        <v>91</v>
      </c>
    </row>
    <row r="90" spans="1:2" x14ac:dyDescent="0.2">
      <c r="A90" s="40" t="s">
        <v>2776</v>
      </c>
      <c r="B90" s="40">
        <v>35</v>
      </c>
    </row>
    <row r="91" spans="1:2" x14ac:dyDescent="0.2">
      <c r="A91" s="40" t="s">
        <v>2584</v>
      </c>
      <c r="B91" s="40">
        <v>22</v>
      </c>
    </row>
    <row r="92" spans="1:2" x14ac:dyDescent="0.2">
      <c r="A92" s="40" t="s">
        <v>2477</v>
      </c>
      <c r="B92" s="40">
        <v>10</v>
      </c>
    </row>
    <row r="93" spans="1:2" x14ac:dyDescent="0.2">
      <c r="A93" s="40" t="s">
        <v>2423</v>
      </c>
      <c r="B93" s="40">
        <v>2</v>
      </c>
    </row>
    <row r="94" spans="1:2" x14ac:dyDescent="0.2">
      <c r="A94" s="40" t="s">
        <v>2598</v>
      </c>
      <c r="B94" s="40">
        <v>23</v>
      </c>
    </row>
    <row r="95" spans="1:2" x14ac:dyDescent="0.2">
      <c r="A95" s="40" t="s">
        <v>2869</v>
      </c>
      <c r="B95" s="40">
        <v>40</v>
      </c>
    </row>
    <row r="96" spans="1:2" x14ac:dyDescent="0.2">
      <c r="A96" s="40" t="s">
        <v>3507</v>
      </c>
      <c r="B96" s="40">
        <v>86</v>
      </c>
    </row>
    <row r="97" spans="1:2" x14ac:dyDescent="0.2">
      <c r="A97" s="40" t="s">
        <v>3387</v>
      </c>
      <c r="B97" s="40">
        <v>69</v>
      </c>
    </row>
    <row r="98" spans="1:2" x14ac:dyDescent="0.2">
      <c r="A98" s="40" t="s">
        <v>3146</v>
      </c>
      <c r="B98" s="40">
        <v>54</v>
      </c>
    </row>
    <row r="99" spans="1:2" x14ac:dyDescent="0.2">
      <c r="A99" s="40" t="s">
        <v>3197</v>
      </c>
      <c r="B99" s="40">
        <v>59</v>
      </c>
    </row>
    <row r="100" spans="1:2" x14ac:dyDescent="0.2">
      <c r="A100" s="40" t="s">
        <v>2898</v>
      </c>
      <c r="B100" s="40">
        <v>42</v>
      </c>
    </row>
    <row r="101" spans="1:2" x14ac:dyDescent="0.2">
      <c r="A101" s="40" t="s">
        <v>2898</v>
      </c>
      <c r="B101" s="40">
        <v>66</v>
      </c>
    </row>
    <row r="102" spans="1:2" x14ac:dyDescent="0.2">
      <c r="A102" s="40" t="s">
        <v>2526</v>
      </c>
      <c r="B102" s="40">
        <v>15</v>
      </c>
    </row>
    <row r="103" spans="1:2" x14ac:dyDescent="0.2">
      <c r="A103" s="40" t="s">
        <v>2585</v>
      </c>
      <c r="B103" s="40">
        <v>22</v>
      </c>
    </row>
    <row r="104" spans="1:2" x14ac:dyDescent="0.2">
      <c r="A104" s="40" t="s">
        <v>2675</v>
      </c>
      <c r="B104" s="40">
        <v>27</v>
      </c>
    </row>
    <row r="105" spans="1:2" x14ac:dyDescent="0.2">
      <c r="A105" s="40" t="s">
        <v>3523</v>
      </c>
      <c r="B105" s="40">
        <v>87</v>
      </c>
    </row>
    <row r="106" spans="1:2" x14ac:dyDescent="0.2">
      <c r="A106" s="40" t="s">
        <v>3504</v>
      </c>
      <c r="B106" s="40">
        <v>79</v>
      </c>
    </row>
    <row r="107" spans="1:2" x14ac:dyDescent="0.2">
      <c r="A107" s="40" t="s">
        <v>2424</v>
      </c>
      <c r="B107" s="40">
        <v>2</v>
      </c>
    </row>
    <row r="108" spans="1:2" x14ac:dyDescent="0.2">
      <c r="A108" s="40" t="s">
        <v>2826</v>
      </c>
      <c r="B108" s="40">
        <v>38</v>
      </c>
    </row>
    <row r="109" spans="1:2" x14ac:dyDescent="0.2">
      <c r="A109" s="40" t="s">
        <v>2710</v>
      </c>
      <c r="B109" s="40">
        <v>31</v>
      </c>
    </row>
    <row r="110" spans="1:2" x14ac:dyDescent="0.2">
      <c r="A110" s="40" t="s">
        <v>2425</v>
      </c>
      <c r="B110" s="40">
        <v>2</v>
      </c>
    </row>
    <row r="111" spans="1:2" x14ac:dyDescent="0.2">
      <c r="A111" s="40" t="s">
        <v>2425</v>
      </c>
      <c r="B111" s="40">
        <v>28</v>
      </c>
    </row>
    <row r="112" spans="1:2" x14ac:dyDescent="0.2">
      <c r="A112" s="40" t="s">
        <v>2655</v>
      </c>
      <c r="B112" s="40">
        <v>26</v>
      </c>
    </row>
    <row r="113" spans="1:2" x14ac:dyDescent="0.2">
      <c r="A113" s="40" t="s">
        <v>2790</v>
      </c>
      <c r="B113" s="40">
        <v>36</v>
      </c>
    </row>
    <row r="114" spans="1:2" x14ac:dyDescent="0.2">
      <c r="A114" s="40" t="s">
        <v>3321</v>
      </c>
      <c r="B114" s="40">
        <v>66</v>
      </c>
    </row>
    <row r="115" spans="1:2" x14ac:dyDescent="0.2">
      <c r="A115" s="40" t="s">
        <v>3416</v>
      </c>
      <c r="B115" s="40">
        <v>71</v>
      </c>
    </row>
    <row r="116" spans="1:2" x14ac:dyDescent="0.2">
      <c r="A116" s="40" t="s">
        <v>3108</v>
      </c>
      <c r="B116" s="40">
        <v>52</v>
      </c>
    </row>
    <row r="117" spans="1:2" x14ac:dyDescent="0.2">
      <c r="A117" s="40" t="s">
        <v>2622</v>
      </c>
      <c r="B117" s="40">
        <v>24</v>
      </c>
    </row>
    <row r="118" spans="1:2" x14ac:dyDescent="0.2">
      <c r="A118" s="40" t="s">
        <v>2791</v>
      </c>
      <c r="B118" s="40">
        <v>36</v>
      </c>
    </row>
    <row r="119" spans="1:2" x14ac:dyDescent="0.2">
      <c r="A119" s="40" t="s">
        <v>2827</v>
      </c>
      <c r="B119" s="40">
        <v>38</v>
      </c>
    </row>
    <row r="120" spans="1:2" x14ac:dyDescent="0.2">
      <c r="A120" s="40" t="s">
        <v>2961</v>
      </c>
      <c r="B120" s="40">
        <v>47</v>
      </c>
    </row>
    <row r="121" spans="1:2" x14ac:dyDescent="0.2">
      <c r="A121" s="40" t="s">
        <v>2535</v>
      </c>
      <c r="B121" s="40">
        <v>16</v>
      </c>
    </row>
    <row r="122" spans="1:2" x14ac:dyDescent="0.2">
      <c r="A122" s="40" t="s">
        <v>3388</v>
      </c>
      <c r="B122" s="40">
        <v>69</v>
      </c>
    </row>
    <row r="123" spans="1:2" x14ac:dyDescent="0.2">
      <c r="A123" s="40" t="s">
        <v>3147</v>
      </c>
      <c r="B123" s="40">
        <v>54</v>
      </c>
    </row>
    <row r="124" spans="1:2" x14ac:dyDescent="0.2">
      <c r="A124" s="40" t="s">
        <v>3417</v>
      </c>
      <c r="B124" s="40">
        <v>71</v>
      </c>
    </row>
    <row r="125" spans="1:2" x14ac:dyDescent="0.2">
      <c r="A125" s="40" t="s">
        <v>3178</v>
      </c>
      <c r="B125" s="40">
        <v>57</v>
      </c>
    </row>
    <row r="126" spans="1:2" x14ac:dyDescent="0.2">
      <c r="A126" s="40" t="s">
        <v>2645</v>
      </c>
      <c r="B126" s="40">
        <v>25</v>
      </c>
    </row>
    <row r="127" spans="1:2" x14ac:dyDescent="0.2">
      <c r="A127" s="40" t="s">
        <v>3109</v>
      </c>
      <c r="B127" s="40">
        <v>52</v>
      </c>
    </row>
    <row r="128" spans="1:2" x14ac:dyDescent="0.2">
      <c r="A128" s="40" t="s">
        <v>3474</v>
      </c>
      <c r="B128" s="40">
        <v>75</v>
      </c>
    </row>
    <row r="129" spans="1:2" x14ac:dyDescent="0.2">
      <c r="A129" s="40" t="s">
        <v>2792</v>
      </c>
      <c r="B129" s="40">
        <v>36</v>
      </c>
    </row>
    <row r="130" spans="1:2" x14ac:dyDescent="0.2">
      <c r="A130" s="40" t="s">
        <v>3134</v>
      </c>
      <c r="B130" s="40">
        <v>53</v>
      </c>
    </row>
    <row r="131" spans="1:2" x14ac:dyDescent="0.2">
      <c r="A131" s="40" t="s">
        <v>2870</v>
      </c>
      <c r="B131" s="40">
        <v>40</v>
      </c>
    </row>
    <row r="132" spans="1:2" x14ac:dyDescent="0.2">
      <c r="A132" s="40" t="s">
        <v>2871</v>
      </c>
      <c r="B132" s="40">
        <v>40</v>
      </c>
    </row>
    <row r="133" spans="1:2" x14ac:dyDescent="0.2">
      <c r="A133" s="40" t="s">
        <v>2623</v>
      </c>
      <c r="B133" s="40">
        <v>24</v>
      </c>
    </row>
    <row r="134" spans="1:2" x14ac:dyDescent="0.2">
      <c r="A134" s="40" t="s">
        <v>2828</v>
      </c>
      <c r="B134" s="40">
        <v>38</v>
      </c>
    </row>
    <row r="135" spans="1:2" x14ac:dyDescent="0.2">
      <c r="A135" s="40" t="s">
        <v>3003</v>
      </c>
      <c r="B135" s="40">
        <v>50</v>
      </c>
    </row>
    <row r="136" spans="1:2" x14ac:dyDescent="0.2">
      <c r="A136" s="40" t="s">
        <v>2719</v>
      </c>
      <c r="B136" s="40">
        <v>32</v>
      </c>
    </row>
    <row r="137" spans="1:2" x14ac:dyDescent="0.2">
      <c r="A137" s="40" t="s">
        <v>2536</v>
      </c>
      <c r="B137" s="40">
        <v>16</v>
      </c>
    </row>
    <row r="138" spans="1:2" x14ac:dyDescent="0.2">
      <c r="A138" s="40" t="s">
        <v>3167</v>
      </c>
      <c r="B138" s="40">
        <v>56</v>
      </c>
    </row>
    <row r="139" spans="1:2" x14ac:dyDescent="0.2">
      <c r="A139" s="40" t="s">
        <v>2656</v>
      </c>
      <c r="B139" s="40">
        <v>26</v>
      </c>
    </row>
    <row r="140" spans="1:2" x14ac:dyDescent="0.2">
      <c r="A140" s="40" t="s">
        <v>3168</v>
      </c>
      <c r="B140" s="40">
        <v>56</v>
      </c>
    </row>
    <row r="141" spans="1:2" x14ac:dyDescent="0.2">
      <c r="A141" s="40" t="s">
        <v>2537</v>
      </c>
      <c r="B141" s="40">
        <v>16</v>
      </c>
    </row>
    <row r="142" spans="1:2" x14ac:dyDescent="0.2">
      <c r="A142" s="40" t="s">
        <v>2931</v>
      </c>
      <c r="B142" s="40">
        <v>44</v>
      </c>
    </row>
    <row r="143" spans="1:2" x14ac:dyDescent="0.2">
      <c r="A143" s="40" t="s">
        <v>2448</v>
      </c>
      <c r="B143" s="40">
        <v>5</v>
      </c>
    </row>
    <row r="144" spans="1:2" x14ac:dyDescent="0.2">
      <c r="A144" s="40" t="s">
        <v>2793</v>
      </c>
      <c r="B144" s="40">
        <v>36</v>
      </c>
    </row>
    <row r="145" spans="1:2" x14ac:dyDescent="0.2">
      <c r="A145" s="40" t="s">
        <v>3135</v>
      </c>
      <c r="B145" s="40">
        <v>53</v>
      </c>
    </row>
    <row r="146" spans="1:2" x14ac:dyDescent="0.2">
      <c r="A146" s="40" t="s">
        <v>2711</v>
      </c>
      <c r="B146" s="40">
        <v>31</v>
      </c>
    </row>
    <row r="147" spans="1:2" x14ac:dyDescent="0.2">
      <c r="A147" s="40" t="s">
        <v>3362</v>
      </c>
      <c r="B147" s="40">
        <v>67</v>
      </c>
    </row>
    <row r="148" spans="1:2" x14ac:dyDescent="0.2">
      <c r="A148" s="40" t="s">
        <v>3221</v>
      </c>
      <c r="B148" s="40">
        <v>60</v>
      </c>
    </row>
    <row r="149" spans="1:2" x14ac:dyDescent="0.2">
      <c r="A149" s="40" t="s">
        <v>3222</v>
      </c>
      <c r="B149" s="40">
        <v>60</v>
      </c>
    </row>
    <row r="150" spans="1:2" x14ac:dyDescent="0.2">
      <c r="A150" s="40" t="s">
        <v>3136</v>
      </c>
      <c r="B150" s="40">
        <v>53</v>
      </c>
    </row>
    <row r="151" spans="1:2" x14ac:dyDescent="0.2">
      <c r="A151" s="40" t="s">
        <v>2777</v>
      </c>
      <c r="B151" s="40">
        <v>35</v>
      </c>
    </row>
    <row r="152" spans="1:2" x14ac:dyDescent="0.2">
      <c r="A152" s="40" t="s">
        <v>2690</v>
      </c>
      <c r="B152" s="40">
        <v>29</v>
      </c>
    </row>
    <row r="153" spans="1:2" x14ac:dyDescent="0.2">
      <c r="A153" s="40" t="s">
        <v>3418</v>
      </c>
      <c r="B153" s="40">
        <v>71</v>
      </c>
    </row>
    <row r="154" spans="1:2" x14ac:dyDescent="0.2">
      <c r="A154" s="40" t="s">
        <v>3198</v>
      </c>
      <c r="B154" s="40">
        <v>59</v>
      </c>
    </row>
    <row r="155" spans="1:2" x14ac:dyDescent="0.2">
      <c r="A155" s="40" t="s">
        <v>3004</v>
      </c>
      <c r="B155" s="40">
        <v>50</v>
      </c>
    </row>
    <row r="156" spans="1:2" x14ac:dyDescent="0.2">
      <c r="A156" s="40" t="s">
        <v>3445</v>
      </c>
      <c r="B156" s="40">
        <v>74</v>
      </c>
    </row>
    <row r="157" spans="1:2" x14ac:dyDescent="0.2">
      <c r="A157" s="40" t="s">
        <v>3322</v>
      </c>
      <c r="B157" s="40">
        <v>66</v>
      </c>
    </row>
    <row r="158" spans="1:2" x14ac:dyDescent="0.2">
      <c r="A158" s="40" t="s">
        <v>3446</v>
      </c>
      <c r="B158" s="40">
        <v>74</v>
      </c>
    </row>
    <row r="159" spans="1:2" x14ac:dyDescent="0.2">
      <c r="A159" s="40" t="s">
        <v>3323</v>
      </c>
      <c r="B159" s="40">
        <v>66</v>
      </c>
    </row>
    <row r="160" spans="1:2" x14ac:dyDescent="0.2">
      <c r="A160" s="40" t="s">
        <v>3324</v>
      </c>
      <c r="B160" s="40">
        <v>66</v>
      </c>
    </row>
    <row r="161" spans="1:2" x14ac:dyDescent="0.2">
      <c r="A161" s="40" t="s">
        <v>3325</v>
      </c>
      <c r="B161" s="40">
        <v>66</v>
      </c>
    </row>
    <row r="162" spans="1:2" x14ac:dyDescent="0.2">
      <c r="A162" s="40" t="s">
        <v>3326</v>
      </c>
      <c r="B162" s="40">
        <v>66</v>
      </c>
    </row>
    <row r="163" spans="1:2" x14ac:dyDescent="0.2">
      <c r="A163" s="40" t="s">
        <v>2512</v>
      </c>
      <c r="B163" s="40">
        <v>14</v>
      </c>
    </row>
    <row r="164" spans="1:2" x14ac:dyDescent="0.2">
      <c r="A164" s="40" t="s">
        <v>3389</v>
      </c>
      <c r="B164" s="40">
        <v>69</v>
      </c>
    </row>
    <row r="165" spans="1:2" x14ac:dyDescent="0.2">
      <c r="A165" s="40" t="s">
        <v>3110</v>
      </c>
      <c r="B165" s="40">
        <v>52</v>
      </c>
    </row>
    <row r="166" spans="1:2" x14ac:dyDescent="0.2">
      <c r="A166" s="40" t="s">
        <v>3005</v>
      </c>
      <c r="B166" s="40">
        <v>50</v>
      </c>
    </row>
    <row r="167" spans="1:2" x14ac:dyDescent="0.2">
      <c r="A167" s="40" t="s">
        <v>2513</v>
      </c>
      <c r="B167" s="40">
        <v>14</v>
      </c>
    </row>
    <row r="168" spans="1:2" x14ac:dyDescent="0.2">
      <c r="A168" s="40" t="s">
        <v>2893</v>
      </c>
      <c r="B168" s="40">
        <v>41</v>
      </c>
    </row>
    <row r="169" spans="1:2" x14ac:dyDescent="0.2">
      <c r="A169" s="40" t="s">
        <v>2829</v>
      </c>
      <c r="B169" s="40">
        <v>38</v>
      </c>
    </row>
    <row r="170" spans="1:2" x14ac:dyDescent="0.2">
      <c r="A170" s="40" t="s">
        <v>2806</v>
      </c>
      <c r="B170" s="40">
        <v>37</v>
      </c>
    </row>
    <row r="171" spans="1:2" x14ac:dyDescent="0.2">
      <c r="A171" s="40" t="s">
        <v>2646</v>
      </c>
      <c r="B171" s="40">
        <v>25</v>
      </c>
    </row>
    <row r="172" spans="1:2" x14ac:dyDescent="0.2">
      <c r="A172" s="40" t="s">
        <v>2527</v>
      </c>
      <c r="B172" s="40">
        <v>15</v>
      </c>
    </row>
    <row r="173" spans="1:2" x14ac:dyDescent="0.2">
      <c r="A173" s="40" t="s">
        <v>2735</v>
      </c>
      <c r="B173" s="40">
        <v>33</v>
      </c>
    </row>
    <row r="174" spans="1:2" x14ac:dyDescent="0.2">
      <c r="A174" s="40" t="s">
        <v>2757</v>
      </c>
      <c r="B174" s="40">
        <v>34</v>
      </c>
    </row>
    <row r="175" spans="1:2" x14ac:dyDescent="0.2">
      <c r="A175" s="40" t="s">
        <v>3240</v>
      </c>
      <c r="B175" s="40">
        <v>61</v>
      </c>
    </row>
    <row r="176" spans="1:2" x14ac:dyDescent="0.2">
      <c r="A176" s="40" t="s">
        <v>2932</v>
      </c>
      <c r="B176" s="40">
        <v>44</v>
      </c>
    </row>
    <row r="177" spans="1:2" x14ac:dyDescent="0.2">
      <c r="A177" s="40" t="s">
        <v>2500</v>
      </c>
      <c r="B177" s="40">
        <v>12</v>
      </c>
    </row>
    <row r="178" spans="1:2" x14ac:dyDescent="0.2">
      <c r="A178" s="40" t="s">
        <v>2758</v>
      </c>
      <c r="B178" s="40">
        <v>34</v>
      </c>
    </row>
    <row r="179" spans="1:2" x14ac:dyDescent="0.2">
      <c r="A179" s="40" t="s">
        <v>2778</v>
      </c>
      <c r="B179" s="40">
        <v>35</v>
      </c>
    </row>
    <row r="180" spans="1:2" x14ac:dyDescent="0.2">
      <c r="A180" s="40" t="s">
        <v>3111</v>
      </c>
      <c r="B180" s="40">
        <v>52</v>
      </c>
    </row>
    <row r="181" spans="1:2" x14ac:dyDescent="0.2">
      <c r="A181" s="40" t="s">
        <v>3006</v>
      </c>
      <c r="B181" s="40">
        <v>50</v>
      </c>
    </row>
    <row r="182" spans="1:2" x14ac:dyDescent="0.2">
      <c r="A182" s="40" t="s">
        <v>2962</v>
      </c>
      <c r="B182" s="40">
        <v>47</v>
      </c>
    </row>
    <row r="183" spans="1:2" x14ac:dyDescent="0.2">
      <c r="A183" s="40" t="s">
        <v>2963</v>
      </c>
      <c r="B183" s="40">
        <v>47</v>
      </c>
    </row>
    <row r="184" spans="1:2" x14ac:dyDescent="0.2">
      <c r="A184" s="40" t="s">
        <v>3327</v>
      </c>
      <c r="B184" s="40">
        <v>66</v>
      </c>
    </row>
    <row r="185" spans="1:2" x14ac:dyDescent="0.2">
      <c r="A185" s="40" t="s">
        <v>3286</v>
      </c>
      <c r="B185" s="40">
        <v>64</v>
      </c>
    </row>
    <row r="186" spans="1:2" x14ac:dyDescent="0.2">
      <c r="A186" s="40" t="s">
        <v>3287</v>
      </c>
      <c r="B186" s="40">
        <v>64</v>
      </c>
    </row>
    <row r="187" spans="1:2" x14ac:dyDescent="0.2">
      <c r="A187" s="40" t="s">
        <v>2490</v>
      </c>
      <c r="B187" s="40">
        <v>11</v>
      </c>
    </row>
    <row r="188" spans="1:2" x14ac:dyDescent="0.2">
      <c r="A188" s="40" t="s">
        <v>2794</v>
      </c>
      <c r="B188" s="40">
        <v>36</v>
      </c>
    </row>
    <row r="189" spans="1:2" x14ac:dyDescent="0.2">
      <c r="A189" s="40" t="s">
        <v>2795</v>
      </c>
      <c r="B189" s="40">
        <v>36</v>
      </c>
    </row>
    <row r="190" spans="1:2" x14ac:dyDescent="0.2">
      <c r="A190" s="40" t="s">
        <v>3112</v>
      </c>
      <c r="B190" s="40">
        <v>52</v>
      </c>
    </row>
    <row r="191" spans="1:2" x14ac:dyDescent="0.2">
      <c r="A191" s="40" t="s">
        <v>3007</v>
      </c>
      <c r="B191" s="40">
        <v>50</v>
      </c>
    </row>
    <row r="192" spans="1:2" x14ac:dyDescent="0.2">
      <c r="A192" s="40" t="s">
        <v>2557</v>
      </c>
      <c r="B192" s="40">
        <v>18</v>
      </c>
    </row>
    <row r="193" spans="1:2" x14ac:dyDescent="0.2">
      <c r="A193" s="40" t="s">
        <v>2964</v>
      </c>
      <c r="B193" s="40">
        <v>47</v>
      </c>
    </row>
    <row r="194" spans="1:2" x14ac:dyDescent="0.2">
      <c r="A194" s="40" t="s">
        <v>2491</v>
      </c>
      <c r="B194" s="40">
        <v>11</v>
      </c>
    </row>
    <row r="195" spans="1:2" x14ac:dyDescent="0.2">
      <c r="A195" s="40" t="s">
        <v>2965</v>
      </c>
      <c r="B195" s="40">
        <v>47</v>
      </c>
    </row>
    <row r="196" spans="1:2" x14ac:dyDescent="0.2">
      <c r="A196" s="40" t="s">
        <v>3113</v>
      </c>
      <c r="B196" s="40">
        <v>52</v>
      </c>
    </row>
    <row r="197" spans="1:2" x14ac:dyDescent="0.2">
      <c r="A197" s="40" t="s">
        <v>3008</v>
      </c>
      <c r="B197" s="40">
        <v>50</v>
      </c>
    </row>
    <row r="198" spans="1:2" x14ac:dyDescent="0.2">
      <c r="A198" s="40" t="s">
        <v>2966</v>
      </c>
      <c r="B198" s="40">
        <v>47</v>
      </c>
    </row>
    <row r="199" spans="1:2" x14ac:dyDescent="0.2">
      <c r="A199" s="40" t="s">
        <v>2779</v>
      </c>
      <c r="B199" s="40">
        <v>35</v>
      </c>
    </row>
    <row r="200" spans="1:2" x14ac:dyDescent="0.2">
      <c r="A200" s="40" t="s">
        <v>3390</v>
      </c>
      <c r="B200" s="40">
        <v>69</v>
      </c>
    </row>
    <row r="201" spans="1:2" x14ac:dyDescent="0.2">
      <c r="A201" s="40" t="s">
        <v>2676</v>
      </c>
      <c r="B201" s="40">
        <v>27</v>
      </c>
    </row>
    <row r="202" spans="1:2" x14ac:dyDescent="0.2">
      <c r="A202" s="40" t="s">
        <v>2736</v>
      </c>
      <c r="B202" s="40">
        <v>33</v>
      </c>
    </row>
    <row r="203" spans="1:2" x14ac:dyDescent="0.2">
      <c r="A203" s="40" t="s">
        <v>3363</v>
      </c>
      <c r="B203" s="40">
        <v>67</v>
      </c>
    </row>
    <row r="204" spans="1:2" x14ac:dyDescent="0.2">
      <c r="A204" s="40" t="s">
        <v>2916</v>
      </c>
      <c r="B204" s="40">
        <v>43</v>
      </c>
    </row>
    <row r="205" spans="1:2" x14ac:dyDescent="0.2">
      <c r="A205" s="40" t="s">
        <v>2807</v>
      </c>
      <c r="B205" s="40">
        <v>37</v>
      </c>
    </row>
    <row r="206" spans="1:2" x14ac:dyDescent="0.2">
      <c r="A206" s="40" t="s">
        <v>3483</v>
      </c>
      <c r="B206" s="40">
        <v>76</v>
      </c>
    </row>
    <row r="207" spans="1:2" x14ac:dyDescent="0.2">
      <c r="A207" s="40" t="s">
        <v>3364</v>
      </c>
      <c r="B207" s="40">
        <v>67</v>
      </c>
    </row>
    <row r="208" spans="1:2" x14ac:dyDescent="0.2">
      <c r="A208" s="40" t="s">
        <v>3089</v>
      </c>
      <c r="B208" s="40">
        <v>51</v>
      </c>
    </row>
    <row r="209" spans="1:2" x14ac:dyDescent="0.2">
      <c r="A209" s="40" t="s">
        <v>3169</v>
      </c>
      <c r="B209" s="40">
        <v>56</v>
      </c>
    </row>
    <row r="210" spans="1:2" x14ac:dyDescent="0.2">
      <c r="A210" s="40" t="s">
        <v>2933</v>
      </c>
      <c r="B210" s="40">
        <v>44</v>
      </c>
    </row>
    <row r="211" spans="1:2" x14ac:dyDescent="0.2">
      <c r="A211" s="40" t="s">
        <v>2967</v>
      </c>
      <c r="B211" s="40">
        <v>47</v>
      </c>
    </row>
    <row r="212" spans="1:2" x14ac:dyDescent="0.2">
      <c r="A212" s="40" t="s">
        <v>2848</v>
      </c>
      <c r="B212" s="40">
        <v>39</v>
      </c>
    </row>
    <row r="213" spans="1:2" x14ac:dyDescent="0.2">
      <c r="A213" s="40" t="s">
        <v>3223</v>
      </c>
      <c r="B213" s="40">
        <v>60</v>
      </c>
    </row>
    <row r="214" spans="1:2" x14ac:dyDescent="0.2">
      <c r="A214" s="40" t="s">
        <v>2599</v>
      </c>
      <c r="B214" s="40">
        <v>23</v>
      </c>
    </row>
    <row r="215" spans="1:2" x14ac:dyDescent="0.2">
      <c r="A215" s="40" t="s">
        <v>2657</v>
      </c>
      <c r="B215" s="40">
        <v>26</v>
      </c>
    </row>
    <row r="216" spans="1:2" x14ac:dyDescent="0.2">
      <c r="A216" s="40" t="s">
        <v>2558</v>
      </c>
      <c r="B216" s="40">
        <v>18</v>
      </c>
    </row>
    <row r="217" spans="1:2" x14ac:dyDescent="0.2">
      <c r="A217" s="40" t="s">
        <v>3009</v>
      </c>
      <c r="B217" s="40">
        <v>50</v>
      </c>
    </row>
    <row r="218" spans="1:2" x14ac:dyDescent="0.2">
      <c r="A218" s="40" t="s">
        <v>3114</v>
      </c>
      <c r="B218" s="40">
        <v>52</v>
      </c>
    </row>
    <row r="219" spans="1:2" x14ac:dyDescent="0.2">
      <c r="A219" s="40" t="s">
        <v>2447</v>
      </c>
      <c r="B219" s="40">
        <v>4</v>
      </c>
    </row>
    <row r="220" spans="1:2" x14ac:dyDescent="0.2">
      <c r="A220" s="40" t="s">
        <v>3199</v>
      </c>
      <c r="B220" s="40">
        <v>59</v>
      </c>
    </row>
    <row r="221" spans="1:2" x14ac:dyDescent="0.2">
      <c r="A221" s="40" t="s">
        <v>2586</v>
      </c>
      <c r="B221" s="40">
        <v>22</v>
      </c>
    </row>
    <row r="222" spans="1:2" x14ac:dyDescent="0.2">
      <c r="A222" s="40" t="s">
        <v>3115</v>
      </c>
      <c r="B222" s="40">
        <v>52</v>
      </c>
    </row>
    <row r="223" spans="1:2" x14ac:dyDescent="0.2">
      <c r="A223" s="40" t="s">
        <v>3186</v>
      </c>
      <c r="B223" s="40">
        <v>58</v>
      </c>
    </row>
    <row r="224" spans="1:2" x14ac:dyDescent="0.2">
      <c r="A224" s="40" t="s">
        <v>2470</v>
      </c>
      <c r="B224" s="40">
        <v>8</v>
      </c>
    </row>
    <row r="225" spans="1:2" ht="25.5" x14ac:dyDescent="0.2">
      <c r="A225" s="40" t="s">
        <v>3010</v>
      </c>
      <c r="B225" s="40">
        <v>50</v>
      </c>
    </row>
    <row r="226" spans="1:2" x14ac:dyDescent="0.2">
      <c r="A226" s="40" t="s">
        <v>2737</v>
      </c>
      <c r="B226" s="40">
        <v>33</v>
      </c>
    </row>
    <row r="227" spans="1:2" x14ac:dyDescent="0.2">
      <c r="A227" s="40" t="s">
        <v>2600</v>
      </c>
      <c r="B227" s="40">
        <v>23</v>
      </c>
    </row>
    <row r="228" spans="1:2" x14ac:dyDescent="0.2">
      <c r="A228" s="40" t="s">
        <v>2712</v>
      </c>
      <c r="B228" s="40">
        <v>31</v>
      </c>
    </row>
    <row r="229" spans="1:2" x14ac:dyDescent="0.2">
      <c r="A229" s="40" t="s">
        <v>3200</v>
      </c>
      <c r="B229" s="40">
        <v>59</v>
      </c>
    </row>
    <row r="230" spans="1:2" x14ac:dyDescent="0.2">
      <c r="A230" s="40" t="s">
        <v>2569</v>
      </c>
      <c r="B230" s="40">
        <v>20</v>
      </c>
    </row>
    <row r="231" spans="1:2" x14ac:dyDescent="0.2">
      <c r="A231" s="40" t="s">
        <v>2991</v>
      </c>
      <c r="B231" s="40">
        <v>48</v>
      </c>
    </row>
    <row r="232" spans="1:2" x14ac:dyDescent="0.2">
      <c r="A232" s="40" t="s">
        <v>2780</v>
      </c>
      <c r="B232" s="40">
        <v>35</v>
      </c>
    </row>
    <row r="233" spans="1:2" x14ac:dyDescent="0.2">
      <c r="A233" s="40" t="s">
        <v>3201</v>
      </c>
      <c r="B233" s="40">
        <v>59</v>
      </c>
    </row>
    <row r="234" spans="1:2" x14ac:dyDescent="0.2">
      <c r="A234" s="40" t="s">
        <v>2713</v>
      </c>
      <c r="B234" s="40">
        <v>31</v>
      </c>
    </row>
    <row r="235" spans="1:2" x14ac:dyDescent="0.2">
      <c r="A235" s="40" t="s">
        <v>3525</v>
      </c>
      <c r="B235" s="40">
        <v>89</v>
      </c>
    </row>
    <row r="236" spans="1:2" x14ac:dyDescent="0.2">
      <c r="A236" s="40" t="s">
        <v>2570</v>
      </c>
      <c r="B236" s="40">
        <v>20</v>
      </c>
    </row>
    <row r="237" spans="1:2" x14ac:dyDescent="0.2">
      <c r="A237" s="40" t="s">
        <v>3241</v>
      </c>
      <c r="B237" s="40">
        <v>61</v>
      </c>
    </row>
    <row r="238" spans="1:2" x14ac:dyDescent="0.2">
      <c r="A238" s="40" t="s">
        <v>2601</v>
      </c>
      <c r="B238" s="40">
        <v>23</v>
      </c>
    </row>
    <row r="239" spans="1:2" x14ac:dyDescent="0.2">
      <c r="A239" s="40" t="s">
        <v>2849</v>
      </c>
      <c r="B239" s="40">
        <v>39</v>
      </c>
    </row>
    <row r="240" spans="1:2" x14ac:dyDescent="0.2">
      <c r="A240" s="40" t="s">
        <v>2849</v>
      </c>
      <c r="B240" s="40">
        <v>42</v>
      </c>
    </row>
    <row r="241" spans="1:2" x14ac:dyDescent="0.2">
      <c r="A241" s="40" t="s">
        <v>2850</v>
      </c>
      <c r="B241" s="40">
        <v>39</v>
      </c>
    </row>
    <row r="242" spans="1:2" x14ac:dyDescent="0.2">
      <c r="A242" s="40" t="s">
        <v>2442</v>
      </c>
      <c r="B242" s="40">
        <v>3</v>
      </c>
    </row>
    <row r="243" spans="1:2" x14ac:dyDescent="0.2">
      <c r="A243" s="40" t="s">
        <v>2738</v>
      </c>
      <c r="B243" s="40">
        <v>33</v>
      </c>
    </row>
    <row r="244" spans="1:2" x14ac:dyDescent="0.2">
      <c r="A244" s="40" t="s">
        <v>2426</v>
      </c>
      <c r="B244" s="40">
        <v>2</v>
      </c>
    </row>
    <row r="245" spans="1:2" x14ac:dyDescent="0.2">
      <c r="A245" s="40" t="s">
        <v>2449</v>
      </c>
      <c r="B245" s="40">
        <v>5</v>
      </c>
    </row>
    <row r="246" spans="1:2" x14ac:dyDescent="0.2">
      <c r="A246" s="40" t="s">
        <v>2943</v>
      </c>
      <c r="B246" s="40">
        <v>45</v>
      </c>
    </row>
    <row r="247" spans="1:2" x14ac:dyDescent="0.2">
      <c r="A247" s="40" t="s">
        <v>2647</v>
      </c>
      <c r="B247" s="40">
        <v>25</v>
      </c>
    </row>
    <row r="248" spans="1:2" x14ac:dyDescent="0.2">
      <c r="A248" s="40" t="s">
        <v>2648</v>
      </c>
      <c r="B248" s="40">
        <v>25</v>
      </c>
    </row>
    <row r="249" spans="1:2" x14ac:dyDescent="0.2">
      <c r="A249" s="40" t="s">
        <v>3484</v>
      </c>
      <c r="B249" s="40">
        <v>76</v>
      </c>
    </row>
    <row r="250" spans="1:2" x14ac:dyDescent="0.2">
      <c r="A250" s="40" t="s">
        <v>2992</v>
      </c>
      <c r="B250" s="40">
        <v>48</v>
      </c>
    </row>
    <row r="251" spans="1:2" x14ac:dyDescent="0.2">
      <c r="A251" s="40" t="s">
        <v>3328</v>
      </c>
      <c r="B251" s="40">
        <v>66</v>
      </c>
    </row>
    <row r="252" spans="1:2" x14ac:dyDescent="0.2">
      <c r="A252" s="40" t="s">
        <v>3011</v>
      </c>
      <c r="B252" s="40">
        <v>50</v>
      </c>
    </row>
    <row r="253" spans="1:2" x14ac:dyDescent="0.2">
      <c r="A253" s="40" t="s">
        <v>3365</v>
      </c>
      <c r="B253" s="40">
        <v>67</v>
      </c>
    </row>
    <row r="254" spans="1:2" x14ac:dyDescent="0.2">
      <c r="A254" s="40" t="s">
        <v>2450</v>
      </c>
      <c r="B254" s="40">
        <v>5</v>
      </c>
    </row>
    <row r="255" spans="1:2" x14ac:dyDescent="0.2">
      <c r="A255" s="40" t="s">
        <v>3366</v>
      </c>
      <c r="B255" s="40">
        <v>67</v>
      </c>
    </row>
    <row r="256" spans="1:2" x14ac:dyDescent="0.2">
      <c r="A256" s="40" t="s">
        <v>3538</v>
      </c>
      <c r="B256" s="40">
        <v>91</v>
      </c>
    </row>
    <row r="257" spans="1:2" x14ac:dyDescent="0.2">
      <c r="A257" s="40" t="s">
        <v>3538</v>
      </c>
      <c r="B257" s="40">
        <v>91</v>
      </c>
    </row>
    <row r="258" spans="1:2" x14ac:dyDescent="0.2">
      <c r="A258" s="40" t="s">
        <v>3116</v>
      </c>
      <c r="B258" s="40">
        <v>52</v>
      </c>
    </row>
    <row r="259" spans="1:2" x14ac:dyDescent="0.2">
      <c r="A259" s="40" t="s">
        <v>3012</v>
      </c>
      <c r="B259" s="40">
        <v>50</v>
      </c>
    </row>
    <row r="260" spans="1:2" x14ac:dyDescent="0.2">
      <c r="A260" s="40" t="s">
        <v>2624</v>
      </c>
      <c r="B260" s="40">
        <v>24</v>
      </c>
    </row>
    <row r="261" spans="1:2" x14ac:dyDescent="0.2">
      <c r="A261" s="40" t="s">
        <v>2528</v>
      </c>
      <c r="B261" s="40">
        <v>15</v>
      </c>
    </row>
    <row r="262" spans="1:2" x14ac:dyDescent="0.2">
      <c r="A262" s="40" t="s">
        <v>3438</v>
      </c>
      <c r="B262" s="40">
        <v>73</v>
      </c>
    </row>
    <row r="263" spans="1:2" x14ac:dyDescent="0.2">
      <c r="A263" s="40" t="s">
        <v>2952</v>
      </c>
      <c r="B263" s="40">
        <v>46</v>
      </c>
    </row>
    <row r="264" spans="1:2" x14ac:dyDescent="0.2">
      <c r="A264" s="40" t="s">
        <v>3013</v>
      </c>
      <c r="B264" s="40">
        <v>50</v>
      </c>
    </row>
    <row r="265" spans="1:2" x14ac:dyDescent="0.2">
      <c r="A265" s="40" t="s">
        <v>3179</v>
      </c>
      <c r="B265" s="40">
        <v>57</v>
      </c>
    </row>
    <row r="266" spans="1:2" x14ac:dyDescent="0.2">
      <c r="A266" s="40" t="s">
        <v>3224</v>
      </c>
      <c r="B266" s="40">
        <v>60</v>
      </c>
    </row>
    <row r="267" spans="1:2" x14ac:dyDescent="0.2">
      <c r="A267" s="40" t="s">
        <v>3202</v>
      </c>
      <c r="B267" s="40">
        <v>59</v>
      </c>
    </row>
    <row r="268" spans="1:2" x14ac:dyDescent="0.2">
      <c r="A268" s="40" t="s">
        <v>3014</v>
      </c>
      <c r="B268" s="40">
        <v>50</v>
      </c>
    </row>
    <row r="269" spans="1:2" x14ac:dyDescent="0.2">
      <c r="A269" s="40" t="s">
        <v>3304</v>
      </c>
      <c r="B269" s="40">
        <v>65</v>
      </c>
    </row>
    <row r="270" spans="1:2" x14ac:dyDescent="0.2">
      <c r="A270" s="40" t="s">
        <v>3015</v>
      </c>
      <c r="B270" s="40">
        <v>50</v>
      </c>
    </row>
    <row r="271" spans="1:2" x14ac:dyDescent="0.2">
      <c r="A271" s="40" t="s">
        <v>3242</v>
      </c>
      <c r="B271" s="40">
        <v>61</v>
      </c>
    </row>
    <row r="272" spans="1:2" x14ac:dyDescent="0.2">
      <c r="A272" s="40" t="s">
        <v>3419</v>
      </c>
      <c r="B272" s="40">
        <v>71</v>
      </c>
    </row>
    <row r="273" spans="1:2" x14ac:dyDescent="0.2">
      <c r="A273" s="40" t="s">
        <v>3367</v>
      </c>
      <c r="B273" s="40">
        <v>67</v>
      </c>
    </row>
    <row r="274" spans="1:2" x14ac:dyDescent="0.2">
      <c r="A274" s="40" t="s">
        <v>3016</v>
      </c>
      <c r="B274" s="40">
        <v>50</v>
      </c>
    </row>
    <row r="275" spans="1:2" x14ac:dyDescent="0.2">
      <c r="A275" s="40" t="s">
        <v>3017</v>
      </c>
      <c r="B275" s="40">
        <v>50</v>
      </c>
    </row>
    <row r="276" spans="1:2" x14ac:dyDescent="0.2">
      <c r="A276" s="40" t="s">
        <v>2759</v>
      </c>
      <c r="B276" s="40">
        <v>34</v>
      </c>
    </row>
    <row r="277" spans="1:2" x14ac:dyDescent="0.2">
      <c r="A277" s="40" t="s">
        <v>2625</v>
      </c>
      <c r="B277" s="40">
        <v>24</v>
      </c>
    </row>
    <row r="278" spans="1:2" x14ac:dyDescent="0.2">
      <c r="A278" s="40" t="s">
        <v>3368</v>
      </c>
      <c r="B278" s="40">
        <v>67</v>
      </c>
    </row>
    <row r="279" spans="1:2" x14ac:dyDescent="0.2">
      <c r="A279" s="40" t="s">
        <v>2427</v>
      </c>
      <c r="B279" s="40">
        <v>2</v>
      </c>
    </row>
    <row r="280" spans="1:2" x14ac:dyDescent="0.2">
      <c r="A280" s="40" t="s">
        <v>2720</v>
      </c>
      <c r="B280" s="40">
        <v>32</v>
      </c>
    </row>
    <row r="281" spans="1:2" x14ac:dyDescent="0.2">
      <c r="A281" s="40" t="s">
        <v>3539</v>
      </c>
      <c r="B281" s="40">
        <v>91</v>
      </c>
    </row>
    <row r="282" spans="1:2" x14ac:dyDescent="0.2">
      <c r="A282" s="40" t="s">
        <v>3018</v>
      </c>
      <c r="B282" s="40">
        <v>50</v>
      </c>
    </row>
    <row r="283" spans="1:2" x14ac:dyDescent="0.2">
      <c r="A283" s="40" t="s">
        <v>2602</v>
      </c>
      <c r="B283" s="40">
        <v>23</v>
      </c>
    </row>
    <row r="284" spans="1:2" x14ac:dyDescent="0.2">
      <c r="A284" s="40" t="s">
        <v>3329</v>
      </c>
      <c r="B284" s="40">
        <v>66</v>
      </c>
    </row>
    <row r="285" spans="1:2" x14ac:dyDescent="0.2">
      <c r="A285" s="40" t="s">
        <v>2538</v>
      </c>
      <c r="B285" s="40">
        <v>16</v>
      </c>
    </row>
    <row r="286" spans="1:2" x14ac:dyDescent="0.2">
      <c r="A286" s="40" t="s">
        <v>2993</v>
      </c>
      <c r="B286" s="40">
        <v>48</v>
      </c>
    </row>
    <row r="287" spans="1:2" x14ac:dyDescent="0.2">
      <c r="A287" s="40" t="s">
        <v>2894</v>
      </c>
      <c r="B287" s="40">
        <v>41</v>
      </c>
    </row>
    <row r="288" spans="1:2" x14ac:dyDescent="0.2">
      <c r="A288" s="40" t="s">
        <v>3369</v>
      </c>
      <c r="B288" s="40">
        <v>67</v>
      </c>
    </row>
    <row r="289" spans="1:2" x14ac:dyDescent="0.2">
      <c r="A289" s="40" t="s">
        <v>3447</v>
      </c>
      <c r="B289" s="40">
        <v>74</v>
      </c>
    </row>
    <row r="290" spans="1:2" x14ac:dyDescent="0.2">
      <c r="A290" s="40" t="s">
        <v>2492</v>
      </c>
      <c r="B290" s="40">
        <v>11</v>
      </c>
    </row>
    <row r="291" spans="1:2" x14ac:dyDescent="0.2">
      <c r="A291" s="40" t="s">
        <v>2626</v>
      </c>
      <c r="B291" s="40">
        <v>24</v>
      </c>
    </row>
    <row r="292" spans="1:2" x14ac:dyDescent="0.2">
      <c r="A292" s="40" t="s">
        <v>2872</v>
      </c>
      <c r="B292" s="40">
        <v>40</v>
      </c>
    </row>
    <row r="293" spans="1:2" x14ac:dyDescent="0.2">
      <c r="A293" s="40" t="s">
        <v>3288</v>
      </c>
      <c r="B293" s="40">
        <v>64</v>
      </c>
    </row>
    <row r="294" spans="1:2" x14ac:dyDescent="0.2">
      <c r="A294" s="40" t="s">
        <v>2658</v>
      </c>
      <c r="B294" s="40">
        <v>26</v>
      </c>
    </row>
    <row r="295" spans="1:2" x14ac:dyDescent="0.2">
      <c r="A295" s="40" t="s">
        <v>3420</v>
      </c>
      <c r="B295" s="40">
        <v>71</v>
      </c>
    </row>
    <row r="296" spans="1:2" x14ac:dyDescent="0.2">
      <c r="A296" s="40" t="s">
        <v>2659</v>
      </c>
      <c r="B296" s="40">
        <v>26</v>
      </c>
    </row>
    <row r="297" spans="1:2" x14ac:dyDescent="0.2">
      <c r="A297" s="40" t="s">
        <v>2627</v>
      </c>
      <c r="B297" s="40">
        <v>24</v>
      </c>
    </row>
    <row r="298" spans="1:2" x14ac:dyDescent="0.2">
      <c r="A298" s="40" t="s">
        <v>2627</v>
      </c>
      <c r="B298" s="40">
        <v>46</v>
      </c>
    </row>
    <row r="299" spans="1:2" ht="25.5" x14ac:dyDescent="0.2">
      <c r="A299" s="40" t="s">
        <v>2830</v>
      </c>
      <c r="B299" s="40">
        <v>38</v>
      </c>
    </row>
    <row r="300" spans="1:2" x14ac:dyDescent="0.2">
      <c r="A300" s="40" t="s">
        <v>3019</v>
      </c>
      <c r="B300" s="40">
        <v>50</v>
      </c>
    </row>
    <row r="301" spans="1:2" x14ac:dyDescent="0.2">
      <c r="A301" s="40" t="s">
        <v>3377</v>
      </c>
      <c r="B301" s="40">
        <v>68</v>
      </c>
    </row>
    <row r="302" spans="1:2" x14ac:dyDescent="0.2">
      <c r="A302" s="40" t="s">
        <v>3271</v>
      </c>
      <c r="B302" s="40">
        <v>63</v>
      </c>
    </row>
    <row r="303" spans="1:2" x14ac:dyDescent="0.2">
      <c r="A303" s="40" t="s">
        <v>2873</v>
      </c>
      <c r="B303" s="40">
        <v>40</v>
      </c>
    </row>
    <row r="304" spans="1:2" x14ac:dyDescent="0.2">
      <c r="A304" s="40" t="s">
        <v>2760</v>
      </c>
      <c r="B304" s="40">
        <v>34</v>
      </c>
    </row>
    <row r="305" spans="1:2" x14ac:dyDescent="0.2">
      <c r="A305" s="40" t="s">
        <v>2874</v>
      </c>
      <c r="B305" s="40">
        <v>40</v>
      </c>
    </row>
    <row r="306" spans="1:2" x14ac:dyDescent="0.2">
      <c r="A306" s="40" t="s">
        <v>2721</v>
      </c>
      <c r="B306" s="40">
        <v>32</v>
      </c>
    </row>
    <row r="307" spans="1:2" x14ac:dyDescent="0.2">
      <c r="A307" s="40" t="s">
        <v>3020</v>
      </c>
      <c r="B307" s="40">
        <v>50</v>
      </c>
    </row>
    <row r="308" spans="1:2" x14ac:dyDescent="0.2">
      <c r="A308" s="40" t="s">
        <v>2682</v>
      </c>
      <c r="B308" s="40">
        <v>28</v>
      </c>
    </row>
    <row r="309" spans="1:2" x14ac:dyDescent="0.2">
      <c r="A309" s="40" t="s">
        <v>3432</v>
      </c>
      <c r="B309" s="40">
        <v>72</v>
      </c>
    </row>
    <row r="310" spans="1:2" x14ac:dyDescent="0.2">
      <c r="A310" s="40" t="s">
        <v>2808</v>
      </c>
      <c r="B310" s="40">
        <v>37</v>
      </c>
    </row>
    <row r="311" spans="1:2" x14ac:dyDescent="0.2">
      <c r="A311" s="40" t="s">
        <v>3117</v>
      </c>
      <c r="B311" s="40">
        <v>52</v>
      </c>
    </row>
    <row r="312" spans="1:2" x14ac:dyDescent="0.2">
      <c r="A312" s="40" t="s">
        <v>2994</v>
      </c>
      <c r="B312" s="40">
        <v>48</v>
      </c>
    </row>
    <row r="313" spans="1:2" x14ac:dyDescent="0.2">
      <c r="A313" s="40" t="s">
        <v>2539</v>
      </c>
      <c r="B313" s="40">
        <v>16</v>
      </c>
    </row>
    <row r="314" spans="1:2" x14ac:dyDescent="0.2">
      <c r="A314" s="40" t="s">
        <v>2443</v>
      </c>
      <c r="B314" s="40">
        <v>3</v>
      </c>
    </row>
    <row r="315" spans="1:2" x14ac:dyDescent="0.2">
      <c r="A315" s="40" t="s">
        <v>2628</v>
      </c>
      <c r="B315" s="40">
        <v>24</v>
      </c>
    </row>
    <row r="316" spans="1:2" x14ac:dyDescent="0.2">
      <c r="A316" s="40" t="s">
        <v>3090</v>
      </c>
      <c r="B316" s="40">
        <v>51</v>
      </c>
    </row>
    <row r="317" spans="1:2" x14ac:dyDescent="0.2">
      <c r="A317" s="40" t="s">
        <v>3391</v>
      </c>
      <c r="B317" s="40">
        <v>69</v>
      </c>
    </row>
    <row r="318" spans="1:2" x14ac:dyDescent="0.2">
      <c r="A318" s="40" t="s">
        <v>3091</v>
      </c>
      <c r="B318" s="40">
        <v>51</v>
      </c>
    </row>
    <row r="319" spans="1:2" x14ac:dyDescent="0.2">
      <c r="A319" s="40" t="s">
        <v>3021</v>
      </c>
      <c r="B319" s="40">
        <v>50</v>
      </c>
    </row>
    <row r="320" spans="1:2" x14ac:dyDescent="0.2">
      <c r="A320" s="40" t="s">
        <v>3187</v>
      </c>
      <c r="B320" s="40">
        <v>58</v>
      </c>
    </row>
    <row r="321" spans="1:2" x14ac:dyDescent="0.2">
      <c r="A321" s="40" t="s">
        <v>3187</v>
      </c>
      <c r="B321" s="40">
        <v>66</v>
      </c>
    </row>
    <row r="322" spans="1:2" x14ac:dyDescent="0.2">
      <c r="A322" s="40" t="s">
        <v>2587</v>
      </c>
      <c r="B322" s="40">
        <v>22</v>
      </c>
    </row>
    <row r="323" spans="1:2" x14ac:dyDescent="0.2">
      <c r="A323" s="40" t="s">
        <v>2501</v>
      </c>
      <c r="B323" s="40">
        <v>12</v>
      </c>
    </row>
    <row r="324" spans="1:2" x14ac:dyDescent="0.2">
      <c r="A324" s="40" t="s">
        <v>3022</v>
      </c>
      <c r="B324" s="40">
        <v>50</v>
      </c>
    </row>
    <row r="325" spans="1:2" x14ac:dyDescent="0.2">
      <c r="A325" s="40" t="s">
        <v>3243</v>
      </c>
      <c r="B325" s="40">
        <v>61</v>
      </c>
    </row>
    <row r="326" spans="1:2" x14ac:dyDescent="0.2">
      <c r="A326" s="40" t="s">
        <v>2629</v>
      </c>
      <c r="B326" s="40">
        <v>24</v>
      </c>
    </row>
    <row r="327" spans="1:2" x14ac:dyDescent="0.2">
      <c r="A327" s="40" t="s">
        <v>2629</v>
      </c>
      <c r="B327" s="40">
        <v>78</v>
      </c>
    </row>
    <row r="328" spans="1:2" x14ac:dyDescent="0.2">
      <c r="A328" s="40" t="s">
        <v>3494</v>
      </c>
      <c r="B328" s="40">
        <v>77</v>
      </c>
    </row>
    <row r="329" spans="1:2" x14ac:dyDescent="0.2">
      <c r="A329" s="40" t="s">
        <v>2851</v>
      </c>
      <c r="B329" s="40">
        <v>39</v>
      </c>
    </row>
    <row r="330" spans="1:2" x14ac:dyDescent="0.2">
      <c r="A330" s="40" t="s">
        <v>2540</v>
      </c>
      <c r="B330" s="40">
        <v>16</v>
      </c>
    </row>
    <row r="331" spans="1:2" x14ac:dyDescent="0.2">
      <c r="A331" s="40" t="s">
        <v>2660</v>
      </c>
      <c r="B331" s="40">
        <v>26</v>
      </c>
    </row>
    <row r="332" spans="1:2" x14ac:dyDescent="0.2">
      <c r="A332" s="40" t="s">
        <v>3244</v>
      </c>
      <c r="B332" s="40">
        <v>61</v>
      </c>
    </row>
    <row r="333" spans="1:2" x14ac:dyDescent="0.2">
      <c r="A333" s="40" t="s">
        <v>2683</v>
      </c>
      <c r="B333" s="40">
        <v>28</v>
      </c>
    </row>
    <row r="334" spans="1:2" x14ac:dyDescent="0.2">
      <c r="A334" s="40" t="s">
        <v>2831</v>
      </c>
      <c r="B334" s="40">
        <v>38</v>
      </c>
    </row>
    <row r="335" spans="1:2" x14ac:dyDescent="0.2">
      <c r="A335" s="40" t="s">
        <v>3448</v>
      </c>
      <c r="B335" s="40">
        <v>74</v>
      </c>
    </row>
    <row r="336" spans="1:2" x14ac:dyDescent="0.2">
      <c r="A336" s="40" t="s">
        <v>2722</v>
      </c>
      <c r="B336" s="40">
        <v>32</v>
      </c>
    </row>
    <row r="337" spans="1:2" x14ac:dyDescent="0.2">
      <c r="A337" s="40" t="s">
        <v>2588</v>
      </c>
      <c r="B337" s="40">
        <v>22</v>
      </c>
    </row>
    <row r="338" spans="1:2" x14ac:dyDescent="0.2">
      <c r="A338" s="40" t="s">
        <v>2704</v>
      </c>
      <c r="B338" s="40">
        <v>30</v>
      </c>
    </row>
    <row r="339" spans="1:2" x14ac:dyDescent="0.2">
      <c r="A339" s="40" t="s">
        <v>3392</v>
      </c>
      <c r="B339" s="40">
        <v>69</v>
      </c>
    </row>
    <row r="340" spans="1:2" x14ac:dyDescent="0.2">
      <c r="A340" s="40" t="s">
        <v>2917</v>
      </c>
      <c r="B340" s="40">
        <v>43</v>
      </c>
    </row>
    <row r="341" spans="1:2" x14ac:dyDescent="0.2">
      <c r="A341" s="40" t="s">
        <v>2968</v>
      </c>
      <c r="B341" s="40">
        <v>47</v>
      </c>
    </row>
    <row r="342" spans="1:2" x14ac:dyDescent="0.2">
      <c r="A342" s="40" t="s">
        <v>2809</v>
      </c>
      <c r="B342" s="40">
        <v>37</v>
      </c>
    </row>
    <row r="343" spans="1:2" x14ac:dyDescent="0.2">
      <c r="A343" s="40" t="s">
        <v>3023</v>
      </c>
      <c r="B343" s="40">
        <v>50</v>
      </c>
    </row>
    <row r="344" spans="1:2" x14ac:dyDescent="0.2">
      <c r="A344" s="40" t="s">
        <v>3330</v>
      </c>
      <c r="B344" s="40">
        <v>66</v>
      </c>
    </row>
    <row r="345" spans="1:2" x14ac:dyDescent="0.2">
      <c r="A345" s="40" t="s">
        <v>2630</v>
      </c>
      <c r="B345" s="40">
        <v>24</v>
      </c>
    </row>
    <row r="346" spans="1:2" x14ac:dyDescent="0.2">
      <c r="A346" s="40" t="s">
        <v>2559</v>
      </c>
      <c r="B346" s="40">
        <v>18</v>
      </c>
    </row>
    <row r="347" spans="1:2" x14ac:dyDescent="0.2">
      <c r="A347" s="40" t="s">
        <v>2451</v>
      </c>
      <c r="B347" s="40">
        <v>5</v>
      </c>
    </row>
    <row r="348" spans="1:2" x14ac:dyDescent="0.2">
      <c r="A348" s="40" t="s">
        <v>2661</v>
      </c>
      <c r="B348" s="40">
        <v>26</v>
      </c>
    </row>
    <row r="349" spans="1:2" x14ac:dyDescent="0.2">
      <c r="A349" s="40" t="s">
        <v>2631</v>
      </c>
      <c r="B349" s="40">
        <v>24</v>
      </c>
    </row>
    <row r="350" spans="1:2" x14ac:dyDescent="0.2">
      <c r="A350" s="40" t="s">
        <v>3439</v>
      </c>
      <c r="B350" s="40">
        <v>73</v>
      </c>
    </row>
    <row r="351" spans="1:2" x14ac:dyDescent="0.2">
      <c r="A351" s="40" t="s">
        <v>3550</v>
      </c>
      <c r="B351" s="40">
        <v>92</v>
      </c>
    </row>
    <row r="352" spans="1:2" x14ac:dyDescent="0.2">
      <c r="A352" s="40" t="s">
        <v>2505</v>
      </c>
      <c r="B352" s="40">
        <v>13</v>
      </c>
    </row>
    <row r="353" spans="1:2" x14ac:dyDescent="0.2">
      <c r="A353" s="40" t="s">
        <v>2493</v>
      </c>
      <c r="B353" s="40">
        <v>11</v>
      </c>
    </row>
    <row r="354" spans="1:2" x14ac:dyDescent="0.2">
      <c r="A354" s="40" t="s">
        <v>2662</v>
      </c>
      <c r="B354" s="40">
        <v>26</v>
      </c>
    </row>
    <row r="355" spans="1:2" x14ac:dyDescent="0.2">
      <c r="A355" s="40" t="s">
        <v>3331</v>
      </c>
      <c r="B355" s="40">
        <v>66</v>
      </c>
    </row>
    <row r="356" spans="1:2" x14ac:dyDescent="0.2">
      <c r="A356" s="40" t="s">
        <v>2832</v>
      </c>
      <c r="B356" s="40">
        <v>38</v>
      </c>
    </row>
    <row r="357" spans="1:2" x14ac:dyDescent="0.2">
      <c r="A357" s="40" t="s">
        <v>2833</v>
      </c>
      <c r="B357" s="40">
        <v>38</v>
      </c>
    </row>
    <row r="358" spans="1:2" x14ac:dyDescent="0.2">
      <c r="A358" s="40" t="s">
        <v>3160</v>
      </c>
      <c r="B358" s="40">
        <v>55</v>
      </c>
    </row>
    <row r="359" spans="1:2" x14ac:dyDescent="0.2">
      <c r="A359" s="40" t="s">
        <v>3148</v>
      </c>
      <c r="B359" s="40">
        <v>54</v>
      </c>
    </row>
    <row r="360" spans="1:2" x14ac:dyDescent="0.2">
      <c r="A360" s="40" t="s">
        <v>3024</v>
      </c>
      <c r="B360" s="40">
        <v>50</v>
      </c>
    </row>
    <row r="361" spans="1:2" x14ac:dyDescent="0.2">
      <c r="A361" s="40" t="s">
        <v>3025</v>
      </c>
      <c r="B361" s="40">
        <v>50</v>
      </c>
    </row>
    <row r="362" spans="1:2" x14ac:dyDescent="0.2">
      <c r="A362" s="40" t="s">
        <v>3433</v>
      </c>
      <c r="B362" s="40">
        <v>72</v>
      </c>
    </row>
    <row r="363" spans="1:2" x14ac:dyDescent="0.2">
      <c r="A363" s="40" t="s">
        <v>2428</v>
      </c>
      <c r="B363" s="40">
        <v>2</v>
      </c>
    </row>
    <row r="364" spans="1:2" x14ac:dyDescent="0.2">
      <c r="A364" s="40" t="s">
        <v>2502</v>
      </c>
      <c r="B364" s="40">
        <v>12</v>
      </c>
    </row>
    <row r="365" spans="1:2" x14ac:dyDescent="0.2">
      <c r="A365" s="40" t="s">
        <v>2781</v>
      </c>
      <c r="B365" s="40">
        <v>35</v>
      </c>
    </row>
    <row r="366" spans="1:2" x14ac:dyDescent="0.2">
      <c r="A366" s="40" t="s">
        <v>2541</v>
      </c>
      <c r="B366" s="40">
        <v>16</v>
      </c>
    </row>
    <row r="367" spans="1:2" x14ac:dyDescent="0.2">
      <c r="A367" s="40" t="s">
        <v>2796</v>
      </c>
      <c r="B367" s="40">
        <v>36</v>
      </c>
    </row>
    <row r="368" spans="1:2" x14ac:dyDescent="0.2">
      <c r="A368" s="40" t="s">
        <v>3161</v>
      </c>
      <c r="B368" s="40">
        <v>55</v>
      </c>
    </row>
    <row r="369" spans="1:2" x14ac:dyDescent="0.2">
      <c r="A369" s="40" t="s">
        <v>2761</v>
      </c>
      <c r="B369" s="40">
        <v>34</v>
      </c>
    </row>
    <row r="370" spans="1:2" x14ac:dyDescent="0.2">
      <c r="A370" s="40" t="s">
        <v>2852</v>
      </c>
      <c r="B370" s="40">
        <v>39</v>
      </c>
    </row>
    <row r="371" spans="1:2" x14ac:dyDescent="0.2">
      <c r="A371" s="40" t="s">
        <v>3289</v>
      </c>
      <c r="B371" s="40">
        <v>64</v>
      </c>
    </row>
    <row r="372" spans="1:2" x14ac:dyDescent="0.2">
      <c r="A372" s="40" t="s">
        <v>2899</v>
      </c>
      <c r="B372" s="40">
        <v>42</v>
      </c>
    </row>
    <row r="373" spans="1:2" x14ac:dyDescent="0.2">
      <c r="A373" s="40" t="s">
        <v>2875</v>
      </c>
      <c r="B373" s="40">
        <v>40</v>
      </c>
    </row>
    <row r="374" spans="1:2" x14ac:dyDescent="0.2">
      <c r="A374" s="40" t="s">
        <v>3393</v>
      </c>
      <c r="B374" s="40">
        <v>69</v>
      </c>
    </row>
    <row r="375" spans="1:2" x14ac:dyDescent="0.2">
      <c r="A375" s="40" t="s">
        <v>2560</v>
      </c>
      <c r="B375" s="40">
        <v>18</v>
      </c>
    </row>
    <row r="376" spans="1:2" x14ac:dyDescent="0.2">
      <c r="A376" s="40" t="s">
        <v>3188</v>
      </c>
      <c r="B376" s="40">
        <v>58</v>
      </c>
    </row>
    <row r="377" spans="1:2" x14ac:dyDescent="0.2">
      <c r="A377" s="40" t="s">
        <v>2969</v>
      </c>
      <c r="B377" s="40">
        <v>47</v>
      </c>
    </row>
    <row r="378" spans="1:2" x14ac:dyDescent="0.2">
      <c r="A378" s="40" t="s">
        <v>3332</v>
      </c>
      <c r="B378" s="40">
        <v>66</v>
      </c>
    </row>
    <row r="379" spans="1:2" ht="25.5" x14ac:dyDescent="0.2">
      <c r="A379" s="40" t="s">
        <v>3245</v>
      </c>
      <c r="B379" s="40">
        <v>61</v>
      </c>
    </row>
    <row r="380" spans="1:2" x14ac:dyDescent="0.2">
      <c r="A380" s="40" t="s">
        <v>2589</v>
      </c>
      <c r="B380" s="40">
        <v>22</v>
      </c>
    </row>
    <row r="381" spans="1:2" x14ac:dyDescent="0.2">
      <c r="A381" s="40" t="s">
        <v>2739</v>
      </c>
      <c r="B381" s="40">
        <v>33</v>
      </c>
    </row>
    <row r="382" spans="1:2" x14ac:dyDescent="0.2">
      <c r="A382" s="40" t="s">
        <v>2705</v>
      </c>
      <c r="B382" s="40">
        <v>30</v>
      </c>
    </row>
    <row r="383" spans="1:2" x14ac:dyDescent="0.2">
      <c r="A383" s="40" t="s">
        <v>2762</v>
      </c>
      <c r="B383" s="40">
        <v>34</v>
      </c>
    </row>
    <row r="384" spans="1:2" x14ac:dyDescent="0.2">
      <c r="A384" s="40" t="s">
        <v>3333</v>
      </c>
      <c r="B384" s="40">
        <v>66</v>
      </c>
    </row>
    <row r="385" spans="1:2" x14ac:dyDescent="0.2">
      <c r="A385" s="40" t="s">
        <v>2574</v>
      </c>
      <c r="B385" s="40">
        <v>21</v>
      </c>
    </row>
    <row r="386" spans="1:2" x14ac:dyDescent="0.2">
      <c r="A386" s="40" t="s">
        <v>3092</v>
      </c>
      <c r="B386" s="40">
        <v>51</v>
      </c>
    </row>
    <row r="387" spans="1:2" x14ac:dyDescent="0.2">
      <c r="A387" s="40" t="s">
        <v>2632</v>
      </c>
      <c r="B387" s="40">
        <v>24</v>
      </c>
    </row>
    <row r="388" spans="1:2" x14ac:dyDescent="0.2">
      <c r="A388" s="40" t="s">
        <v>2740</v>
      </c>
      <c r="B388" s="40">
        <v>33</v>
      </c>
    </row>
    <row r="389" spans="1:2" x14ac:dyDescent="0.2">
      <c r="A389" s="40" t="s">
        <v>3449</v>
      </c>
      <c r="B389" s="40">
        <v>74</v>
      </c>
    </row>
    <row r="390" spans="1:2" x14ac:dyDescent="0.2">
      <c r="A390" s="40" t="s">
        <v>2458</v>
      </c>
      <c r="B390" s="40">
        <v>6</v>
      </c>
    </row>
    <row r="391" spans="1:2" x14ac:dyDescent="0.2">
      <c r="A391" s="40" t="s">
        <v>3149</v>
      </c>
      <c r="B391" s="40">
        <v>54</v>
      </c>
    </row>
    <row r="392" spans="1:2" x14ac:dyDescent="0.2">
      <c r="A392" s="40" t="s">
        <v>2473</v>
      </c>
      <c r="B392" s="40">
        <v>9</v>
      </c>
    </row>
    <row r="393" spans="1:2" x14ac:dyDescent="0.2">
      <c r="A393" s="40" t="s">
        <v>2723</v>
      </c>
      <c r="B393" s="40">
        <v>32</v>
      </c>
    </row>
    <row r="394" spans="1:2" x14ac:dyDescent="0.2">
      <c r="A394" s="40" t="s">
        <v>3150</v>
      </c>
      <c r="B394" s="40">
        <v>54</v>
      </c>
    </row>
    <row r="395" spans="1:2" x14ac:dyDescent="0.2">
      <c r="A395" s="40" t="s">
        <v>2691</v>
      </c>
      <c r="B395" s="40">
        <v>29</v>
      </c>
    </row>
    <row r="396" spans="1:2" x14ac:dyDescent="0.2">
      <c r="A396" s="40" t="s">
        <v>3334</v>
      </c>
      <c r="B396" s="40">
        <v>66</v>
      </c>
    </row>
    <row r="397" spans="1:2" x14ac:dyDescent="0.2">
      <c r="A397" s="40" t="s">
        <v>3450</v>
      </c>
      <c r="B397" s="40">
        <v>74</v>
      </c>
    </row>
    <row r="398" spans="1:2" x14ac:dyDescent="0.2">
      <c r="A398" s="40" t="s">
        <v>3259</v>
      </c>
      <c r="B398" s="40">
        <v>62</v>
      </c>
    </row>
    <row r="399" spans="1:2" x14ac:dyDescent="0.2">
      <c r="A399" s="40" t="s">
        <v>3451</v>
      </c>
      <c r="B399" s="40">
        <v>74</v>
      </c>
    </row>
    <row r="400" spans="1:2" x14ac:dyDescent="0.2">
      <c r="A400" s="40" t="s">
        <v>2452</v>
      </c>
      <c r="B400" s="40">
        <v>5</v>
      </c>
    </row>
    <row r="401" spans="1:2" x14ac:dyDescent="0.2">
      <c r="A401" s="40" t="s">
        <v>3452</v>
      </c>
      <c r="B401" s="40">
        <v>74</v>
      </c>
    </row>
    <row r="402" spans="1:2" x14ac:dyDescent="0.2">
      <c r="A402" s="40" t="s">
        <v>2944</v>
      </c>
      <c r="B402" s="40">
        <v>45</v>
      </c>
    </row>
    <row r="403" spans="1:2" x14ac:dyDescent="0.2">
      <c r="A403" s="40" t="s">
        <v>3335</v>
      </c>
      <c r="B403" s="40">
        <v>66</v>
      </c>
    </row>
    <row r="404" spans="1:2" x14ac:dyDescent="0.2">
      <c r="A404" s="40" t="s">
        <v>3394</v>
      </c>
      <c r="B404" s="40">
        <v>69</v>
      </c>
    </row>
    <row r="405" spans="1:2" x14ac:dyDescent="0.2">
      <c r="A405" s="40" t="s">
        <v>3026</v>
      </c>
      <c r="B405" s="40">
        <v>50</v>
      </c>
    </row>
    <row r="406" spans="1:2" x14ac:dyDescent="0.2">
      <c r="A406" s="40" t="s">
        <v>3027</v>
      </c>
      <c r="B406" s="40">
        <v>50</v>
      </c>
    </row>
    <row r="407" spans="1:2" x14ac:dyDescent="0.2">
      <c r="A407" s="40" t="s">
        <v>3409</v>
      </c>
      <c r="B407" s="40">
        <v>70</v>
      </c>
    </row>
    <row r="408" spans="1:2" x14ac:dyDescent="0.2">
      <c r="A408" s="40" t="s">
        <v>2900</v>
      </c>
      <c r="B408" s="40">
        <v>42</v>
      </c>
    </row>
    <row r="409" spans="1:2" x14ac:dyDescent="0.2">
      <c r="A409" s="40" t="s">
        <v>2478</v>
      </c>
      <c r="B409" s="40">
        <v>10</v>
      </c>
    </row>
    <row r="410" spans="1:2" x14ac:dyDescent="0.2">
      <c r="A410" s="40" t="s">
        <v>3540</v>
      </c>
      <c r="B410" s="40">
        <v>91</v>
      </c>
    </row>
    <row r="411" spans="1:2" x14ac:dyDescent="0.2">
      <c r="A411" s="40" t="s">
        <v>3203</v>
      </c>
      <c r="B411" s="40">
        <v>59</v>
      </c>
    </row>
    <row r="412" spans="1:2" x14ac:dyDescent="0.2">
      <c r="A412" s="40" t="s">
        <v>2453</v>
      </c>
      <c r="B412" s="40">
        <v>5</v>
      </c>
    </row>
    <row r="413" spans="1:2" x14ac:dyDescent="0.2">
      <c r="A413" s="40" t="s">
        <v>2454</v>
      </c>
      <c r="B413" s="40">
        <v>5</v>
      </c>
    </row>
    <row r="414" spans="1:2" x14ac:dyDescent="0.2">
      <c r="A414" s="40" t="s">
        <v>3421</v>
      </c>
      <c r="B414" s="40">
        <v>71</v>
      </c>
    </row>
    <row r="415" spans="1:2" x14ac:dyDescent="0.2">
      <c r="A415" s="40" t="s">
        <v>3395</v>
      </c>
      <c r="B415" s="40">
        <v>69</v>
      </c>
    </row>
    <row r="416" spans="1:2" x14ac:dyDescent="0.2">
      <c r="A416" s="40" t="s">
        <v>2970</v>
      </c>
      <c r="B416" s="40">
        <v>47</v>
      </c>
    </row>
    <row r="417" spans="1:2" x14ac:dyDescent="0.2">
      <c r="A417" s="40" t="s">
        <v>3272</v>
      </c>
      <c r="B417" s="40">
        <v>63</v>
      </c>
    </row>
    <row r="418" spans="1:2" x14ac:dyDescent="0.2">
      <c r="A418" s="40" t="s">
        <v>2810</v>
      </c>
      <c r="B418" s="40">
        <v>37</v>
      </c>
    </row>
    <row r="419" spans="1:2" x14ac:dyDescent="0.2">
      <c r="A419" s="40" t="s">
        <v>3422</v>
      </c>
      <c r="B419" s="40">
        <v>71</v>
      </c>
    </row>
    <row r="420" spans="1:2" x14ac:dyDescent="0.2">
      <c r="A420" s="40" t="s">
        <v>2834</v>
      </c>
      <c r="B420" s="40">
        <v>38</v>
      </c>
    </row>
    <row r="421" spans="1:2" x14ac:dyDescent="0.2">
      <c r="A421" s="40" t="s">
        <v>2741</v>
      </c>
      <c r="B421" s="40">
        <v>33</v>
      </c>
    </row>
    <row r="422" spans="1:2" x14ac:dyDescent="0.2">
      <c r="A422" s="40" t="s">
        <v>2782</v>
      </c>
      <c r="B422" s="40">
        <v>35</v>
      </c>
    </row>
    <row r="423" spans="1:2" x14ac:dyDescent="0.2">
      <c r="A423" s="40" t="s">
        <v>2971</v>
      </c>
      <c r="B423" s="40">
        <v>47</v>
      </c>
    </row>
    <row r="424" spans="1:2" x14ac:dyDescent="0.2">
      <c r="A424" s="40" t="s">
        <v>2876</v>
      </c>
      <c r="B424" s="40">
        <v>40</v>
      </c>
    </row>
    <row r="425" spans="1:2" x14ac:dyDescent="0.2">
      <c r="A425" s="40" t="s">
        <v>2876</v>
      </c>
      <c r="B425" s="40">
        <v>43</v>
      </c>
    </row>
    <row r="426" spans="1:2" x14ac:dyDescent="0.2">
      <c r="A426" s="40" t="s">
        <v>3336</v>
      </c>
      <c r="B426" s="40">
        <v>66</v>
      </c>
    </row>
    <row r="427" spans="1:2" x14ac:dyDescent="0.2">
      <c r="A427" s="40" t="s">
        <v>2918</v>
      </c>
      <c r="B427" s="40">
        <v>43</v>
      </c>
    </row>
    <row r="428" spans="1:2" x14ac:dyDescent="0.2">
      <c r="A428" s="40" t="s">
        <v>2972</v>
      </c>
      <c r="B428" s="40">
        <v>47</v>
      </c>
    </row>
    <row r="429" spans="1:2" x14ac:dyDescent="0.2">
      <c r="A429" s="40" t="s">
        <v>2972</v>
      </c>
      <c r="B429" s="40">
        <v>51</v>
      </c>
    </row>
    <row r="430" spans="1:2" x14ac:dyDescent="0.2">
      <c r="A430" s="40" t="s">
        <v>2919</v>
      </c>
      <c r="B430" s="40">
        <v>43</v>
      </c>
    </row>
    <row r="431" spans="1:2" x14ac:dyDescent="0.2">
      <c r="A431" s="40" t="s">
        <v>3378</v>
      </c>
      <c r="B431" s="40">
        <v>68</v>
      </c>
    </row>
    <row r="432" spans="1:2" x14ac:dyDescent="0.2">
      <c r="A432" s="40" t="s">
        <v>2901</v>
      </c>
      <c r="B432" s="40">
        <v>42</v>
      </c>
    </row>
    <row r="433" spans="1:2" x14ac:dyDescent="0.2">
      <c r="A433" s="40" t="s">
        <v>2663</v>
      </c>
      <c r="B433" s="40">
        <v>26</v>
      </c>
    </row>
    <row r="434" spans="1:2" x14ac:dyDescent="0.2">
      <c r="A434" s="40" t="s">
        <v>3028</v>
      </c>
      <c r="B434" s="40">
        <v>50</v>
      </c>
    </row>
    <row r="435" spans="1:2" x14ac:dyDescent="0.2">
      <c r="A435" s="40" t="s">
        <v>3029</v>
      </c>
      <c r="B435" s="40">
        <v>50</v>
      </c>
    </row>
    <row r="436" spans="1:2" x14ac:dyDescent="0.2">
      <c r="A436" s="40" t="s">
        <v>2724</v>
      </c>
      <c r="B436" s="40">
        <v>32</v>
      </c>
    </row>
    <row r="437" spans="1:2" x14ac:dyDescent="0.2">
      <c r="A437" s="40" t="s">
        <v>3118</v>
      </c>
      <c r="B437" s="40">
        <v>52</v>
      </c>
    </row>
    <row r="438" spans="1:2" x14ac:dyDescent="0.2">
      <c r="A438" s="40" t="s">
        <v>3093</v>
      </c>
      <c r="B438" s="40">
        <v>51</v>
      </c>
    </row>
    <row r="439" spans="1:2" x14ac:dyDescent="0.2">
      <c r="A439" s="40" t="s">
        <v>2742</v>
      </c>
      <c r="B439" s="40">
        <v>33</v>
      </c>
    </row>
    <row r="440" spans="1:2" x14ac:dyDescent="0.2">
      <c r="A440" s="40" t="s">
        <v>2506</v>
      </c>
      <c r="B440" s="40">
        <v>13</v>
      </c>
    </row>
    <row r="441" spans="1:2" x14ac:dyDescent="0.2">
      <c r="A441" s="40" t="s">
        <v>3508</v>
      </c>
      <c r="B441" s="40">
        <v>86</v>
      </c>
    </row>
    <row r="442" spans="1:2" x14ac:dyDescent="0.2">
      <c r="A442" s="40" t="s">
        <v>2633</v>
      </c>
      <c r="B442" s="40">
        <v>24</v>
      </c>
    </row>
    <row r="443" spans="1:2" x14ac:dyDescent="0.2">
      <c r="A443" s="40" t="s">
        <v>2877</v>
      </c>
      <c r="B443" s="40">
        <v>40</v>
      </c>
    </row>
    <row r="444" spans="1:2" x14ac:dyDescent="0.2">
      <c r="A444" s="40" t="s">
        <v>2575</v>
      </c>
      <c r="B444" s="40">
        <v>21</v>
      </c>
    </row>
    <row r="445" spans="1:2" x14ac:dyDescent="0.2">
      <c r="A445" s="40" t="s">
        <v>2503</v>
      </c>
      <c r="B445" s="40">
        <v>12</v>
      </c>
    </row>
    <row r="446" spans="1:2" x14ac:dyDescent="0.2">
      <c r="A446" s="40" t="s">
        <v>3094</v>
      </c>
      <c r="B446" s="40">
        <v>51</v>
      </c>
    </row>
    <row r="447" spans="1:2" x14ac:dyDescent="0.2">
      <c r="A447" s="40" t="s">
        <v>2934</v>
      </c>
      <c r="B447" s="40">
        <v>44</v>
      </c>
    </row>
    <row r="448" spans="1:2" x14ac:dyDescent="0.2">
      <c r="A448" s="40" t="s">
        <v>3030</v>
      </c>
      <c r="B448" s="40">
        <v>50</v>
      </c>
    </row>
    <row r="449" spans="1:2" x14ac:dyDescent="0.2">
      <c r="A449" s="40" t="s">
        <v>3410</v>
      </c>
      <c r="B449" s="40">
        <v>70</v>
      </c>
    </row>
    <row r="450" spans="1:2" x14ac:dyDescent="0.2">
      <c r="A450" s="40" t="s">
        <v>3497</v>
      </c>
      <c r="B450" s="40">
        <v>78</v>
      </c>
    </row>
    <row r="451" spans="1:2" x14ac:dyDescent="0.2">
      <c r="A451" s="40" t="s">
        <v>2743</v>
      </c>
      <c r="B451" s="40">
        <v>33</v>
      </c>
    </row>
    <row r="452" spans="1:2" x14ac:dyDescent="0.2">
      <c r="A452" s="40" t="s">
        <v>2973</v>
      </c>
      <c r="B452" s="40">
        <v>47</v>
      </c>
    </row>
    <row r="453" spans="1:2" x14ac:dyDescent="0.2">
      <c r="A453" s="40" t="s">
        <v>2811</v>
      </c>
      <c r="B453" s="40">
        <v>37</v>
      </c>
    </row>
    <row r="454" spans="1:2" ht="25.5" x14ac:dyDescent="0.2">
      <c r="A454" s="40" t="s">
        <v>2677</v>
      </c>
      <c r="B454" s="40">
        <v>27</v>
      </c>
    </row>
    <row r="455" spans="1:2" x14ac:dyDescent="0.2">
      <c r="A455" s="40" t="s">
        <v>3396</v>
      </c>
      <c r="B455" s="40">
        <v>69</v>
      </c>
    </row>
    <row r="456" spans="1:2" x14ac:dyDescent="0.2">
      <c r="A456" s="40" t="s">
        <v>2479</v>
      </c>
      <c r="B456" s="40">
        <v>10</v>
      </c>
    </row>
    <row r="457" spans="1:2" x14ac:dyDescent="0.2">
      <c r="A457" s="40" t="s">
        <v>2878</v>
      </c>
      <c r="B457" s="40">
        <v>40</v>
      </c>
    </row>
    <row r="458" spans="1:2" x14ac:dyDescent="0.2">
      <c r="A458" s="40" t="s">
        <v>3246</v>
      </c>
      <c r="B458" s="40">
        <v>61</v>
      </c>
    </row>
    <row r="459" spans="1:2" x14ac:dyDescent="0.2">
      <c r="A459" s="40" t="s">
        <v>3453</v>
      </c>
      <c r="B459" s="40">
        <v>74</v>
      </c>
    </row>
    <row r="460" spans="1:2" x14ac:dyDescent="0.2">
      <c r="A460" s="40" t="s">
        <v>3260</v>
      </c>
      <c r="B460" s="40">
        <v>62</v>
      </c>
    </row>
    <row r="461" spans="1:2" x14ac:dyDescent="0.2">
      <c r="A461" s="40" t="s">
        <v>2603</v>
      </c>
      <c r="B461" s="40">
        <v>23</v>
      </c>
    </row>
    <row r="462" spans="1:2" x14ac:dyDescent="0.2">
      <c r="A462" s="40" t="s">
        <v>3454</v>
      </c>
      <c r="B462" s="40">
        <v>74</v>
      </c>
    </row>
    <row r="463" spans="1:2" x14ac:dyDescent="0.2">
      <c r="A463" s="40" t="s">
        <v>3031</v>
      </c>
      <c r="B463" s="40">
        <v>50</v>
      </c>
    </row>
    <row r="464" spans="1:2" x14ac:dyDescent="0.2">
      <c r="A464" s="40" t="s">
        <v>2714</v>
      </c>
      <c r="B464" s="40">
        <v>31</v>
      </c>
    </row>
    <row r="465" spans="1:2" x14ac:dyDescent="0.2">
      <c r="A465" s="40" t="s">
        <v>3305</v>
      </c>
      <c r="B465" s="40">
        <v>65</v>
      </c>
    </row>
    <row r="466" spans="1:2" x14ac:dyDescent="0.2">
      <c r="A466" s="40" t="s">
        <v>2692</v>
      </c>
      <c r="B466" s="40">
        <v>29</v>
      </c>
    </row>
    <row r="467" spans="1:2" x14ac:dyDescent="0.2">
      <c r="A467" s="40" t="s">
        <v>2744</v>
      </c>
      <c r="B467" s="40">
        <v>33</v>
      </c>
    </row>
    <row r="468" spans="1:2" x14ac:dyDescent="0.2">
      <c r="A468" s="40" t="s">
        <v>2480</v>
      </c>
      <c r="B468" s="40">
        <v>10</v>
      </c>
    </row>
    <row r="469" spans="1:2" x14ac:dyDescent="0.2">
      <c r="A469" s="40" t="s">
        <v>2935</v>
      </c>
      <c r="B469" s="40">
        <v>44</v>
      </c>
    </row>
    <row r="470" spans="1:2" x14ac:dyDescent="0.2">
      <c r="A470" s="40" t="s">
        <v>3032</v>
      </c>
      <c r="B470" s="40">
        <v>50</v>
      </c>
    </row>
    <row r="471" spans="1:2" x14ac:dyDescent="0.2">
      <c r="A471" s="40" t="s">
        <v>2763</v>
      </c>
      <c r="B471" s="40">
        <v>34</v>
      </c>
    </row>
    <row r="472" spans="1:2" x14ac:dyDescent="0.2">
      <c r="A472" s="40" t="s">
        <v>2920</v>
      </c>
      <c r="B472" s="40">
        <v>43</v>
      </c>
    </row>
    <row r="473" spans="1:2" x14ac:dyDescent="0.2">
      <c r="A473" s="40" t="s">
        <v>2693</v>
      </c>
      <c r="B473" s="40">
        <v>29</v>
      </c>
    </row>
    <row r="474" spans="1:2" x14ac:dyDescent="0.2">
      <c r="A474" s="40" t="s">
        <v>2764</v>
      </c>
      <c r="B474" s="40">
        <v>34</v>
      </c>
    </row>
    <row r="475" spans="1:2" x14ac:dyDescent="0.2">
      <c r="A475" s="40" t="s">
        <v>3379</v>
      </c>
      <c r="B475" s="40">
        <v>68</v>
      </c>
    </row>
    <row r="476" spans="1:2" x14ac:dyDescent="0.2">
      <c r="A476" s="40" t="s">
        <v>2812</v>
      </c>
      <c r="B476" s="40">
        <v>37</v>
      </c>
    </row>
    <row r="477" spans="1:2" x14ac:dyDescent="0.2">
      <c r="A477" s="40" t="s">
        <v>2783</v>
      </c>
      <c r="B477" s="40">
        <v>35</v>
      </c>
    </row>
    <row r="478" spans="1:2" x14ac:dyDescent="0.2">
      <c r="A478" s="40" t="s">
        <v>3033</v>
      </c>
      <c r="B478" s="40">
        <v>50</v>
      </c>
    </row>
    <row r="479" spans="1:2" x14ac:dyDescent="0.2">
      <c r="A479" s="40" t="s">
        <v>3033</v>
      </c>
      <c r="B479" s="40">
        <v>64</v>
      </c>
    </row>
    <row r="480" spans="1:2" x14ac:dyDescent="0.2">
      <c r="A480" s="40" t="s">
        <v>3204</v>
      </c>
      <c r="B480" s="40">
        <v>59</v>
      </c>
    </row>
    <row r="481" spans="1:2" x14ac:dyDescent="0.2">
      <c r="A481" s="40" t="s">
        <v>3034</v>
      </c>
      <c r="B481" s="40">
        <v>50</v>
      </c>
    </row>
    <row r="482" spans="1:2" x14ac:dyDescent="0.2">
      <c r="A482" s="40" t="s">
        <v>2604</v>
      </c>
      <c r="B482" s="40">
        <v>23</v>
      </c>
    </row>
    <row r="483" spans="1:2" x14ac:dyDescent="0.2">
      <c r="A483" s="40" t="s">
        <v>3498</v>
      </c>
      <c r="B483" s="40">
        <v>78</v>
      </c>
    </row>
    <row r="484" spans="1:2" x14ac:dyDescent="0.2">
      <c r="A484" s="40" t="s">
        <v>3035</v>
      </c>
      <c r="B484" s="40">
        <v>50</v>
      </c>
    </row>
    <row r="485" spans="1:2" x14ac:dyDescent="0.2">
      <c r="A485" s="40" t="s">
        <v>2853</v>
      </c>
      <c r="B485" s="40">
        <v>39</v>
      </c>
    </row>
    <row r="486" spans="1:2" x14ac:dyDescent="0.2">
      <c r="A486" s="40" t="s">
        <v>2853</v>
      </c>
      <c r="B486" s="40">
        <v>50</v>
      </c>
    </row>
    <row r="487" spans="1:2" x14ac:dyDescent="0.2">
      <c r="A487" s="40" t="s">
        <v>3475</v>
      </c>
      <c r="B487" s="40">
        <v>75</v>
      </c>
    </row>
    <row r="488" spans="1:2" x14ac:dyDescent="0.2">
      <c r="A488" s="40" t="s">
        <v>3205</v>
      </c>
      <c r="B488" s="40">
        <v>59</v>
      </c>
    </row>
    <row r="489" spans="1:2" x14ac:dyDescent="0.2">
      <c r="A489" s="40" t="s">
        <v>3541</v>
      </c>
      <c r="B489" s="40">
        <v>91</v>
      </c>
    </row>
    <row r="490" spans="1:2" x14ac:dyDescent="0.2">
      <c r="A490" s="40" t="s">
        <v>3541</v>
      </c>
      <c r="B490" s="40">
        <v>91</v>
      </c>
    </row>
    <row r="491" spans="1:2" x14ac:dyDescent="0.2">
      <c r="A491" s="40" t="s">
        <v>2507</v>
      </c>
      <c r="B491" s="40">
        <v>13</v>
      </c>
    </row>
    <row r="492" spans="1:2" x14ac:dyDescent="0.2">
      <c r="A492" s="40" t="s">
        <v>2507</v>
      </c>
      <c r="B492" s="40">
        <v>34</v>
      </c>
    </row>
    <row r="493" spans="1:2" x14ac:dyDescent="0.2">
      <c r="A493" s="40" t="s">
        <v>3337</v>
      </c>
      <c r="B493" s="40">
        <v>66</v>
      </c>
    </row>
    <row r="494" spans="1:2" x14ac:dyDescent="0.2">
      <c r="A494" s="40" t="s">
        <v>3338</v>
      </c>
      <c r="B494" s="40">
        <v>66</v>
      </c>
    </row>
    <row r="495" spans="1:2" x14ac:dyDescent="0.2">
      <c r="A495" s="40" t="s">
        <v>3339</v>
      </c>
      <c r="B495" s="40">
        <v>66</v>
      </c>
    </row>
    <row r="496" spans="1:2" x14ac:dyDescent="0.2">
      <c r="A496" s="40" t="s">
        <v>2634</v>
      </c>
      <c r="B496" s="40">
        <v>24</v>
      </c>
    </row>
    <row r="497" spans="1:2" x14ac:dyDescent="0.2">
      <c r="A497" s="40" t="s">
        <v>3290</v>
      </c>
      <c r="B497" s="40">
        <v>64</v>
      </c>
    </row>
    <row r="498" spans="1:2" x14ac:dyDescent="0.2">
      <c r="A498" s="40" t="s">
        <v>3247</v>
      </c>
      <c r="B498" s="40">
        <v>61</v>
      </c>
    </row>
    <row r="499" spans="1:2" x14ac:dyDescent="0.2">
      <c r="A499" s="40" t="s">
        <v>3397</v>
      </c>
      <c r="B499" s="40">
        <v>69</v>
      </c>
    </row>
    <row r="500" spans="1:2" x14ac:dyDescent="0.2">
      <c r="A500" s="40" t="s">
        <v>2879</v>
      </c>
      <c r="B500" s="40">
        <v>40</v>
      </c>
    </row>
    <row r="501" spans="1:2" x14ac:dyDescent="0.2">
      <c r="A501" s="40" t="s">
        <v>3499</v>
      </c>
      <c r="B501" s="40">
        <v>78</v>
      </c>
    </row>
    <row r="502" spans="1:2" x14ac:dyDescent="0.2">
      <c r="A502" s="40" t="s">
        <v>2605</v>
      </c>
      <c r="B502" s="40">
        <v>23</v>
      </c>
    </row>
    <row r="503" spans="1:2" x14ac:dyDescent="0.2">
      <c r="A503" s="40" t="s">
        <v>2606</v>
      </c>
      <c r="B503" s="40">
        <v>23</v>
      </c>
    </row>
    <row r="504" spans="1:2" x14ac:dyDescent="0.2">
      <c r="A504" s="40" t="s">
        <v>3119</v>
      </c>
      <c r="B504" s="40">
        <v>52</v>
      </c>
    </row>
    <row r="505" spans="1:2" x14ac:dyDescent="0.2">
      <c r="A505" s="40" t="s">
        <v>3036</v>
      </c>
      <c r="B505" s="40">
        <v>50</v>
      </c>
    </row>
    <row r="506" spans="1:2" x14ac:dyDescent="0.2">
      <c r="A506" s="40" t="s">
        <v>3170</v>
      </c>
      <c r="B506" s="40">
        <v>56</v>
      </c>
    </row>
    <row r="507" spans="1:2" x14ac:dyDescent="0.2">
      <c r="A507" s="40" t="s">
        <v>3398</v>
      </c>
      <c r="B507" s="40">
        <v>69</v>
      </c>
    </row>
    <row r="508" spans="1:2" x14ac:dyDescent="0.2">
      <c r="A508" s="40" t="s">
        <v>3206</v>
      </c>
      <c r="B508" s="40">
        <v>59</v>
      </c>
    </row>
    <row r="509" spans="1:2" x14ac:dyDescent="0.2">
      <c r="A509" s="40" t="s">
        <v>3189</v>
      </c>
      <c r="B509" s="40">
        <v>58</v>
      </c>
    </row>
    <row r="510" spans="1:2" x14ac:dyDescent="0.2">
      <c r="A510" s="40" t="s">
        <v>3190</v>
      </c>
      <c r="B510" s="40">
        <v>58</v>
      </c>
    </row>
    <row r="511" spans="1:2" x14ac:dyDescent="0.2">
      <c r="A511" s="40" t="s">
        <v>3191</v>
      </c>
      <c r="B511" s="40">
        <v>58</v>
      </c>
    </row>
    <row r="512" spans="1:2" x14ac:dyDescent="0.2">
      <c r="A512" s="40" t="s">
        <v>3151</v>
      </c>
      <c r="B512" s="40">
        <v>54</v>
      </c>
    </row>
    <row r="513" spans="1:2" x14ac:dyDescent="0.2">
      <c r="A513" s="40" t="s">
        <v>3120</v>
      </c>
      <c r="B513" s="40">
        <v>52</v>
      </c>
    </row>
    <row r="514" spans="1:2" x14ac:dyDescent="0.2">
      <c r="A514" s="40" t="s">
        <v>2429</v>
      </c>
      <c r="B514" s="40">
        <v>2</v>
      </c>
    </row>
    <row r="515" spans="1:2" x14ac:dyDescent="0.2">
      <c r="A515" s="40" t="s">
        <v>3207</v>
      </c>
      <c r="B515" s="40">
        <v>59</v>
      </c>
    </row>
    <row r="516" spans="1:2" x14ac:dyDescent="0.2">
      <c r="A516" s="40" t="s">
        <v>3152</v>
      </c>
      <c r="B516" s="40">
        <v>54</v>
      </c>
    </row>
    <row r="517" spans="1:2" x14ac:dyDescent="0.2">
      <c r="A517" s="40" t="s">
        <v>2945</v>
      </c>
      <c r="B517" s="40">
        <v>45</v>
      </c>
    </row>
    <row r="518" spans="1:2" x14ac:dyDescent="0.2">
      <c r="A518" s="40" t="s">
        <v>2607</v>
      </c>
      <c r="B518" s="40">
        <v>23</v>
      </c>
    </row>
    <row r="519" spans="1:2" x14ac:dyDescent="0.2">
      <c r="A519" s="40" t="s">
        <v>3306</v>
      </c>
      <c r="B519" s="40">
        <v>65</v>
      </c>
    </row>
    <row r="520" spans="1:2" x14ac:dyDescent="0.2">
      <c r="A520" s="40" t="s">
        <v>2745</v>
      </c>
      <c r="B520" s="40">
        <v>33</v>
      </c>
    </row>
    <row r="521" spans="1:2" x14ac:dyDescent="0.2">
      <c r="A521" s="40" t="s">
        <v>3037</v>
      </c>
      <c r="B521" s="40">
        <v>50</v>
      </c>
    </row>
    <row r="522" spans="1:2" x14ac:dyDescent="0.2">
      <c r="A522" s="40" t="s">
        <v>2953</v>
      </c>
      <c r="B522" s="40">
        <v>46</v>
      </c>
    </row>
    <row r="523" spans="1:2" x14ac:dyDescent="0.2">
      <c r="A523" s="40" t="s">
        <v>2946</v>
      </c>
      <c r="B523" s="40">
        <v>45</v>
      </c>
    </row>
    <row r="524" spans="1:2" x14ac:dyDescent="0.2">
      <c r="A524" s="40" t="s">
        <v>2954</v>
      </c>
      <c r="B524" s="40">
        <v>46</v>
      </c>
    </row>
    <row r="525" spans="1:2" x14ac:dyDescent="0.2">
      <c r="A525" s="40" t="s">
        <v>3455</v>
      </c>
      <c r="B525" s="40">
        <v>74</v>
      </c>
    </row>
    <row r="526" spans="1:2" x14ac:dyDescent="0.2">
      <c r="A526" s="40" t="s">
        <v>3340</v>
      </c>
      <c r="B526" s="40">
        <v>66</v>
      </c>
    </row>
    <row r="527" spans="1:2" x14ac:dyDescent="0.2">
      <c r="A527" s="40" t="s">
        <v>2553</v>
      </c>
      <c r="B527" s="40">
        <v>17</v>
      </c>
    </row>
    <row r="528" spans="1:2" x14ac:dyDescent="0.2">
      <c r="A528" s="40" t="s">
        <v>3456</v>
      </c>
      <c r="B528" s="40">
        <v>74</v>
      </c>
    </row>
    <row r="529" spans="1:2" x14ac:dyDescent="0.2">
      <c r="A529" s="40" t="s">
        <v>2444</v>
      </c>
      <c r="B529" s="40">
        <v>3</v>
      </c>
    </row>
    <row r="530" spans="1:2" x14ac:dyDescent="0.2">
      <c r="A530" s="40" t="s">
        <v>2608</v>
      </c>
      <c r="B530" s="40">
        <v>23</v>
      </c>
    </row>
    <row r="531" spans="1:2" x14ac:dyDescent="0.2">
      <c r="A531" s="40" t="s">
        <v>3526</v>
      </c>
      <c r="B531" s="40">
        <v>89</v>
      </c>
    </row>
    <row r="532" spans="1:2" x14ac:dyDescent="0.2">
      <c r="A532" s="40" t="s">
        <v>2471</v>
      </c>
      <c r="B532" s="40">
        <v>8</v>
      </c>
    </row>
    <row r="533" spans="1:2" x14ac:dyDescent="0.2">
      <c r="A533" s="40" t="s">
        <v>2854</v>
      </c>
      <c r="B533" s="40">
        <v>39</v>
      </c>
    </row>
    <row r="534" spans="1:2" x14ac:dyDescent="0.2">
      <c r="A534" s="40" t="s">
        <v>2542</v>
      </c>
      <c r="B534" s="40">
        <v>16</v>
      </c>
    </row>
    <row r="535" spans="1:2" x14ac:dyDescent="0.2">
      <c r="A535" s="40" t="s">
        <v>2746</v>
      </c>
      <c r="B535" s="40">
        <v>33</v>
      </c>
    </row>
    <row r="536" spans="1:2" x14ac:dyDescent="0.2">
      <c r="A536" s="40" t="s">
        <v>3509</v>
      </c>
      <c r="B536" s="40">
        <v>86</v>
      </c>
    </row>
    <row r="537" spans="1:2" x14ac:dyDescent="0.2">
      <c r="A537" s="40" t="s">
        <v>2481</v>
      </c>
      <c r="B537" s="40">
        <v>10</v>
      </c>
    </row>
    <row r="538" spans="1:2" x14ac:dyDescent="0.2">
      <c r="A538" s="40" t="s">
        <v>2995</v>
      </c>
      <c r="B538" s="40">
        <v>48</v>
      </c>
    </row>
    <row r="539" spans="1:2" x14ac:dyDescent="0.2">
      <c r="A539" s="40" t="s">
        <v>2543</v>
      </c>
      <c r="B539" s="40">
        <v>16</v>
      </c>
    </row>
    <row r="540" spans="1:2" x14ac:dyDescent="0.2">
      <c r="A540" s="40" t="s">
        <v>2765</v>
      </c>
      <c r="B540" s="40">
        <v>34</v>
      </c>
    </row>
    <row r="541" spans="1:2" x14ac:dyDescent="0.2">
      <c r="A541" s="40" t="s">
        <v>2902</v>
      </c>
      <c r="B541" s="40">
        <v>42</v>
      </c>
    </row>
    <row r="542" spans="1:2" x14ac:dyDescent="0.2">
      <c r="A542" s="40" t="s">
        <v>2514</v>
      </c>
      <c r="B542" s="40">
        <v>14</v>
      </c>
    </row>
    <row r="543" spans="1:2" x14ac:dyDescent="0.2">
      <c r="A543" s="40" t="s">
        <v>2664</v>
      </c>
      <c r="B543" s="40">
        <v>26</v>
      </c>
    </row>
    <row r="544" spans="1:2" x14ac:dyDescent="0.2">
      <c r="A544" s="40" t="s">
        <v>3341</v>
      </c>
      <c r="B544" s="40">
        <v>66</v>
      </c>
    </row>
    <row r="545" spans="1:2" x14ac:dyDescent="0.2">
      <c r="A545" s="40" t="s">
        <v>2649</v>
      </c>
      <c r="B545" s="40">
        <v>25</v>
      </c>
    </row>
    <row r="546" spans="1:2" x14ac:dyDescent="0.2">
      <c r="A546" s="40" t="s">
        <v>2635</v>
      </c>
      <c r="B546" s="40">
        <v>24</v>
      </c>
    </row>
    <row r="547" spans="1:2" x14ac:dyDescent="0.2">
      <c r="A547" s="40" t="s">
        <v>3180</v>
      </c>
      <c r="B547" s="40">
        <v>57</v>
      </c>
    </row>
    <row r="548" spans="1:2" x14ac:dyDescent="0.2">
      <c r="A548" s="40" t="s">
        <v>3038</v>
      </c>
      <c r="B548" s="40">
        <v>50</v>
      </c>
    </row>
    <row r="549" spans="1:2" x14ac:dyDescent="0.2">
      <c r="A549" s="40" t="s">
        <v>2996</v>
      </c>
      <c r="B549" s="40">
        <v>48</v>
      </c>
    </row>
    <row r="550" spans="1:2" x14ac:dyDescent="0.2">
      <c r="A550" s="40" t="s">
        <v>3423</v>
      </c>
      <c r="B550" s="40">
        <v>71</v>
      </c>
    </row>
    <row r="551" spans="1:2" x14ac:dyDescent="0.2">
      <c r="A551" s="40" t="s">
        <v>2797</v>
      </c>
      <c r="B551" s="40">
        <v>36</v>
      </c>
    </row>
    <row r="552" spans="1:2" x14ac:dyDescent="0.2">
      <c r="A552" s="40" t="s">
        <v>3399</v>
      </c>
      <c r="B552" s="40">
        <v>69</v>
      </c>
    </row>
    <row r="553" spans="1:2" x14ac:dyDescent="0.2">
      <c r="A553" s="40" t="s">
        <v>3039</v>
      </c>
      <c r="B553" s="40">
        <v>50</v>
      </c>
    </row>
    <row r="554" spans="1:2" x14ac:dyDescent="0.2">
      <c r="A554" s="40" t="s">
        <v>2974</v>
      </c>
      <c r="B554" s="40">
        <v>47</v>
      </c>
    </row>
    <row r="555" spans="1:2" x14ac:dyDescent="0.2">
      <c r="A555" s="40" t="s">
        <v>3500</v>
      </c>
      <c r="B555" s="40">
        <v>78</v>
      </c>
    </row>
    <row r="556" spans="1:2" x14ac:dyDescent="0.2">
      <c r="A556" s="40" t="s">
        <v>3040</v>
      </c>
      <c r="B556" s="40">
        <v>50</v>
      </c>
    </row>
    <row r="557" spans="1:2" x14ac:dyDescent="0.2">
      <c r="A557" s="40" t="s">
        <v>2975</v>
      </c>
      <c r="B557" s="40">
        <v>47</v>
      </c>
    </row>
    <row r="558" spans="1:2" x14ac:dyDescent="0.2">
      <c r="A558" s="40" t="s">
        <v>2921</v>
      </c>
      <c r="B558" s="40">
        <v>43</v>
      </c>
    </row>
    <row r="559" spans="1:2" x14ac:dyDescent="0.2">
      <c r="A559" s="40" t="s">
        <v>3121</v>
      </c>
      <c r="B559" s="40">
        <v>52</v>
      </c>
    </row>
    <row r="560" spans="1:2" x14ac:dyDescent="0.2">
      <c r="A560" s="40" t="s">
        <v>3041</v>
      </c>
      <c r="B560" s="40">
        <v>50</v>
      </c>
    </row>
    <row r="561" spans="1:2" x14ac:dyDescent="0.2">
      <c r="A561" s="40" t="s">
        <v>3122</v>
      </c>
      <c r="B561" s="40">
        <v>52</v>
      </c>
    </row>
    <row r="562" spans="1:2" x14ac:dyDescent="0.2">
      <c r="A562" s="40" t="s">
        <v>3208</v>
      </c>
      <c r="B562" s="40">
        <v>59</v>
      </c>
    </row>
    <row r="563" spans="1:2" x14ac:dyDescent="0.2">
      <c r="A563" s="40" t="s">
        <v>3042</v>
      </c>
      <c r="B563" s="40">
        <v>50</v>
      </c>
    </row>
    <row r="564" spans="1:2" x14ac:dyDescent="0.2">
      <c r="A564" s="40" t="s">
        <v>2955</v>
      </c>
      <c r="B564" s="40">
        <v>46</v>
      </c>
    </row>
    <row r="565" spans="1:2" x14ac:dyDescent="0.2">
      <c r="A565" s="40" t="s">
        <v>2976</v>
      </c>
      <c r="B565" s="40">
        <v>47</v>
      </c>
    </row>
    <row r="566" spans="1:2" x14ac:dyDescent="0.2">
      <c r="A566" s="40" t="s">
        <v>3043</v>
      </c>
      <c r="B566" s="40">
        <v>50</v>
      </c>
    </row>
    <row r="567" spans="1:2" x14ac:dyDescent="0.2">
      <c r="A567" s="40" t="s">
        <v>3485</v>
      </c>
      <c r="B567" s="40">
        <v>76</v>
      </c>
    </row>
    <row r="568" spans="1:2" x14ac:dyDescent="0.2">
      <c r="A568" s="40" t="s">
        <v>2880</v>
      </c>
      <c r="B568" s="40">
        <v>40</v>
      </c>
    </row>
    <row r="569" spans="1:2" x14ac:dyDescent="0.2">
      <c r="A569" s="40" t="s">
        <v>3510</v>
      </c>
      <c r="B569" s="40">
        <v>86</v>
      </c>
    </row>
    <row r="570" spans="1:2" x14ac:dyDescent="0.2">
      <c r="A570" s="40" t="s">
        <v>2999</v>
      </c>
      <c r="B570" s="40">
        <v>49</v>
      </c>
    </row>
    <row r="571" spans="1:2" x14ac:dyDescent="0.2">
      <c r="A571" s="40" t="s">
        <v>2459</v>
      </c>
      <c r="B571" s="40">
        <v>6</v>
      </c>
    </row>
    <row r="572" spans="1:2" x14ac:dyDescent="0.2">
      <c r="A572" s="40" t="s">
        <v>3457</v>
      </c>
      <c r="B572" s="40">
        <v>74</v>
      </c>
    </row>
    <row r="573" spans="1:2" x14ac:dyDescent="0.2">
      <c r="A573" s="40" t="s">
        <v>2419</v>
      </c>
      <c r="B573" s="40">
        <v>1</v>
      </c>
    </row>
    <row r="574" spans="1:2" x14ac:dyDescent="0.2">
      <c r="A574" s="40" t="s">
        <v>2463</v>
      </c>
      <c r="B574" s="40">
        <v>7</v>
      </c>
    </row>
    <row r="575" spans="1:2" x14ac:dyDescent="0.2">
      <c r="A575" s="40" t="s">
        <v>3307</v>
      </c>
      <c r="B575" s="40">
        <v>65</v>
      </c>
    </row>
    <row r="576" spans="1:2" x14ac:dyDescent="0.2">
      <c r="A576" s="40" t="s">
        <v>2936</v>
      </c>
      <c r="B576" s="40">
        <v>44</v>
      </c>
    </row>
    <row r="577" spans="1:2" x14ac:dyDescent="0.2">
      <c r="A577" s="40" t="s">
        <v>2947</v>
      </c>
      <c r="B577" s="40">
        <v>45</v>
      </c>
    </row>
    <row r="578" spans="1:2" x14ac:dyDescent="0.2">
      <c r="A578" s="40" t="s">
        <v>3137</v>
      </c>
      <c r="B578" s="40">
        <v>53</v>
      </c>
    </row>
    <row r="579" spans="1:2" x14ac:dyDescent="0.2">
      <c r="A579" s="40" t="s">
        <v>2460</v>
      </c>
      <c r="B579" s="40">
        <v>6</v>
      </c>
    </row>
    <row r="580" spans="1:2" x14ac:dyDescent="0.2">
      <c r="A580" s="40" t="s">
        <v>2922</v>
      </c>
      <c r="B580" s="40">
        <v>43</v>
      </c>
    </row>
    <row r="581" spans="1:2" x14ac:dyDescent="0.2">
      <c r="A581" s="40" t="s">
        <v>3181</v>
      </c>
      <c r="B581" s="40">
        <v>57</v>
      </c>
    </row>
    <row r="582" spans="1:2" x14ac:dyDescent="0.2">
      <c r="A582" s="40" t="s">
        <v>2881</v>
      </c>
      <c r="B582" s="40">
        <v>40</v>
      </c>
    </row>
    <row r="583" spans="1:2" x14ac:dyDescent="0.2">
      <c r="A583" s="40" t="s">
        <v>2544</v>
      </c>
      <c r="B583" s="40">
        <v>16</v>
      </c>
    </row>
    <row r="584" spans="1:2" x14ac:dyDescent="0.2">
      <c r="A584" s="40" t="s">
        <v>2855</v>
      </c>
      <c r="B584" s="40">
        <v>39</v>
      </c>
    </row>
    <row r="585" spans="1:2" x14ac:dyDescent="0.2">
      <c r="A585" s="40" t="s">
        <v>2937</v>
      </c>
      <c r="B585" s="40">
        <v>44</v>
      </c>
    </row>
    <row r="586" spans="1:2" x14ac:dyDescent="0.2">
      <c r="A586" s="40" t="s">
        <v>2903</v>
      </c>
      <c r="B586" s="40">
        <v>42</v>
      </c>
    </row>
    <row r="587" spans="1:2" x14ac:dyDescent="0.2">
      <c r="A587" s="40" t="s">
        <v>2576</v>
      </c>
      <c r="B587" s="40">
        <v>21</v>
      </c>
    </row>
    <row r="588" spans="1:2" x14ac:dyDescent="0.2">
      <c r="A588" s="40" t="s">
        <v>3291</v>
      </c>
      <c r="B588" s="40">
        <v>64</v>
      </c>
    </row>
    <row r="589" spans="1:2" x14ac:dyDescent="0.2">
      <c r="A589" s="40" t="s">
        <v>2455</v>
      </c>
      <c r="B589" s="40">
        <v>5</v>
      </c>
    </row>
    <row r="590" spans="1:2" x14ac:dyDescent="0.2">
      <c r="A590" s="40" t="s">
        <v>2725</v>
      </c>
      <c r="B590" s="40">
        <v>32</v>
      </c>
    </row>
    <row r="591" spans="1:2" x14ac:dyDescent="0.2">
      <c r="A591" s="40" t="s">
        <v>3511</v>
      </c>
      <c r="B591" s="40">
        <v>86</v>
      </c>
    </row>
    <row r="592" spans="1:2" x14ac:dyDescent="0.2">
      <c r="A592" s="40" t="s">
        <v>2482</v>
      </c>
      <c r="B592" s="40">
        <v>10</v>
      </c>
    </row>
    <row r="593" spans="1:2" x14ac:dyDescent="0.2">
      <c r="A593" s="40" t="s">
        <v>3171</v>
      </c>
      <c r="B593" s="40">
        <v>56</v>
      </c>
    </row>
    <row r="594" spans="1:2" x14ac:dyDescent="0.2">
      <c r="A594" s="40" t="s">
        <v>2882</v>
      </c>
      <c r="B594" s="40">
        <v>40</v>
      </c>
    </row>
    <row r="595" spans="1:2" x14ac:dyDescent="0.2">
      <c r="A595" s="40" t="s">
        <v>2430</v>
      </c>
      <c r="B595" s="40">
        <v>2</v>
      </c>
    </row>
    <row r="596" spans="1:2" x14ac:dyDescent="0.2">
      <c r="A596" s="40" t="s">
        <v>2904</v>
      </c>
      <c r="B596" s="40">
        <v>42</v>
      </c>
    </row>
    <row r="597" spans="1:2" x14ac:dyDescent="0.2">
      <c r="A597" s="40" t="s">
        <v>2694</v>
      </c>
      <c r="B597" s="40">
        <v>29</v>
      </c>
    </row>
    <row r="598" spans="1:2" x14ac:dyDescent="0.2">
      <c r="A598" s="40" t="s">
        <v>2747</v>
      </c>
      <c r="B598" s="40">
        <v>33</v>
      </c>
    </row>
    <row r="599" spans="1:2" x14ac:dyDescent="0.2">
      <c r="A599" s="40" t="s">
        <v>2431</v>
      </c>
      <c r="B599" s="40">
        <v>2</v>
      </c>
    </row>
    <row r="600" spans="1:2" x14ac:dyDescent="0.2">
      <c r="A600" s="40" t="s">
        <v>2545</v>
      </c>
      <c r="B600" s="40">
        <v>16</v>
      </c>
    </row>
    <row r="601" spans="1:2" x14ac:dyDescent="0.2">
      <c r="A601" s="40" t="s">
        <v>2546</v>
      </c>
      <c r="B601" s="40">
        <v>16</v>
      </c>
    </row>
    <row r="602" spans="1:2" x14ac:dyDescent="0.2">
      <c r="A602" s="40" t="s">
        <v>2883</v>
      </c>
      <c r="B602" s="40">
        <v>40</v>
      </c>
    </row>
    <row r="603" spans="1:2" x14ac:dyDescent="0.2">
      <c r="A603" s="40" t="s">
        <v>3458</v>
      </c>
      <c r="B603" s="40">
        <v>74</v>
      </c>
    </row>
    <row r="604" spans="1:2" x14ac:dyDescent="0.2">
      <c r="A604" s="40" t="s">
        <v>2494</v>
      </c>
      <c r="B604" s="40">
        <v>11</v>
      </c>
    </row>
    <row r="605" spans="1:2" x14ac:dyDescent="0.2">
      <c r="A605" s="40" t="s">
        <v>3248</v>
      </c>
      <c r="B605" s="40">
        <v>61</v>
      </c>
    </row>
    <row r="606" spans="1:2" ht="25.5" x14ac:dyDescent="0.2">
      <c r="A606" s="40" t="s">
        <v>2665</v>
      </c>
      <c r="B606" s="40">
        <v>26</v>
      </c>
    </row>
    <row r="607" spans="1:2" x14ac:dyDescent="0.2">
      <c r="A607" s="40" t="s">
        <v>2636</v>
      </c>
      <c r="B607" s="40">
        <v>24</v>
      </c>
    </row>
    <row r="608" spans="1:2" x14ac:dyDescent="0.2">
      <c r="A608" s="40" t="s">
        <v>3459</v>
      </c>
      <c r="B608" s="40">
        <v>74</v>
      </c>
    </row>
    <row r="609" spans="1:2" x14ac:dyDescent="0.2">
      <c r="A609" s="40" t="s">
        <v>2515</v>
      </c>
      <c r="B609" s="40">
        <v>14</v>
      </c>
    </row>
    <row r="610" spans="1:2" x14ac:dyDescent="0.2">
      <c r="A610" s="40" t="s">
        <v>2515</v>
      </c>
      <c r="B610" s="40">
        <v>29</v>
      </c>
    </row>
    <row r="611" spans="1:2" x14ac:dyDescent="0.2">
      <c r="A611" s="40" t="s">
        <v>3261</v>
      </c>
      <c r="B611" s="40">
        <v>62</v>
      </c>
    </row>
    <row r="612" spans="1:2" x14ac:dyDescent="0.2">
      <c r="A612" s="40" t="s">
        <v>2766</v>
      </c>
      <c r="B612" s="40">
        <v>34</v>
      </c>
    </row>
    <row r="613" spans="1:2" x14ac:dyDescent="0.2">
      <c r="A613" s="40" t="s">
        <v>2666</v>
      </c>
      <c r="B613" s="40">
        <v>26</v>
      </c>
    </row>
    <row r="614" spans="1:2" x14ac:dyDescent="0.2">
      <c r="A614" s="40" t="s">
        <v>2666</v>
      </c>
      <c r="B614" s="40">
        <v>66</v>
      </c>
    </row>
    <row r="615" spans="1:2" x14ac:dyDescent="0.2">
      <c r="A615" s="40" t="s">
        <v>3380</v>
      </c>
      <c r="B615" s="40">
        <v>68</v>
      </c>
    </row>
    <row r="616" spans="1:2" x14ac:dyDescent="0.2">
      <c r="A616" s="40" t="s">
        <v>3476</v>
      </c>
      <c r="B616" s="40">
        <v>75</v>
      </c>
    </row>
    <row r="617" spans="1:2" x14ac:dyDescent="0.2">
      <c r="A617" s="40" t="s">
        <v>3044</v>
      </c>
      <c r="B617" s="40">
        <v>50</v>
      </c>
    </row>
    <row r="618" spans="1:2" x14ac:dyDescent="0.2">
      <c r="A618" s="40" t="s">
        <v>2561</v>
      </c>
      <c r="B618" s="40">
        <v>18</v>
      </c>
    </row>
    <row r="619" spans="1:2" x14ac:dyDescent="0.2">
      <c r="A619" s="40" t="s">
        <v>2529</v>
      </c>
      <c r="B619" s="40">
        <v>15</v>
      </c>
    </row>
    <row r="620" spans="1:2" x14ac:dyDescent="0.2">
      <c r="A620" s="40" t="s">
        <v>3095</v>
      </c>
      <c r="B620" s="40">
        <v>51</v>
      </c>
    </row>
    <row r="621" spans="1:2" x14ac:dyDescent="0.2">
      <c r="A621" s="40" t="s">
        <v>3249</v>
      </c>
      <c r="B621" s="40">
        <v>61</v>
      </c>
    </row>
    <row r="622" spans="1:2" x14ac:dyDescent="0.2">
      <c r="A622" s="40" t="s">
        <v>3381</v>
      </c>
      <c r="B622" s="40">
        <v>68</v>
      </c>
    </row>
    <row r="623" spans="1:2" x14ac:dyDescent="0.2">
      <c r="A623" s="40" t="s">
        <v>2884</v>
      </c>
      <c r="B623" s="40">
        <v>40</v>
      </c>
    </row>
    <row r="624" spans="1:2" x14ac:dyDescent="0.2">
      <c r="A624" s="40" t="s">
        <v>2408</v>
      </c>
      <c r="B624" s="40">
        <v>77</v>
      </c>
    </row>
    <row r="625" spans="1:2" x14ac:dyDescent="0.2">
      <c r="A625" s="40" t="s">
        <v>3495</v>
      </c>
      <c r="B625" s="40">
        <v>77</v>
      </c>
    </row>
    <row r="626" spans="1:2" x14ac:dyDescent="0.2">
      <c r="A626" s="40" t="s">
        <v>3495</v>
      </c>
      <c r="B626" s="40">
        <v>77</v>
      </c>
    </row>
    <row r="627" spans="1:2" x14ac:dyDescent="0.2">
      <c r="A627" s="40" t="s">
        <v>3527</v>
      </c>
      <c r="B627" s="40">
        <v>89</v>
      </c>
    </row>
    <row r="628" spans="1:2" x14ac:dyDescent="0.2">
      <c r="A628" s="40" t="s">
        <v>2923</v>
      </c>
      <c r="B628" s="40">
        <v>43</v>
      </c>
    </row>
    <row r="629" spans="1:2" x14ac:dyDescent="0.2">
      <c r="A629" s="40" t="s">
        <v>3096</v>
      </c>
      <c r="B629" s="40">
        <v>51</v>
      </c>
    </row>
    <row r="630" spans="1:2" x14ac:dyDescent="0.2">
      <c r="A630" s="40" t="s">
        <v>2748</v>
      </c>
      <c r="B630" s="40">
        <v>33</v>
      </c>
    </row>
    <row r="631" spans="1:2" x14ac:dyDescent="0.2">
      <c r="A631" s="40" t="s">
        <v>3182</v>
      </c>
      <c r="B631" s="40">
        <v>57</v>
      </c>
    </row>
    <row r="632" spans="1:2" x14ac:dyDescent="0.2">
      <c r="A632" s="40" t="s">
        <v>2905</v>
      </c>
      <c r="B632" s="40">
        <v>42</v>
      </c>
    </row>
    <row r="633" spans="1:2" x14ac:dyDescent="0.2">
      <c r="A633" s="40" t="s">
        <v>3045</v>
      </c>
      <c r="B633" s="40">
        <v>50</v>
      </c>
    </row>
    <row r="634" spans="1:2" x14ac:dyDescent="0.2">
      <c r="A634" s="40" t="s">
        <v>3486</v>
      </c>
      <c r="B634" s="40">
        <v>76</v>
      </c>
    </row>
    <row r="635" spans="1:2" ht="25.5" x14ac:dyDescent="0.2">
      <c r="A635" s="40" t="s">
        <v>2547</v>
      </c>
      <c r="B635" s="40">
        <v>16</v>
      </c>
    </row>
    <row r="636" spans="1:2" x14ac:dyDescent="0.2">
      <c r="A636" s="40" t="s">
        <v>3123</v>
      </c>
      <c r="B636" s="40">
        <v>52</v>
      </c>
    </row>
    <row r="637" spans="1:2" x14ac:dyDescent="0.2">
      <c r="A637" s="40" t="s">
        <v>2813</v>
      </c>
      <c r="B637" s="40">
        <v>37</v>
      </c>
    </row>
    <row r="638" spans="1:2" x14ac:dyDescent="0.2">
      <c r="A638" s="40" t="s">
        <v>3528</v>
      </c>
      <c r="B638" s="40">
        <v>89</v>
      </c>
    </row>
    <row r="639" spans="1:2" x14ac:dyDescent="0.2">
      <c r="A639" s="40" t="s">
        <v>2637</v>
      </c>
      <c r="B639" s="40">
        <v>24</v>
      </c>
    </row>
    <row r="640" spans="1:2" x14ac:dyDescent="0.2">
      <c r="A640" s="40" t="s">
        <v>2461</v>
      </c>
      <c r="B640" s="40">
        <v>6</v>
      </c>
    </row>
    <row r="641" spans="1:2" x14ac:dyDescent="0.2">
      <c r="A641" s="40" t="s">
        <v>3162</v>
      </c>
      <c r="B641" s="40">
        <v>55</v>
      </c>
    </row>
    <row r="642" spans="1:2" x14ac:dyDescent="0.2">
      <c r="A642" s="40" t="s">
        <v>2464</v>
      </c>
      <c r="B642" s="40">
        <v>7</v>
      </c>
    </row>
    <row r="643" spans="1:2" x14ac:dyDescent="0.2">
      <c r="A643" s="40" t="s">
        <v>2706</v>
      </c>
      <c r="B643" s="40">
        <v>30</v>
      </c>
    </row>
    <row r="644" spans="1:2" x14ac:dyDescent="0.2">
      <c r="A644" s="40" t="s">
        <v>3046</v>
      </c>
      <c r="B644" s="40">
        <v>50</v>
      </c>
    </row>
    <row r="645" spans="1:2" x14ac:dyDescent="0.2">
      <c r="A645" s="40" t="s">
        <v>2465</v>
      </c>
      <c r="B645" s="40">
        <v>7</v>
      </c>
    </row>
    <row r="646" spans="1:2" x14ac:dyDescent="0.2">
      <c r="A646" s="40" t="s">
        <v>3506</v>
      </c>
      <c r="B646" s="40">
        <v>83</v>
      </c>
    </row>
    <row r="647" spans="1:2" x14ac:dyDescent="0.2">
      <c r="A647" s="40" t="s">
        <v>2650</v>
      </c>
      <c r="B647" s="40">
        <v>25</v>
      </c>
    </row>
    <row r="648" spans="1:2" x14ac:dyDescent="0.2">
      <c r="A648" s="40" t="s">
        <v>3225</v>
      </c>
      <c r="B648" s="40">
        <v>60</v>
      </c>
    </row>
    <row r="649" spans="1:2" x14ac:dyDescent="0.2">
      <c r="A649" s="40" t="s">
        <v>3308</v>
      </c>
      <c r="B649" s="40">
        <v>65</v>
      </c>
    </row>
    <row r="650" spans="1:2" x14ac:dyDescent="0.2">
      <c r="A650" s="40" t="s">
        <v>2667</v>
      </c>
      <c r="B650" s="40">
        <v>26</v>
      </c>
    </row>
    <row r="651" spans="1:2" x14ac:dyDescent="0.2">
      <c r="A651" s="40" t="s">
        <v>3342</v>
      </c>
      <c r="B651" s="40">
        <v>66</v>
      </c>
    </row>
    <row r="652" spans="1:2" x14ac:dyDescent="0.2">
      <c r="A652" s="40" t="s">
        <v>3400</v>
      </c>
      <c r="B652" s="40">
        <v>69</v>
      </c>
    </row>
    <row r="653" spans="1:2" x14ac:dyDescent="0.2">
      <c r="A653" s="40" t="s">
        <v>2856</v>
      </c>
      <c r="B653" s="40">
        <v>39</v>
      </c>
    </row>
    <row r="654" spans="1:2" x14ac:dyDescent="0.2">
      <c r="A654" s="40" t="s">
        <v>2938</v>
      </c>
      <c r="B654" s="40">
        <v>44</v>
      </c>
    </row>
    <row r="655" spans="1:2" x14ac:dyDescent="0.2">
      <c r="A655" s="40" t="s">
        <v>3477</v>
      </c>
      <c r="B655" s="40">
        <v>75</v>
      </c>
    </row>
    <row r="656" spans="1:2" x14ac:dyDescent="0.2">
      <c r="A656" s="40" t="s">
        <v>2516</v>
      </c>
      <c r="B656" s="40">
        <v>14</v>
      </c>
    </row>
    <row r="657" spans="1:2" x14ac:dyDescent="0.2">
      <c r="A657" s="40" t="s">
        <v>2857</v>
      </c>
      <c r="B657" s="40">
        <v>39</v>
      </c>
    </row>
    <row r="658" spans="1:2" x14ac:dyDescent="0.2">
      <c r="A658" s="40" t="s">
        <v>3273</v>
      </c>
      <c r="B658" s="40">
        <v>63</v>
      </c>
    </row>
    <row r="659" spans="1:2" x14ac:dyDescent="0.2">
      <c r="A659" s="40" t="s">
        <v>2432</v>
      </c>
      <c r="B659" s="40">
        <v>2</v>
      </c>
    </row>
    <row r="660" spans="1:2" x14ac:dyDescent="0.2">
      <c r="A660" s="40" t="s">
        <v>2668</v>
      </c>
      <c r="B660" s="40">
        <v>26</v>
      </c>
    </row>
    <row r="661" spans="1:2" x14ac:dyDescent="0.2">
      <c r="A661" s="40" t="s">
        <v>3512</v>
      </c>
      <c r="B661" s="40">
        <v>86</v>
      </c>
    </row>
    <row r="662" spans="1:2" x14ac:dyDescent="0.2">
      <c r="A662" s="40" t="s">
        <v>2939</v>
      </c>
      <c r="B662" s="40">
        <v>44</v>
      </c>
    </row>
    <row r="663" spans="1:2" x14ac:dyDescent="0.2">
      <c r="A663" s="40" t="s">
        <v>3513</v>
      </c>
      <c r="B663" s="40">
        <v>86</v>
      </c>
    </row>
    <row r="664" spans="1:2" x14ac:dyDescent="0.2">
      <c r="A664" s="40" t="s">
        <v>2548</v>
      </c>
      <c r="B664" s="40">
        <v>16</v>
      </c>
    </row>
    <row r="665" spans="1:2" x14ac:dyDescent="0.2">
      <c r="A665" s="40" t="s">
        <v>2835</v>
      </c>
      <c r="B665" s="40">
        <v>38</v>
      </c>
    </row>
    <row r="666" spans="1:2" x14ac:dyDescent="0.2">
      <c r="A666" s="40" t="s">
        <v>3343</v>
      </c>
      <c r="B666" s="40">
        <v>66</v>
      </c>
    </row>
    <row r="667" spans="1:2" x14ac:dyDescent="0.2">
      <c r="A667" s="40" t="s">
        <v>3344</v>
      </c>
      <c r="B667" s="40">
        <v>66</v>
      </c>
    </row>
    <row r="668" spans="1:2" x14ac:dyDescent="0.2">
      <c r="A668" s="40" t="s">
        <v>3192</v>
      </c>
      <c r="B668" s="40">
        <v>58</v>
      </c>
    </row>
    <row r="669" spans="1:2" x14ac:dyDescent="0.2">
      <c r="A669" s="40" t="s">
        <v>3124</v>
      </c>
      <c r="B669" s="40">
        <v>52</v>
      </c>
    </row>
    <row r="670" spans="1:2" x14ac:dyDescent="0.2">
      <c r="A670" s="40" t="s">
        <v>3345</v>
      </c>
      <c r="B670" s="40">
        <v>66</v>
      </c>
    </row>
    <row r="671" spans="1:2" x14ac:dyDescent="0.2">
      <c r="A671" s="40" t="s">
        <v>3346</v>
      </c>
      <c r="B671" s="40">
        <v>66</v>
      </c>
    </row>
    <row r="672" spans="1:2" x14ac:dyDescent="0.2">
      <c r="A672" s="40" t="s">
        <v>3347</v>
      </c>
      <c r="B672" s="40">
        <v>66</v>
      </c>
    </row>
    <row r="673" spans="1:2" x14ac:dyDescent="0.2">
      <c r="A673" s="40" t="s">
        <v>2767</v>
      </c>
      <c r="B673" s="40">
        <v>34</v>
      </c>
    </row>
    <row r="674" spans="1:2" ht="25.5" x14ac:dyDescent="0.2">
      <c r="A674" s="40" t="s">
        <v>2678</v>
      </c>
      <c r="B674" s="40">
        <v>27</v>
      </c>
    </row>
    <row r="675" spans="1:2" x14ac:dyDescent="0.2">
      <c r="A675" s="40" t="s">
        <v>2784</v>
      </c>
      <c r="B675" s="40">
        <v>35</v>
      </c>
    </row>
    <row r="676" spans="1:2" x14ac:dyDescent="0.2">
      <c r="A676" s="40" t="s">
        <v>2784</v>
      </c>
      <c r="B676" s="40">
        <v>58</v>
      </c>
    </row>
    <row r="677" spans="1:2" x14ac:dyDescent="0.2">
      <c r="A677" s="40" t="s">
        <v>2977</v>
      </c>
      <c r="B677" s="40">
        <v>47</v>
      </c>
    </row>
    <row r="678" spans="1:2" x14ac:dyDescent="0.2">
      <c r="A678" s="40" t="s">
        <v>2978</v>
      </c>
      <c r="B678" s="40">
        <v>47</v>
      </c>
    </row>
    <row r="679" spans="1:2" x14ac:dyDescent="0.2">
      <c r="A679" s="40" t="s">
        <v>3348</v>
      </c>
      <c r="B679" s="40">
        <v>66</v>
      </c>
    </row>
    <row r="680" spans="1:2" ht="25.5" x14ac:dyDescent="0.2">
      <c r="A680" s="40" t="s">
        <v>2669</v>
      </c>
      <c r="B680" s="40">
        <v>26</v>
      </c>
    </row>
    <row r="681" spans="1:2" x14ac:dyDescent="0.2">
      <c r="A681" s="40" t="s">
        <v>2590</v>
      </c>
      <c r="B681" s="40">
        <v>22</v>
      </c>
    </row>
    <row r="682" spans="1:2" x14ac:dyDescent="0.2">
      <c r="A682" s="40" t="s">
        <v>2768</v>
      </c>
      <c r="B682" s="40">
        <v>34</v>
      </c>
    </row>
    <row r="683" spans="1:2" x14ac:dyDescent="0.2">
      <c r="A683" s="40" t="s">
        <v>2798</v>
      </c>
      <c r="B683" s="40">
        <v>36</v>
      </c>
    </row>
    <row r="684" spans="1:2" x14ac:dyDescent="0.2">
      <c r="A684" s="40" t="s">
        <v>2695</v>
      </c>
      <c r="B684" s="40">
        <v>29</v>
      </c>
    </row>
    <row r="685" spans="1:2" x14ac:dyDescent="0.2">
      <c r="A685" s="40" t="s">
        <v>2726</v>
      </c>
      <c r="B685" s="40">
        <v>32</v>
      </c>
    </row>
    <row r="686" spans="1:2" x14ac:dyDescent="0.2">
      <c r="A686" s="40" t="s">
        <v>2609</v>
      </c>
      <c r="B686" s="40">
        <v>23</v>
      </c>
    </row>
    <row r="687" spans="1:2" x14ac:dyDescent="0.2">
      <c r="A687" s="40" t="s">
        <v>2906</v>
      </c>
      <c r="B687" s="40">
        <v>42</v>
      </c>
    </row>
    <row r="688" spans="1:2" x14ac:dyDescent="0.2">
      <c r="A688" s="40" t="s">
        <v>3274</v>
      </c>
      <c r="B688" s="40">
        <v>63</v>
      </c>
    </row>
    <row r="689" spans="1:2" x14ac:dyDescent="0.2">
      <c r="A689" s="40" t="s">
        <v>3262</v>
      </c>
      <c r="B689" s="40">
        <v>62</v>
      </c>
    </row>
    <row r="690" spans="1:2" x14ac:dyDescent="0.2">
      <c r="A690" s="40" t="s">
        <v>3424</v>
      </c>
      <c r="B690" s="40">
        <v>71</v>
      </c>
    </row>
    <row r="691" spans="1:2" x14ac:dyDescent="0.2">
      <c r="A691" s="40" t="s">
        <v>2670</v>
      </c>
      <c r="B691" s="40">
        <v>26</v>
      </c>
    </row>
    <row r="692" spans="1:2" x14ac:dyDescent="0.2">
      <c r="A692" s="40" t="s">
        <v>3226</v>
      </c>
      <c r="B692" s="40">
        <v>60</v>
      </c>
    </row>
    <row r="693" spans="1:2" x14ac:dyDescent="0.2">
      <c r="A693" s="40" t="s">
        <v>2610</v>
      </c>
      <c r="B693" s="40">
        <v>23</v>
      </c>
    </row>
    <row r="694" spans="1:2" x14ac:dyDescent="0.2">
      <c r="A694" s="40" t="s">
        <v>3153</v>
      </c>
      <c r="B694" s="40">
        <v>54</v>
      </c>
    </row>
    <row r="695" spans="1:2" x14ac:dyDescent="0.2">
      <c r="A695" s="40" t="s">
        <v>3183</v>
      </c>
      <c r="B695" s="40">
        <v>57</v>
      </c>
    </row>
    <row r="696" spans="1:2" x14ac:dyDescent="0.2">
      <c r="A696" s="40" t="s">
        <v>3227</v>
      </c>
      <c r="B696" s="40">
        <v>60</v>
      </c>
    </row>
    <row r="697" spans="1:2" x14ac:dyDescent="0.2">
      <c r="A697" s="40" t="s">
        <v>3172</v>
      </c>
      <c r="B697" s="40">
        <v>56</v>
      </c>
    </row>
    <row r="698" spans="1:2" x14ac:dyDescent="0.2">
      <c r="A698" s="40" t="s">
        <v>3292</v>
      </c>
      <c r="B698" s="40">
        <v>64</v>
      </c>
    </row>
    <row r="699" spans="1:2" x14ac:dyDescent="0.2">
      <c r="A699" s="40" t="s">
        <v>3440</v>
      </c>
      <c r="B699" s="40">
        <v>73</v>
      </c>
    </row>
    <row r="700" spans="1:2" x14ac:dyDescent="0.2">
      <c r="A700" s="40" t="s">
        <v>3349</v>
      </c>
      <c r="B700" s="40">
        <v>66</v>
      </c>
    </row>
    <row r="701" spans="1:2" x14ac:dyDescent="0.2">
      <c r="A701" s="40" t="s">
        <v>2799</v>
      </c>
      <c r="B701" s="40">
        <v>36</v>
      </c>
    </row>
    <row r="702" spans="1:2" x14ac:dyDescent="0.2">
      <c r="A702" s="40" t="s">
        <v>2577</v>
      </c>
      <c r="B702" s="40">
        <v>21</v>
      </c>
    </row>
    <row r="703" spans="1:2" x14ac:dyDescent="0.2">
      <c r="A703" s="40" t="s">
        <v>3250</v>
      </c>
      <c r="B703" s="40">
        <v>61</v>
      </c>
    </row>
    <row r="704" spans="1:2" x14ac:dyDescent="0.2">
      <c r="A704" s="40" t="s">
        <v>3251</v>
      </c>
      <c r="B704" s="40">
        <v>61</v>
      </c>
    </row>
    <row r="705" spans="1:2" x14ac:dyDescent="0.2">
      <c r="A705" s="40" t="s">
        <v>2715</v>
      </c>
      <c r="B705" s="40">
        <v>31</v>
      </c>
    </row>
    <row r="706" spans="1:2" x14ac:dyDescent="0.2">
      <c r="A706" s="40" t="s">
        <v>3529</v>
      </c>
      <c r="B706" s="40">
        <v>89</v>
      </c>
    </row>
    <row r="707" spans="1:2" x14ac:dyDescent="0.2">
      <c r="A707" s="40" t="s">
        <v>3047</v>
      </c>
      <c r="B707" s="40">
        <v>50</v>
      </c>
    </row>
    <row r="708" spans="1:2" x14ac:dyDescent="0.2">
      <c r="A708" s="40" t="s">
        <v>2924</v>
      </c>
      <c r="B708" s="40">
        <v>43</v>
      </c>
    </row>
    <row r="709" spans="1:2" x14ac:dyDescent="0.2">
      <c r="A709" s="40" t="s">
        <v>2638</v>
      </c>
      <c r="B709" s="40">
        <v>24</v>
      </c>
    </row>
    <row r="710" spans="1:2" x14ac:dyDescent="0.2">
      <c r="A710" s="40" t="s">
        <v>3530</v>
      </c>
      <c r="B710" s="40">
        <v>89</v>
      </c>
    </row>
    <row r="711" spans="1:2" x14ac:dyDescent="0.2">
      <c r="A711" s="40" t="s">
        <v>2549</v>
      </c>
      <c r="B711" s="40">
        <v>16</v>
      </c>
    </row>
    <row r="712" spans="1:2" x14ac:dyDescent="0.2">
      <c r="A712" s="40" t="s">
        <v>3209</v>
      </c>
      <c r="B712" s="40">
        <v>59</v>
      </c>
    </row>
    <row r="713" spans="1:2" x14ac:dyDescent="0.2">
      <c r="A713" s="40" t="s">
        <v>2517</v>
      </c>
      <c r="B713" s="40">
        <v>14</v>
      </c>
    </row>
    <row r="714" spans="1:2" x14ac:dyDescent="0.2">
      <c r="A714" s="40" t="s">
        <v>3514</v>
      </c>
      <c r="B714" s="40">
        <v>86</v>
      </c>
    </row>
    <row r="715" spans="1:2" x14ac:dyDescent="0.2">
      <c r="A715" s="40" t="s">
        <v>3460</v>
      </c>
      <c r="B715" s="40">
        <v>74</v>
      </c>
    </row>
    <row r="716" spans="1:2" x14ac:dyDescent="0.2">
      <c r="A716" s="40" t="s">
        <v>2696</v>
      </c>
      <c r="B716" s="40">
        <v>29</v>
      </c>
    </row>
    <row r="717" spans="1:2" x14ac:dyDescent="0.2">
      <c r="A717" s="40" t="s">
        <v>3505</v>
      </c>
      <c r="B717" s="40">
        <v>79</v>
      </c>
    </row>
    <row r="718" spans="1:2" x14ac:dyDescent="0.2">
      <c r="A718" s="40" t="s">
        <v>2885</v>
      </c>
      <c r="B718" s="40">
        <v>40</v>
      </c>
    </row>
    <row r="719" spans="1:2" x14ac:dyDescent="0.2">
      <c r="A719" s="40" t="s">
        <v>2956</v>
      </c>
      <c r="B719" s="40">
        <v>46</v>
      </c>
    </row>
    <row r="720" spans="1:2" x14ac:dyDescent="0.2">
      <c r="A720" s="40" t="s">
        <v>3154</v>
      </c>
      <c r="B720" s="40">
        <v>54</v>
      </c>
    </row>
    <row r="721" spans="1:2" x14ac:dyDescent="0.2">
      <c r="A721" s="40" t="s">
        <v>3048</v>
      </c>
      <c r="B721" s="40">
        <v>50</v>
      </c>
    </row>
    <row r="722" spans="1:2" x14ac:dyDescent="0.2">
      <c r="A722" s="40" t="s">
        <v>3049</v>
      </c>
      <c r="B722" s="40">
        <v>50</v>
      </c>
    </row>
    <row r="723" spans="1:2" x14ac:dyDescent="0.2">
      <c r="A723" s="40" t="s">
        <v>2858</v>
      </c>
      <c r="B723" s="40">
        <v>39</v>
      </c>
    </row>
    <row r="724" spans="1:2" x14ac:dyDescent="0.2">
      <c r="A724" s="40" t="s">
        <v>2858</v>
      </c>
      <c r="B724" s="40">
        <v>74</v>
      </c>
    </row>
    <row r="725" spans="1:2" x14ac:dyDescent="0.2">
      <c r="A725" s="40" t="s">
        <v>3050</v>
      </c>
      <c r="B725" s="40">
        <v>50</v>
      </c>
    </row>
    <row r="726" spans="1:2" x14ac:dyDescent="0.2">
      <c r="A726" s="40" t="s">
        <v>3275</v>
      </c>
      <c r="B726" s="40">
        <v>63</v>
      </c>
    </row>
    <row r="727" spans="1:2" x14ac:dyDescent="0.2">
      <c r="A727" s="40" t="s">
        <v>2433</v>
      </c>
      <c r="B727" s="40">
        <v>2</v>
      </c>
    </row>
    <row r="728" spans="1:2" x14ac:dyDescent="0.2">
      <c r="A728" s="40" t="s">
        <v>3138</v>
      </c>
      <c r="B728" s="40">
        <v>53</v>
      </c>
    </row>
    <row r="729" spans="1:2" x14ac:dyDescent="0.2">
      <c r="A729" s="40" t="s">
        <v>2518</v>
      </c>
      <c r="B729" s="40">
        <v>14</v>
      </c>
    </row>
    <row r="730" spans="1:2" x14ac:dyDescent="0.2">
      <c r="A730" s="40" t="s">
        <v>3097</v>
      </c>
      <c r="B730" s="40">
        <v>51</v>
      </c>
    </row>
    <row r="731" spans="1:2" x14ac:dyDescent="0.2">
      <c r="A731" s="40" t="s">
        <v>3098</v>
      </c>
      <c r="B731" s="40">
        <v>51</v>
      </c>
    </row>
    <row r="732" spans="1:2" x14ac:dyDescent="0.2">
      <c r="A732" s="40" t="s">
        <v>3099</v>
      </c>
      <c r="B732" s="40">
        <v>51</v>
      </c>
    </row>
    <row r="733" spans="1:2" x14ac:dyDescent="0.2">
      <c r="A733" s="40" t="s">
        <v>3100</v>
      </c>
      <c r="B733" s="40">
        <v>51</v>
      </c>
    </row>
    <row r="734" spans="1:2" x14ac:dyDescent="0.2">
      <c r="A734" s="40" t="s">
        <v>2483</v>
      </c>
      <c r="B734" s="40">
        <v>10</v>
      </c>
    </row>
    <row r="735" spans="1:2" x14ac:dyDescent="0.2">
      <c r="A735" s="40" t="s">
        <v>3163</v>
      </c>
      <c r="B735" s="40">
        <v>55</v>
      </c>
    </row>
    <row r="736" spans="1:2" x14ac:dyDescent="0.2">
      <c r="A736" s="40" t="s">
        <v>2925</v>
      </c>
      <c r="B736" s="40">
        <v>43</v>
      </c>
    </row>
    <row r="737" spans="1:2" x14ac:dyDescent="0.2">
      <c r="A737" s="40" t="s">
        <v>2697</v>
      </c>
      <c r="B737" s="40">
        <v>29</v>
      </c>
    </row>
    <row r="738" spans="1:2" x14ac:dyDescent="0.2">
      <c r="A738" s="40" t="s">
        <v>3228</v>
      </c>
      <c r="B738" s="40">
        <v>60</v>
      </c>
    </row>
    <row r="739" spans="1:2" x14ac:dyDescent="0.2">
      <c r="A739" s="40" t="s">
        <v>3184</v>
      </c>
      <c r="B739" s="40">
        <v>57</v>
      </c>
    </row>
    <row r="740" spans="1:2" x14ac:dyDescent="0.2">
      <c r="A740" s="40" t="s">
        <v>3173</v>
      </c>
      <c r="B740" s="40">
        <v>56</v>
      </c>
    </row>
    <row r="741" spans="1:2" x14ac:dyDescent="0.2">
      <c r="A741" s="40" t="s">
        <v>3051</v>
      </c>
      <c r="B741" s="40">
        <v>50</v>
      </c>
    </row>
    <row r="742" spans="1:2" x14ac:dyDescent="0.2">
      <c r="A742" s="40" t="s">
        <v>2926</v>
      </c>
      <c r="B742" s="40">
        <v>43</v>
      </c>
    </row>
    <row r="743" spans="1:2" x14ac:dyDescent="0.2">
      <c r="A743" s="40" t="s">
        <v>3174</v>
      </c>
      <c r="B743" s="40">
        <v>56</v>
      </c>
    </row>
    <row r="744" spans="1:2" x14ac:dyDescent="0.2">
      <c r="A744" s="40" t="s">
        <v>3210</v>
      </c>
      <c r="B744" s="40">
        <v>59</v>
      </c>
    </row>
    <row r="745" spans="1:2" x14ac:dyDescent="0.2">
      <c r="A745" s="40" t="s">
        <v>2907</v>
      </c>
      <c r="B745" s="40">
        <v>42</v>
      </c>
    </row>
    <row r="746" spans="1:2" x14ac:dyDescent="0.2">
      <c r="A746" s="40" t="s">
        <v>3401</v>
      </c>
      <c r="B746" s="40">
        <v>69</v>
      </c>
    </row>
    <row r="747" spans="1:2" x14ac:dyDescent="0.2">
      <c r="A747" s="40" t="s">
        <v>3229</v>
      </c>
      <c r="B747" s="40">
        <v>60</v>
      </c>
    </row>
    <row r="748" spans="1:2" x14ac:dyDescent="0.2">
      <c r="A748" s="40" t="s">
        <v>3101</v>
      </c>
      <c r="B748" s="40">
        <v>51</v>
      </c>
    </row>
    <row r="749" spans="1:2" x14ac:dyDescent="0.2">
      <c r="A749" s="40" t="s">
        <v>2800</v>
      </c>
      <c r="B749" s="40">
        <v>36</v>
      </c>
    </row>
    <row r="750" spans="1:2" x14ac:dyDescent="0.2">
      <c r="A750" s="40" t="s">
        <v>2979</v>
      </c>
      <c r="B750" s="40">
        <v>47</v>
      </c>
    </row>
    <row r="751" spans="1:2" x14ac:dyDescent="0.2">
      <c r="A751" s="40" t="s">
        <v>3276</v>
      </c>
      <c r="B751" s="40">
        <v>63</v>
      </c>
    </row>
    <row r="752" spans="1:2" x14ac:dyDescent="0.2">
      <c r="A752" s="40" t="s">
        <v>3309</v>
      </c>
      <c r="B752" s="40">
        <v>65</v>
      </c>
    </row>
    <row r="753" spans="1:2" x14ac:dyDescent="0.2">
      <c r="A753" s="40" t="s">
        <v>3211</v>
      </c>
      <c r="B753" s="40">
        <v>59</v>
      </c>
    </row>
    <row r="754" spans="1:2" x14ac:dyDescent="0.2">
      <c r="A754" s="40" t="s">
        <v>3212</v>
      </c>
      <c r="B754" s="40">
        <v>59</v>
      </c>
    </row>
    <row r="755" spans="1:2" x14ac:dyDescent="0.2">
      <c r="A755" s="40" t="s">
        <v>3125</v>
      </c>
      <c r="B755" s="40">
        <v>52</v>
      </c>
    </row>
    <row r="756" spans="1:2" x14ac:dyDescent="0.2">
      <c r="A756" s="40" t="s">
        <v>2801</v>
      </c>
      <c r="B756" s="40">
        <v>36</v>
      </c>
    </row>
    <row r="757" spans="1:2" x14ac:dyDescent="0.2">
      <c r="A757" s="40" t="s">
        <v>2801</v>
      </c>
      <c r="B757" s="40">
        <v>78</v>
      </c>
    </row>
    <row r="758" spans="1:2" x14ac:dyDescent="0.2">
      <c r="A758" s="40" t="s">
        <v>3052</v>
      </c>
      <c r="B758" s="40">
        <v>50</v>
      </c>
    </row>
    <row r="759" spans="1:2" x14ac:dyDescent="0.2">
      <c r="A759" s="40" t="s">
        <v>2769</v>
      </c>
      <c r="B759" s="40">
        <v>34</v>
      </c>
    </row>
    <row r="760" spans="1:2" x14ac:dyDescent="0.2">
      <c r="A760" s="40" t="s">
        <v>2651</v>
      </c>
      <c r="B760" s="40">
        <v>25</v>
      </c>
    </row>
    <row r="761" spans="1:2" x14ac:dyDescent="0.2">
      <c r="A761" s="40" t="s">
        <v>3524</v>
      </c>
      <c r="B761" s="40">
        <v>87</v>
      </c>
    </row>
    <row r="762" spans="1:2" x14ac:dyDescent="0.2">
      <c r="A762" s="40" t="s">
        <v>2410</v>
      </c>
      <c r="B762" s="40">
        <v>58</v>
      </c>
    </row>
    <row r="763" spans="1:2" x14ac:dyDescent="0.2">
      <c r="A763" s="40" t="s">
        <v>3126</v>
      </c>
      <c r="B763" s="40">
        <v>52</v>
      </c>
    </row>
    <row r="764" spans="1:2" x14ac:dyDescent="0.2">
      <c r="A764" s="40" t="s">
        <v>3350</v>
      </c>
      <c r="B764" s="40">
        <v>66</v>
      </c>
    </row>
    <row r="765" spans="1:2" x14ac:dyDescent="0.2">
      <c r="A765" s="40" t="s">
        <v>3127</v>
      </c>
      <c r="B765" s="40">
        <v>52</v>
      </c>
    </row>
    <row r="766" spans="1:2" x14ac:dyDescent="0.2">
      <c r="A766" s="40" t="s">
        <v>3053</v>
      </c>
      <c r="B766" s="40">
        <v>50</v>
      </c>
    </row>
    <row r="767" spans="1:2" ht="25.5" x14ac:dyDescent="0.2">
      <c r="A767" s="40" t="s">
        <v>3487</v>
      </c>
      <c r="B767" s="40">
        <v>76</v>
      </c>
    </row>
    <row r="768" spans="1:2" x14ac:dyDescent="0.2">
      <c r="A768" s="40" t="s">
        <v>3213</v>
      </c>
      <c r="B768" s="40">
        <v>59</v>
      </c>
    </row>
    <row r="769" spans="1:2" x14ac:dyDescent="0.2">
      <c r="A769" s="40" t="s">
        <v>3139</v>
      </c>
      <c r="B769" s="40">
        <v>53</v>
      </c>
    </row>
    <row r="770" spans="1:2" x14ac:dyDescent="0.2">
      <c r="A770" s="40" t="s">
        <v>3501</v>
      </c>
      <c r="B770" s="40">
        <v>78</v>
      </c>
    </row>
    <row r="771" spans="1:2" x14ac:dyDescent="0.2">
      <c r="A771" s="40" t="s">
        <v>2770</v>
      </c>
      <c r="B771" s="40">
        <v>34</v>
      </c>
    </row>
    <row r="772" spans="1:2" x14ac:dyDescent="0.2">
      <c r="A772" s="40" t="s">
        <v>3293</v>
      </c>
      <c r="B772" s="40">
        <v>64</v>
      </c>
    </row>
    <row r="773" spans="1:2" ht="25.5" x14ac:dyDescent="0.2">
      <c r="A773" s="40" t="s">
        <v>3478</v>
      </c>
      <c r="B773" s="40">
        <v>75</v>
      </c>
    </row>
    <row r="774" spans="1:2" x14ac:dyDescent="0.2">
      <c r="A774" s="40" t="s">
        <v>2484</v>
      </c>
      <c r="B774" s="40">
        <v>10</v>
      </c>
    </row>
    <row r="775" spans="1:2" ht="25.5" x14ac:dyDescent="0.2">
      <c r="A775" s="40" t="s">
        <v>2895</v>
      </c>
      <c r="B775" s="40">
        <v>41</v>
      </c>
    </row>
    <row r="776" spans="1:2" x14ac:dyDescent="0.2">
      <c r="A776" s="40" t="s">
        <v>2948</v>
      </c>
      <c r="B776" s="40">
        <v>45</v>
      </c>
    </row>
    <row r="777" spans="1:2" x14ac:dyDescent="0.2">
      <c r="A777" s="40" t="s">
        <v>2749</v>
      </c>
      <c r="B777" s="40">
        <v>33</v>
      </c>
    </row>
    <row r="778" spans="1:2" x14ac:dyDescent="0.2">
      <c r="A778" s="40" t="s">
        <v>2495</v>
      </c>
      <c r="B778" s="40">
        <v>11</v>
      </c>
    </row>
    <row r="779" spans="1:2" x14ac:dyDescent="0.2">
      <c r="A779" s="40" t="s">
        <v>3230</v>
      </c>
      <c r="B779" s="40">
        <v>60</v>
      </c>
    </row>
    <row r="780" spans="1:2" x14ac:dyDescent="0.2">
      <c r="A780" s="40" t="s">
        <v>2980</v>
      </c>
      <c r="B780" s="40">
        <v>47</v>
      </c>
    </row>
    <row r="781" spans="1:2" x14ac:dyDescent="0.2">
      <c r="A781" s="40" t="s">
        <v>2859</v>
      </c>
      <c r="B781" s="40">
        <v>39</v>
      </c>
    </row>
    <row r="782" spans="1:2" x14ac:dyDescent="0.2">
      <c r="A782" s="40" t="s">
        <v>2485</v>
      </c>
      <c r="B782" s="40">
        <v>10</v>
      </c>
    </row>
    <row r="783" spans="1:2" x14ac:dyDescent="0.2">
      <c r="A783" s="40" t="s">
        <v>3425</v>
      </c>
      <c r="B783" s="40">
        <v>71</v>
      </c>
    </row>
    <row r="784" spans="1:2" x14ac:dyDescent="0.2">
      <c r="A784" s="40" t="s">
        <v>3461</v>
      </c>
      <c r="B784" s="40">
        <v>74</v>
      </c>
    </row>
    <row r="785" spans="1:2" x14ac:dyDescent="0.2">
      <c r="A785" s="40" t="s">
        <v>2814</v>
      </c>
      <c r="B785" s="40">
        <v>37</v>
      </c>
    </row>
    <row r="786" spans="1:2" x14ac:dyDescent="0.2">
      <c r="A786" s="40" t="s">
        <v>2802</v>
      </c>
      <c r="B786" s="40">
        <v>36</v>
      </c>
    </row>
    <row r="787" spans="1:2" x14ac:dyDescent="0.2">
      <c r="A787" s="40" t="s">
        <v>3542</v>
      </c>
      <c r="B787" s="40">
        <v>91</v>
      </c>
    </row>
    <row r="788" spans="1:2" x14ac:dyDescent="0.2">
      <c r="A788" s="40" t="s">
        <v>48</v>
      </c>
      <c r="B788" s="40">
        <v>50</v>
      </c>
    </row>
    <row r="789" spans="1:2" x14ac:dyDescent="0.2">
      <c r="A789" s="40" t="s">
        <v>2981</v>
      </c>
      <c r="B789" s="40">
        <v>47</v>
      </c>
    </row>
    <row r="790" spans="1:2" x14ac:dyDescent="0.2">
      <c r="A790" s="40" t="s">
        <v>3515</v>
      </c>
      <c r="B790" s="40">
        <v>86</v>
      </c>
    </row>
    <row r="791" spans="1:2" x14ac:dyDescent="0.2">
      <c r="A791" s="40" t="s">
        <v>2750</v>
      </c>
      <c r="B791" s="40">
        <v>33</v>
      </c>
    </row>
    <row r="792" spans="1:2" x14ac:dyDescent="0.2">
      <c r="A792" s="40" t="s">
        <v>2519</v>
      </c>
      <c r="B792" s="40">
        <v>14</v>
      </c>
    </row>
    <row r="793" spans="1:2" x14ac:dyDescent="0.2">
      <c r="A793" s="40" t="s">
        <v>3351</v>
      </c>
      <c r="B793" s="40">
        <v>66</v>
      </c>
    </row>
    <row r="794" spans="1:2" x14ac:dyDescent="0.2">
      <c r="A794" s="40" t="s">
        <v>2860</v>
      </c>
      <c r="B794" s="40">
        <v>39</v>
      </c>
    </row>
    <row r="795" spans="1:2" x14ac:dyDescent="0.2">
      <c r="A795" s="40" t="s">
        <v>2908</v>
      </c>
      <c r="B795" s="40">
        <v>42</v>
      </c>
    </row>
    <row r="796" spans="1:2" x14ac:dyDescent="0.2">
      <c r="A796" s="40" t="s">
        <v>3102</v>
      </c>
      <c r="B796" s="40">
        <v>51</v>
      </c>
    </row>
    <row r="797" spans="1:2" x14ac:dyDescent="0.2">
      <c r="A797" s="40" t="s">
        <v>3103</v>
      </c>
      <c r="B797" s="40">
        <v>51</v>
      </c>
    </row>
    <row r="798" spans="1:2" x14ac:dyDescent="0.2">
      <c r="A798" s="40" t="s">
        <v>3310</v>
      </c>
      <c r="B798" s="40">
        <v>65</v>
      </c>
    </row>
    <row r="799" spans="1:2" x14ac:dyDescent="0.2">
      <c r="A799" s="40" t="s">
        <v>3231</v>
      </c>
      <c r="B799" s="40">
        <v>60</v>
      </c>
    </row>
    <row r="800" spans="1:2" x14ac:dyDescent="0.2">
      <c r="A800" s="40" t="s">
        <v>3277</v>
      </c>
      <c r="B800" s="40">
        <v>63</v>
      </c>
    </row>
    <row r="801" spans="1:2" x14ac:dyDescent="0.2">
      <c r="A801" s="40" t="s">
        <v>2727</v>
      </c>
      <c r="B801" s="40">
        <v>32</v>
      </c>
    </row>
    <row r="802" spans="1:2" x14ac:dyDescent="0.2">
      <c r="A802" s="40" t="s">
        <v>3370</v>
      </c>
      <c r="B802" s="40">
        <v>67</v>
      </c>
    </row>
    <row r="803" spans="1:2" x14ac:dyDescent="0.2">
      <c r="A803" s="40" t="s">
        <v>3488</v>
      </c>
      <c r="B803" s="40">
        <v>76</v>
      </c>
    </row>
    <row r="804" spans="1:2" x14ac:dyDescent="0.2">
      <c r="A804" s="40" t="s">
        <v>2861</v>
      </c>
      <c r="B804" s="40">
        <v>39</v>
      </c>
    </row>
    <row r="805" spans="1:2" x14ac:dyDescent="0.2">
      <c r="A805" s="40" t="s">
        <v>2815</v>
      </c>
      <c r="B805" s="40">
        <v>37</v>
      </c>
    </row>
    <row r="806" spans="1:2" x14ac:dyDescent="0.2">
      <c r="A806" s="40" t="s">
        <v>2862</v>
      </c>
      <c r="B806" s="40">
        <v>39</v>
      </c>
    </row>
    <row r="807" spans="1:2" x14ac:dyDescent="0.2">
      <c r="A807" s="40" t="s">
        <v>2862</v>
      </c>
      <c r="B807" s="40">
        <v>47</v>
      </c>
    </row>
    <row r="808" spans="1:2" x14ac:dyDescent="0.2">
      <c r="A808" s="40" t="s">
        <v>2611</v>
      </c>
      <c r="B808" s="40">
        <v>23</v>
      </c>
    </row>
    <row r="809" spans="1:2" x14ac:dyDescent="0.2">
      <c r="A809" s="40" t="s">
        <v>2982</v>
      </c>
      <c r="B809" s="40">
        <v>47</v>
      </c>
    </row>
    <row r="810" spans="1:2" x14ac:dyDescent="0.2">
      <c r="A810" s="40" t="s">
        <v>2909</v>
      </c>
      <c r="B810" s="40">
        <v>42</v>
      </c>
    </row>
    <row r="811" spans="1:2" x14ac:dyDescent="0.2">
      <c r="A811" s="40" t="s">
        <v>3252</v>
      </c>
      <c r="B811" s="40">
        <v>61</v>
      </c>
    </row>
    <row r="812" spans="1:2" x14ac:dyDescent="0.2">
      <c r="A812" s="40" t="s">
        <v>3054</v>
      </c>
      <c r="B812" s="40">
        <v>50</v>
      </c>
    </row>
    <row r="813" spans="1:2" x14ac:dyDescent="0.2">
      <c r="A813" s="40" t="s">
        <v>2466</v>
      </c>
      <c r="B813" s="40">
        <v>7</v>
      </c>
    </row>
    <row r="814" spans="1:2" x14ac:dyDescent="0.2">
      <c r="A814" s="40" t="s">
        <v>3232</v>
      </c>
      <c r="B814" s="40">
        <v>60</v>
      </c>
    </row>
    <row r="815" spans="1:2" x14ac:dyDescent="0.2">
      <c r="A815" s="40" t="s">
        <v>3294</v>
      </c>
      <c r="B815" s="40">
        <v>64</v>
      </c>
    </row>
    <row r="816" spans="1:2" x14ac:dyDescent="0.2">
      <c r="A816" s="40" t="s">
        <v>2486</v>
      </c>
      <c r="B816" s="40">
        <v>10</v>
      </c>
    </row>
    <row r="817" spans="1:2" x14ac:dyDescent="0.2">
      <c r="A817" s="40" t="s">
        <v>3233</v>
      </c>
      <c r="B817" s="40">
        <v>60</v>
      </c>
    </row>
    <row r="818" spans="1:2" x14ac:dyDescent="0.2">
      <c r="A818" s="40" t="s">
        <v>2816</v>
      </c>
      <c r="B818" s="40">
        <v>37</v>
      </c>
    </row>
    <row r="819" spans="1:2" x14ac:dyDescent="0.2">
      <c r="A819" s="40" t="s">
        <v>3502</v>
      </c>
      <c r="B819" s="40">
        <v>78</v>
      </c>
    </row>
    <row r="820" spans="1:2" x14ac:dyDescent="0.2">
      <c r="A820" s="40" t="s">
        <v>3055</v>
      </c>
      <c r="B820" s="40">
        <v>50</v>
      </c>
    </row>
    <row r="821" spans="1:2" x14ac:dyDescent="0.2">
      <c r="A821" s="40" t="s">
        <v>3056</v>
      </c>
      <c r="B821" s="40">
        <v>50</v>
      </c>
    </row>
    <row r="822" spans="1:2" x14ac:dyDescent="0.2">
      <c r="A822" s="40" t="s">
        <v>3234</v>
      </c>
      <c r="B822" s="40">
        <v>60</v>
      </c>
    </row>
    <row r="823" spans="1:2" x14ac:dyDescent="0.2">
      <c r="A823" s="40" t="s">
        <v>3516</v>
      </c>
      <c r="B823" s="40">
        <v>86</v>
      </c>
    </row>
    <row r="824" spans="1:2" x14ac:dyDescent="0.2">
      <c r="A824" s="40" t="s">
        <v>2671</v>
      </c>
      <c r="B824" s="40">
        <v>26</v>
      </c>
    </row>
    <row r="825" spans="1:2" x14ac:dyDescent="0.2">
      <c r="A825" s="40" t="s">
        <v>2751</v>
      </c>
      <c r="B825" s="40">
        <v>33</v>
      </c>
    </row>
    <row r="826" spans="1:2" x14ac:dyDescent="0.2">
      <c r="A826" s="40" t="s">
        <v>2751</v>
      </c>
      <c r="B826" s="40">
        <v>86</v>
      </c>
    </row>
    <row r="827" spans="1:2" x14ac:dyDescent="0.2">
      <c r="A827" s="40" t="s">
        <v>2684</v>
      </c>
      <c r="B827" s="40">
        <v>28</v>
      </c>
    </row>
    <row r="828" spans="1:2" x14ac:dyDescent="0.2">
      <c r="A828" s="40" t="s">
        <v>3057</v>
      </c>
      <c r="B828" s="40">
        <v>50</v>
      </c>
    </row>
    <row r="829" spans="1:2" x14ac:dyDescent="0.2">
      <c r="A829" s="40" t="s">
        <v>3382</v>
      </c>
      <c r="B829" s="40">
        <v>68</v>
      </c>
    </row>
    <row r="830" spans="1:2" x14ac:dyDescent="0.2">
      <c r="A830" s="40" t="s">
        <v>3352</v>
      </c>
      <c r="B830" s="40">
        <v>66</v>
      </c>
    </row>
    <row r="831" spans="1:2" x14ac:dyDescent="0.2">
      <c r="A831" s="40" t="s">
        <v>3353</v>
      </c>
      <c r="B831" s="40">
        <v>66</v>
      </c>
    </row>
    <row r="832" spans="1:2" x14ac:dyDescent="0.2">
      <c r="A832" s="40" t="s">
        <v>3058</v>
      </c>
      <c r="B832" s="40">
        <v>50</v>
      </c>
    </row>
    <row r="833" spans="1:2" x14ac:dyDescent="0.2">
      <c r="A833" s="40" t="s">
        <v>3402</v>
      </c>
      <c r="B833" s="40">
        <v>69</v>
      </c>
    </row>
    <row r="834" spans="1:2" x14ac:dyDescent="0.2">
      <c r="A834" s="40" t="s">
        <v>2817</v>
      </c>
      <c r="B834" s="40">
        <v>37</v>
      </c>
    </row>
    <row r="835" spans="1:2" x14ac:dyDescent="0.2">
      <c r="A835" s="40" t="s">
        <v>3371</v>
      </c>
      <c r="B835" s="40">
        <v>67</v>
      </c>
    </row>
    <row r="836" spans="1:2" x14ac:dyDescent="0.2">
      <c r="A836" s="40" t="s">
        <v>2803</v>
      </c>
      <c r="B836" s="40">
        <v>36</v>
      </c>
    </row>
    <row r="837" spans="1:2" x14ac:dyDescent="0.2">
      <c r="A837" s="40" t="s">
        <v>3489</v>
      </c>
      <c r="B837" s="40">
        <v>76</v>
      </c>
    </row>
    <row r="838" spans="1:2" x14ac:dyDescent="0.2">
      <c r="A838" s="40" t="s">
        <v>3253</v>
      </c>
      <c r="B838" s="40">
        <v>61</v>
      </c>
    </row>
    <row r="839" spans="1:2" x14ac:dyDescent="0.2">
      <c r="A839" s="40" t="s">
        <v>3059</v>
      </c>
      <c r="B839" s="40">
        <v>50</v>
      </c>
    </row>
    <row r="840" spans="1:2" x14ac:dyDescent="0.2">
      <c r="A840" s="40" t="s">
        <v>3295</v>
      </c>
      <c r="B840" s="40">
        <v>64</v>
      </c>
    </row>
    <row r="841" spans="1:2" x14ac:dyDescent="0.2">
      <c r="A841" s="40" t="s">
        <v>2591</v>
      </c>
      <c r="B841" s="40">
        <v>22</v>
      </c>
    </row>
    <row r="842" spans="1:2" x14ac:dyDescent="0.2">
      <c r="A842" s="40" t="s">
        <v>3372</v>
      </c>
      <c r="B842" s="40">
        <v>67</v>
      </c>
    </row>
    <row r="843" spans="1:2" x14ac:dyDescent="0.2">
      <c r="A843" s="40" t="s">
        <v>3060</v>
      </c>
      <c r="B843" s="40">
        <v>50</v>
      </c>
    </row>
    <row r="844" spans="1:2" x14ac:dyDescent="0.2">
      <c r="A844" s="40" t="s">
        <v>2508</v>
      </c>
      <c r="B844" s="40">
        <v>13</v>
      </c>
    </row>
    <row r="845" spans="1:2" x14ac:dyDescent="0.2">
      <c r="A845" s="40" t="s">
        <v>3490</v>
      </c>
      <c r="B845" s="40">
        <v>76</v>
      </c>
    </row>
    <row r="846" spans="1:2" x14ac:dyDescent="0.2">
      <c r="A846" s="40" t="s">
        <v>3263</v>
      </c>
      <c r="B846" s="40">
        <v>62</v>
      </c>
    </row>
    <row r="847" spans="1:2" x14ac:dyDescent="0.2">
      <c r="A847" s="40" t="s">
        <v>2957</v>
      </c>
      <c r="B847" s="40">
        <v>46</v>
      </c>
    </row>
    <row r="848" spans="1:2" x14ac:dyDescent="0.2">
      <c r="A848" s="40" t="s">
        <v>3264</v>
      </c>
      <c r="B848" s="40">
        <v>62</v>
      </c>
    </row>
    <row r="849" spans="1:2" x14ac:dyDescent="0.2">
      <c r="A849" s="40" t="s">
        <v>3265</v>
      </c>
      <c r="B849" s="40">
        <v>62</v>
      </c>
    </row>
    <row r="850" spans="1:2" x14ac:dyDescent="0.2">
      <c r="A850" s="40" t="s">
        <v>3543</v>
      </c>
      <c r="B850" s="40">
        <v>91</v>
      </c>
    </row>
    <row r="851" spans="1:2" x14ac:dyDescent="0.2">
      <c r="A851" s="40" t="s">
        <v>3543</v>
      </c>
      <c r="B851" s="40">
        <v>91</v>
      </c>
    </row>
    <row r="852" spans="1:2" x14ac:dyDescent="0.2">
      <c r="A852" s="40" t="s">
        <v>2434</v>
      </c>
      <c r="B852" s="40">
        <v>2</v>
      </c>
    </row>
    <row r="853" spans="1:2" x14ac:dyDescent="0.2">
      <c r="A853" s="40" t="s">
        <v>2910</v>
      </c>
      <c r="B853" s="40">
        <v>42</v>
      </c>
    </row>
    <row r="854" spans="1:2" x14ac:dyDescent="0.2">
      <c r="A854" s="40" t="s">
        <v>3531</v>
      </c>
      <c r="B854" s="40">
        <v>89</v>
      </c>
    </row>
    <row r="855" spans="1:2" x14ac:dyDescent="0.2">
      <c r="A855" s="40" t="s">
        <v>3254</v>
      </c>
      <c r="B855" s="40">
        <v>61</v>
      </c>
    </row>
    <row r="856" spans="1:2" x14ac:dyDescent="0.2">
      <c r="A856" s="40" t="s">
        <v>3278</v>
      </c>
      <c r="B856" s="40">
        <v>63</v>
      </c>
    </row>
    <row r="857" spans="1:2" x14ac:dyDescent="0.2">
      <c r="A857" s="40" t="s">
        <v>39</v>
      </c>
      <c r="B857" s="40">
        <v>78</v>
      </c>
    </row>
    <row r="858" spans="1:2" x14ac:dyDescent="0.2">
      <c r="A858" s="40" t="s">
        <v>2509</v>
      </c>
      <c r="B858" s="40">
        <v>13</v>
      </c>
    </row>
    <row r="859" spans="1:2" x14ac:dyDescent="0.2">
      <c r="A859" s="40" t="s">
        <v>2562</v>
      </c>
      <c r="B859" s="40">
        <v>18</v>
      </c>
    </row>
    <row r="860" spans="1:2" x14ac:dyDescent="0.2">
      <c r="A860" s="40" t="s">
        <v>3296</v>
      </c>
      <c r="B860" s="40">
        <v>64</v>
      </c>
    </row>
    <row r="861" spans="1:2" x14ac:dyDescent="0.2">
      <c r="A861" s="40" t="s">
        <v>3128</v>
      </c>
      <c r="B861" s="40">
        <v>52</v>
      </c>
    </row>
    <row r="862" spans="1:2" x14ac:dyDescent="0.2">
      <c r="A862" s="40" t="s">
        <v>3266</v>
      </c>
      <c r="B862" s="40">
        <v>62</v>
      </c>
    </row>
    <row r="863" spans="1:2" x14ac:dyDescent="0.2">
      <c r="A863" s="40" t="s">
        <v>3462</v>
      </c>
      <c r="B863" s="40">
        <v>74</v>
      </c>
    </row>
    <row r="864" spans="1:2" x14ac:dyDescent="0.2">
      <c r="A864" s="40" t="s">
        <v>3373</v>
      </c>
      <c r="B864" s="40">
        <v>67</v>
      </c>
    </row>
    <row r="865" spans="1:2" x14ac:dyDescent="0.2">
      <c r="A865" s="40" t="s">
        <v>2565</v>
      </c>
      <c r="B865" s="40">
        <v>19</v>
      </c>
    </row>
    <row r="866" spans="1:2" x14ac:dyDescent="0.2">
      <c r="A866" s="40" t="s">
        <v>2836</v>
      </c>
      <c r="B866" s="40">
        <v>38</v>
      </c>
    </row>
    <row r="867" spans="1:2" x14ac:dyDescent="0.2">
      <c r="A867" s="40" t="s">
        <v>2863</v>
      </c>
      <c r="B867" s="40">
        <v>39</v>
      </c>
    </row>
    <row r="868" spans="1:2" x14ac:dyDescent="0.2">
      <c r="A868" s="40" t="s">
        <v>2672</v>
      </c>
      <c r="B868" s="40">
        <v>26</v>
      </c>
    </row>
    <row r="869" spans="1:2" x14ac:dyDescent="0.2">
      <c r="A869" s="40" t="s">
        <v>2864</v>
      </c>
      <c r="B869" s="40">
        <v>39</v>
      </c>
    </row>
    <row r="870" spans="1:2" x14ac:dyDescent="0.2">
      <c r="A870" s="40" t="s">
        <v>2983</v>
      </c>
      <c r="B870" s="40">
        <v>47</v>
      </c>
    </row>
    <row r="871" spans="1:2" x14ac:dyDescent="0.2">
      <c r="A871" s="40" t="s">
        <v>2837</v>
      </c>
      <c r="B871" s="40">
        <v>38</v>
      </c>
    </row>
    <row r="872" spans="1:2" x14ac:dyDescent="0.2">
      <c r="A872" s="40" t="s">
        <v>2685</v>
      </c>
      <c r="B872" s="40">
        <v>28</v>
      </c>
    </row>
    <row r="873" spans="1:2" x14ac:dyDescent="0.2">
      <c r="A873" s="40" t="s">
        <v>3235</v>
      </c>
      <c r="B873" s="40">
        <v>60</v>
      </c>
    </row>
    <row r="874" spans="1:2" x14ac:dyDescent="0.2">
      <c r="A874" s="40" t="s">
        <v>3551</v>
      </c>
      <c r="B874" s="40">
        <v>92</v>
      </c>
    </row>
    <row r="875" spans="1:2" x14ac:dyDescent="0.2">
      <c r="A875" s="40" t="s">
        <v>2445</v>
      </c>
      <c r="B875" s="40">
        <v>3</v>
      </c>
    </row>
    <row r="876" spans="1:2" x14ac:dyDescent="0.2">
      <c r="A876" s="40" t="s">
        <v>2698</v>
      </c>
      <c r="B876" s="40">
        <v>29</v>
      </c>
    </row>
    <row r="877" spans="1:2" x14ac:dyDescent="0.2">
      <c r="A877" s="40" t="s">
        <v>3311</v>
      </c>
      <c r="B877" s="40">
        <v>65</v>
      </c>
    </row>
    <row r="878" spans="1:2" x14ac:dyDescent="0.2">
      <c r="A878" s="40" t="s">
        <v>3104</v>
      </c>
      <c r="B878" s="40">
        <v>51</v>
      </c>
    </row>
    <row r="879" spans="1:2" x14ac:dyDescent="0.2">
      <c r="A879" s="40" t="s">
        <v>3354</v>
      </c>
      <c r="B879" s="40">
        <v>66</v>
      </c>
    </row>
    <row r="880" spans="1:2" x14ac:dyDescent="0.2">
      <c r="A880" s="40" t="s">
        <v>3411</v>
      </c>
      <c r="B880" s="40">
        <v>70</v>
      </c>
    </row>
    <row r="881" spans="1:2" x14ac:dyDescent="0.2">
      <c r="A881" s="40" t="s">
        <v>2728</v>
      </c>
      <c r="B881" s="40">
        <v>32</v>
      </c>
    </row>
    <row r="882" spans="1:2" x14ac:dyDescent="0.2">
      <c r="A882" s="40" t="s">
        <v>2487</v>
      </c>
      <c r="B882" s="40">
        <v>10</v>
      </c>
    </row>
    <row r="883" spans="1:2" x14ac:dyDescent="0.2">
      <c r="A883" s="40" t="s">
        <v>2729</v>
      </c>
      <c r="B883" s="40">
        <v>32</v>
      </c>
    </row>
    <row r="884" spans="1:2" x14ac:dyDescent="0.2">
      <c r="A884" s="40" t="s">
        <v>3129</v>
      </c>
      <c r="B884" s="40">
        <v>52</v>
      </c>
    </row>
    <row r="885" spans="1:2" x14ac:dyDescent="0.2">
      <c r="A885" s="40" t="s">
        <v>3255</v>
      </c>
      <c r="B885" s="40">
        <v>61</v>
      </c>
    </row>
    <row r="886" spans="1:2" x14ac:dyDescent="0.2">
      <c r="A886" s="40" t="s">
        <v>2804</v>
      </c>
      <c r="B886" s="40">
        <v>36</v>
      </c>
    </row>
    <row r="887" spans="1:2" x14ac:dyDescent="0.2">
      <c r="A887" s="40" t="s">
        <v>3441</v>
      </c>
      <c r="B887" s="40">
        <v>73</v>
      </c>
    </row>
    <row r="888" spans="1:2" x14ac:dyDescent="0.2">
      <c r="A888" s="40" t="s">
        <v>2771</v>
      </c>
      <c r="B888" s="40">
        <v>34</v>
      </c>
    </row>
    <row r="889" spans="1:2" x14ac:dyDescent="0.2">
      <c r="A889" s="40" t="s">
        <v>3130</v>
      </c>
      <c r="B889" s="40">
        <v>52</v>
      </c>
    </row>
    <row r="890" spans="1:2" x14ac:dyDescent="0.2">
      <c r="A890" s="40" t="s">
        <v>3061</v>
      </c>
      <c r="B890" s="40">
        <v>50</v>
      </c>
    </row>
    <row r="891" spans="1:2" x14ac:dyDescent="0.2">
      <c r="A891" s="40" t="s">
        <v>3062</v>
      </c>
      <c r="B891" s="40">
        <v>50</v>
      </c>
    </row>
    <row r="892" spans="1:2" x14ac:dyDescent="0.2">
      <c r="A892" s="40" t="s">
        <v>3193</v>
      </c>
      <c r="B892" s="40">
        <v>58</v>
      </c>
    </row>
    <row r="893" spans="1:2" x14ac:dyDescent="0.2">
      <c r="A893" s="40" t="s">
        <v>3355</v>
      </c>
      <c r="B893" s="40">
        <v>66</v>
      </c>
    </row>
    <row r="894" spans="1:2" x14ac:dyDescent="0.2">
      <c r="A894" s="40" t="s">
        <v>3063</v>
      </c>
      <c r="B894" s="40">
        <v>50</v>
      </c>
    </row>
    <row r="895" spans="1:2" x14ac:dyDescent="0.2">
      <c r="A895" s="40" t="s">
        <v>2984</v>
      </c>
      <c r="B895" s="40">
        <v>47</v>
      </c>
    </row>
    <row r="896" spans="1:2" x14ac:dyDescent="0.2">
      <c r="A896" s="40" t="s">
        <v>3503</v>
      </c>
      <c r="B896" s="40">
        <v>78</v>
      </c>
    </row>
    <row r="897" spans="1:2" x14ac:dyDescent="0.2">
      <c r="A897" s="40" t="s">
        <v>2435</v>
      </c>
      <c r="B897" s="40">
        <v>2</v>
      </c>
    </row>
    <row r="898" spans="1:2" x14ac:dyDescent="0.2">
      <c r="A898" s="40" t="s">
        <v>3463</v>
      </c>
      <c r="B898" s="40">
        <v>74</v>
      </c>
    </row>
    <row r="899" spans="1:2" x14ac:dyDescent="0.2">
      <c r="A899" s="40" t="s">
        <v>3544</v>
      </c>
      <c r="B899" s="40">
        <v>91</v>
      </c>
    </row>
    <row r="900" spans="1:2" x14ac:dyDescent="0.2">
      <c r="A900" s="40" t="s">
        <v>2686</v>
      </c>
      <c r="B900" s="40">
        <v>28</v>
      </c>
    </row>
    <row r="901" spans="1:2" x14ac:dyDescent="0.2">
      <c r="A901" s="40" t="s">
        <v>3267</v>
      </c>
      <c r="B901" s="40">
        <v>62</v>
      </c>
    </row>
    <row r="902" spans="1:2" x14ac:dyDescent="0.2">
      <c r="A902" s="40" t="s">
        <v>2592</v>
      </c>
      <c r="B902" s="40">
        <v>22</v>
      </c>
    </row>
    <row r="903" spans="1:2" x14ac:dyDescent="0.2">
      <c r="A903" s="40" t="s">
        <v>2865</v>
      </c>
      <c r="B903" s="40">
        <v>39</v>
      </c>
    </row>
    <row r="904" spans="1:2" ht="25.5" x14ac:dyDescent="0.2">
      <c r="A904" s="40" t="s">
        <v>2612</v>
      </c>
      <c r="B904" s="40">
        <v>23</v>
      </c>
    </row>
    <row r="905" spans="1:2" x14ac:dyDescent="0.2">
      <c r="A905" s="40" t="s">
        <v>2985</v>
      </c>
      <c r="B905" s="40">
        <v>47</v>
      </c>
    </row>
    <row r="906" spans="1:2" x14ac:dyDescent="0.2">
      <c r="A906" s="40" t="s">
        <v>2927</v>
      </c>
      <c r="B906" s="40">
        <v>43</v>
      </c>
    </row>
    <row r="907" spans="1:2" x14ac:dyDescent="0.2">
      <c r="A907" s="40" t="s">
        <v>2838</v>
      </c>
      <c r="B907" s="40">
        <v>38</v>
      </c>
    </row>
    <row r="908" spans="1:2" x14ac:dyDescent="0.2">
      <c r="A908" s="40" t="s">
        <v>3374</v>
      </c>
      <c r="B908" s="40">
        <v>67</v>
      </c>
    </row>
    <row r="909" spans="1:2" x14ac:dyDescent="0.2">
      <c r="A909" s="40" t="s">
        <v>3064</v>
      </c>
      <c r="B909" s="40">
        <v>50</v>
      </c>
    </row>
    <row r="910" spans="1:2" x14ac:dyDescent="0.2">
      <c r="A910" s="40" t="s">
        <v>3464</v>
      </c>
      <c r="B910" s="40">
        <v>74</v>
      </c>
    </row>
    <row r="911" spans="1:2" x14ac:dyDescent="0.2">
      <c r="A911" s="40" t="s">
        <v>3105</v>
      </c>
      <c r="B911" s="40">
        <v>51</v>
      </c>
    </row>
    <row r="912" spans="1:2" x14ac:dyDescent="0.2">
      <c r="A912" s="40" t="s">
        <v>2752</v>
      </c>
      <c r="B912" s="40">
        <v>33</v>
      </c>
    </row>
    <row r="913" spans="1:2" x14ac:dyDescent="0.2">
      <c r="A913" s="40" t="s">
        <v>2866</v>
      </c>
      <c r="B913" s="40">
        <v>39</v>
      </c>
    </row>
    <row r="914" spans="1:2" x14ac:dyDescent="0.2">
      <c r="A914" s="40" t="s">
        <v>2866</v>
      </c>
      <c r="B914" s="40">
        <v>43</v>
      </c>
    </row>
    <row r="915" spans="1:2" x14ac:dyDescent="0.2">
      <c r="A915" s="40" t="s">
        <v>2866</v>
      </c>
      <c r="B915" s="40">
        <v>71</v>
      </c>
    </row>
    <row r="916" spans="1:2" x14ac:dyDescent="0.2">
      <c r="A916" s="40" t="s">
        <v>2679</v>
      </c>
      <c r="B916" s="40">
        <v>27</v>
      </c>
    </row>
    <row r="917" spans="1:2" x14ac:dyDescent="0.2">
      <c r="A917" s="40" t="s">
        <v>3517</v>
      </c>
      <c r="B917" s="40">
        <v>86</v>
      </c>
    </row>
    <row r="918" spans="1:2" x14ac:dyDescent="0.2">
      <c r="A918" s="40" t="s">
        <v>2785</v>
      </c>
      <c r="B918" s="40">
        <v>35</v>
      </c>
    </row>
    <row r="919" spans="1:2" x14ac:dyDescent="0.2">
      <c r="A919" s="40" t="s">
        <v>2940</v>
      </c>
      <c r="B919" s="40">
        <v>44</v>
      </c>
    </row>
    <row r="920" spans="1:2" x14ac:dyDescent="0.2">
      <c r="A920" s="40" t="s">
        <v>3214</v>
      </c>
      <c r="B920" s="40">
        <v>59</v>
      </c>
    </row>
    <row r="921" spans="1:2" x14ac:dyDescent="0.2">
      <c r="A921" s="40" t="s">
        <v>3065</v>
      </c>
      <c r="B921" s="40">
        <v>50</v>
      </c>
    </row>
    <row r="922" spans="1:2" x14ac:dyDescent="0.2">
      <c r="A922" s="40" t="s">
        <v>3066</v>
      </c>
      <c r="B922" s="40">
        <v>50</v>
      </c>
    </row>
    <row r="923" spans="1:2" x14ac:dyDescent="0.2">
      <c r="A923" s="40" t="s">
        <v>3067</v>
      </c>
      <c r="B923" s="40">
        <v>50</v>
      </c>
    </row>
    <row r="924" spans="1:2" x14ac:dyDescent="0.2">
      <c r="A924" s="40" t="s">
        <v>3068</v>
      </c>
      <c r="B924" s="40">
        <v>50</v>
      </c>
    </row>
    <row r="925" spans="1:2" x14ac:dyDescent="0.2">
      <c r="A925" s="40" t="s">
        <v>3069</v>
      </c>
      <c r="B925" s="40">
        <v>50</v>
      </c>
    </row>
    <row r="926" spans="1:2" x14ac:dyDescent="0.2">
      <c r="A926" s="40" t="s">
        <v>2699</v>
      </c>
      <c r="B926" s="40">
        <v>29</v>
      </c>
    </row>
    <row r="927" spans="1:2" x14ac:dyDescent="0.2">
      <c r="A927" s="40" t="s">
        <v>3175</v>
      </c>
      <c r="B927" s="40">
        <v>56</v>
      </c>
    </row>
    <row r="928" spans="1:2" x14ac:dyDescent="0.2">
      <c r="A928" s="40" t="s">
        <v>3140</v>
      </c>
      <c r="B928" s="40">
        <v>53</v>
      </c>
    </row>
    <row r="929" spans="1:2" x14ac:dyDescent="0.2">
      <c r="A929" s="40" t="s">
        <v>3141</v>
      </c>
      <c r="B929" s="40">
        <v>53</v>
      </c>
    </row>
    <row r="930" spans="1:2" x14ac:dyDescent="0.2">
      <c r="A930" s="40" t="s">
        <v>3176</v>
      </c>
      <c r="B930" s="40">
        <v>56</v>
      </c>
    </row>
    <row r="931" spans="1:2" x14ac:dyDescent="0.2">
      <c r="A931" s="40" t="s">
        <v>2566</v>
      </c>
      <c r="B931" s="40">
        <v>19</v>
      </c>
    </row>
    <row r="932" spans="1:2" x14ac:dyDescent="0.2">
      <c r="A932" s="40" t="s">
        <v>2488</v>
      </c>
      <c r="B932" s="40">
        <v>10</v>
      </c>
    </row>
    <row r="933" spans="1:2" x14ac:dyDescent="0.2">
      <c r="A933" s="40" t="s">
        <v>2886</v>
      </c>
      <c r="B933" s="40">
        <v>40</v>
      </c>
    </row>
    <row r="934" spans="1:2" x14ac:dyDescent="0.2">
      <c r="A934" s="40" t="s">
        <v>2928</v>
      </c>
      <c r="B934" s="40">
        <v>43</v>
      </c>
    </row>
    <row r="935" spans="1:2" x14ac:dyDescent="0.2">
      <c r="A935" s="40" t="s">
        <v>2639</v>
      </c>
      <c r="B935" s="40">
        <v>24</v>
      </c>
    </row>
    <row r="936" spans="1:2" x14ac:dyDescent="0.2">
      <c r="A936" s="40" t="s">
        <v>2986</v>
      </c>
      <c r="B936" s="40">
        <v>47</v>
      </c>
    </row>
    <row r="937" spans="1:2" x14ac:dyDescent="0.2">
      <c r="A937" s="40" t="s">
        <v>2496</v>
      </c>
      <c r="B937" s="40">
        <v>11</v>
      </c>
    </row>
    <row r="938" spans="1:2" x14ac:dyDescent="0.2">
      <c r="A938" s="40" t="s">
        <v>2613</v>
      </c>
      <c r="B938" s="40">
        <v>23</v>
      </c>
    </row>
    <row r="939" spans="1:2" x14ac:dyDescent="0.2">
      <c r="A939" s="40" t="s">
        <v>2887</v>
      </c>
      <c r="B939" s="40">
        <v>40</v>
      </c>
    </row>
    <row r="940" spans="1:2" x14ac:dyDescent="0.2">
      <c r="A940" s="40" t="s">
        <v>3268</v>
      </c>
      <c r="B940" s="40">
        <v>62</v>
      </c>
    </row>
    <row r="941" spans="1:2" x14ac:dyDescent="0.2">
      <c r="A941" s="40" t="s">
        <v>3194</v>
      </c>
      <c r="B941" s="40">
        <v>58</v>
      </c>
    </row>
    <row r="942" spans="1:2" x14ac:dyDescent="0.2">
      <c r="A942" s="40" t="s">
        <v>2652</v>
      </c>
      <c r="B942" s="40">
        <v>25</v>
      </c>
    </row>
    <row r="943" spans="1:2" x14ac:dyDescent="0.2">
      <c r="A943" s="40" t="s">
        <v>3269</v>
      </c>
      <c r="B943" s="40">
        <v>62</v>
      </c>
    </row>
    <row r="944" spans="1:2" x14ac:dyDescent="0.2">
      <c r="A944" s="40" t="s">
        <v>2520</v>
      </c>
      <c r="B944" s="40">
        <v>14</v>
      </c>
    </row>
    <row r="945" spans="1:2" x14ac:dyDescent="0.2">
      <c r="A945" s="40" t="s">
        <v>3356</v>
      </c>
      <c r="B945" s="40">
        <v>66</v>
      </c>
    </row>
    <row r="946" spans="1:2" x14ac:dyDescent="0.2">
      <c r="A946" s="40" t="s">
        <v>3479</v>
      </c>
      <c r="B946" s="40">
        <v>75</v>
      </c>
    </row>
    <row r="947" spans="1:2" x14ac:dyDescent="0.2">
      <c r="A947" s="40" t="s">
        <v>2673</v>
      </c>
      <c r="B947" s="40">
        <v>26</v>
      </c>
    </row>
    <row r="948" spans="1:2" x14ac:dyDescent="0.2">
      <c r="A948" s="40" t="s">
        <v>3070</v>
      </c>
      <c r="B948" s="40">
        <v>50</v>
      </c>
    </row>
    <row r="949" spans="1:2" x14ac:dyDescent="0.2">
      <c r="A949" s="40" t="s">
        <v>3142</v>
      </c>
      <c r="B949" s="40">
        <v>53</v>
      </c>
    </row>
    <row r="950" spans="1:2" x14ac:dyDescent="0.2">
      <c r="A950" s="40" t="s">
        <v>3403</v>
      </c>
      <c r="B950" s="40">
        <v>69</v>
      </c>
    </row>
    <row r="951" spans="1:2" x14ac:dyDescent="0.2">
      <c r="A951" s="40" t="s">
        <v>2730</v>
      </c>
      <c r="B951" s="40">
        <v>32</v>
      </c>
    </row>
    <row r="952" spans="1:2" x14ac:dyDescent="0.2">
      <c r="A952" s="40" t="s">
        <v>3545</v>
      </c>
      <c r="B952" s="40">
        <v>91</v>
      </c>
    </row>
    <row r="953" spans="1:2" x14ac:dyDescent="0.2">
      <c r="A953" s="40" t="s">
        <v>2716</v>
      </c>
      <c r="B953" s="40">
        <v>31</v>
      </c>
    </row>
    <row r="954" spans="1:2" x14ac:dyDescent="0.2">
      <c r="A954" s="40" t="s">
        <v>2436</v>
      </c>
      <c r="B954" s="40">
        <v>2</v>
      </c>
    </row>
    <row r="955" spans="1:2" x14ac:dyDescent="0.2">
      <c r="A955" s="40" t="s">
        <v>3412</v>
      </c>
      <c r="B955" s="40">
        <v>70</v>
      </c>
    </row>
    <row r="956" spans="1:2" x14ac:dyDescent="0.2">
      <c r="A956" s="40" t="s">
        <v>2717</v>
      </c>
      <c r="B956" s="40">
        <v>31</v>
      </c>
    </row>
    <row r="957" spans="1:2" x14ac:dyDescent="0.2">
      <c r="A957" s="40" t="s">
        <v>2753</v>
      </c>
      <c r="B957" s="40">
        <v>33</v>
      </c>
    </row>
    <row r="958" spans="1:2" x14ac:dyDescent="0.2">
      <c r="A958" s="40" t="s">
        <v>3071</v>
      </c>
      <c r="B958" s="40">
        <v>50</v>
      </c>
    </row>
    <row r="959" spans="1:2" x14ac:dyDescent="0.2">
      <c r="A959" s="40" t="s">
        <v>3426</v>
      </c>
      <c r="B959" s="40">
        <v>71</v>
      </c>
    </row>
    <row r="960" spans="1:2" x14ac:dyDescent="0.2">
      <c r="A960" s="40" t="s">
        <v>3546</v>
      </c>
      <c r="B960" s="40">
        <v>91</v>
      </c>
    </row>
    <row r="961" spans="1:2" x14ac:dyDescent="0.2">
      <c r="A961" s="40" t="s">
        <v>2958</v>
      </c>
      <c r="B961" s="40">
        <v>46</v>
      </c>
    </row>
    <row r="962" spans="1:2" x14ac:dyDescent="0.2">
      <c r="A962" s="40" t="s">
        <v>2754</v>
      </c>
      <c r="B962" s="40">
        <v>33</v>
      </c>
    </row>
    <row r="963" spans="1:2" x14ac:dyDescent="0.2">
      <c r="A963" s="40" t="s">
        <v>2755</v>
      </c>
      <c r="B963" s="40">
        <v>33</v>
      </c>
    </row>
    <row r="964" spans="1:2" x14ac:dyDescent="0.2">
      <c r="A964" s="40" t="s">
        <v>2489</v>
      </c>
      <c r="B964" s="40">
        <v>10</v>
      </c>
    </row>
    <row r="965" spans="1:2" x14ac:dyDescent="0.2">
      <c r="A965" s="40" t="s">
        <v>2731</v>
      </c>
      <c r="B965" s="40">
        <v>32</v>
      </c>
    </row>
    <row r="966" spans="1:2" x14ac:dyDescent="0.2">
      <c r="A966" s="40" t="s">
        <v>3518</v>
      </c>
      <c r="B966" s="40">
        <v>86</v>
      </c>
    </row>
    <row r="967" spans="1:2" x14ac:dyDescent="0.2">
      <c r="A967" s="40" t="s">
        <v>2772</v>
      </c>
      <c r="B967" s="40">
        <v>34</v>
      </c>
    </row>
    <row r="968" spans="1:2" x14ac:dyDescent="0.2">
      <c r="A968" s="40" t="s">
        <v>3195</v>
      </c>
      <c r="B968" s="40">
        <v>58</v>
      </c>
    </row>
    <row r="969" spans="1:2" x14ac:dyDescent="0.2">
      <c r="A969" s="40" t="s">
        <v>3000</v>
      </c>
      <c r="B969" s="40">
        <v>49</v>
      </c>
    </row>
    <row r="970" spans="1:2" x14ac:dyDescent="0.2">
      <c r="A970" s="40" t="s">
        <v>2888</v>
      </c>
      <c r="B970" s="40">
        <v>40</v>
      </c>
    </row>
    <row r="971" spans="1:2" x14ac:dyDescent="0.2">
      <c r="A971" s="40" t="s">
        <v>3357</v>
      </c>
      <c r="B971" s="40">
        <v>66</v>
      </c>
    </row>
    <row r="972" spans="1:2" x14ac:dyDescent="0.2">
      <c r="A972" s="40" t="s">
        <v>3279</v>
      </c>
      <c r="B972" s="40">
        <v>63</v>
      </c>
    </row>
    <row r="973" spans="1:2" x14ac:dyDescent="0.2">
      <c r="A973" s="40" t="s">
        <v>2497</v>
      </c>
      <c r="B973" s="40">
        <v>11</v>
      </c>
    </row>
    <row r="974" spans="1:2" x14ac:dyDescent="0.2">
      <c r="A974" s="40" t="s">
        <v>3358</v>
      </c>
      <c r="B974" s="40">
        <v>66</v>
      </c>
    </row>
    <row r="975" spans="1:2" x14ac:dyDescent="0.2">
      <c r="A975" s="40" t="s">
        <v>3375</v>
      </c>
      <c r="B975" s="40">
        <v>67</v>
      </c>
    </row>
    <row r="976" spans="1:2" x14ac:dyDescent="0.2">
      <c r="A976" s="40" t="s">
        <v>2987</v>
      </c>
      <c r="B976" s="40">
        <v>47</v>
      </c>
    </row>
    <row r="977" spans="1:2" x14ac:dyDescent="0.2">
      <c r="A977" s="40" t="s">
        <v>3359</v>
      </c>
      <c r="B977" s="40">
        <v>66</v>
      </c>
    </row>
    <row r="978" spans="1:2" x14ac:dyDescent="0.2">
      <c r="A978" s="40" t="s">
        <v>3256</v>
      </c>
      <c r="B978" s="40">
        <v>61</v>
      </c>
    </row>
    <row r="979" spans="1:2" x14ac:dyDescent="0.2">
      <c r="A979" s="40" t="s">
        <v>2911</v>
      </c>
      <c r="B979" s="40">
        <v>42</v>
      </c>
    </row>
    <row r="980" spans="1:2" x14ac:dyDescent="0.2">
      <c r="A980" s="40" t="s">
        <v>2839</v>
      </c>
      <c r="B980" s="40">
        <v>38</v>
      </c>
    </row>
    <row r="981" spans="1:2" x14ac:dyDescent="0.2">
      <c r="A981" s="40" t="s">
        <v>3072</v>
      </c>
      <c r="B981" s="40">
        <v>50</v>
      </c>
    </row>
    <row r="982" spans="1:2" x14ac:dyDescent="0.2">
      <c r="A982" s="40" t="s">
        <v>3360</v>
      </c>
      <c r="B982" s="40">
        <v>66</v>
      </c>
    </row>
    <row r="983" spans="1:2" x14ac:dyDescent="0.2">
      <c r="A983" s="40" t="s">
        <v>3383</v>
      </c>
      <c r="B983" s="40">
        <v>68</v>
      </c>
    </row>
    <row r="984" spans="1:2" x14ac:dyDescent="0.2">
      <c r="A984" s="40" t="s">
        <v>3164</v>
      </c>
      <c r="B984" s="40">
        <v>55</v>
      </c>
    </row>
    <row r="985" spans="1:2" x14ac:dyDescent="0.2">
      <c r="A985" s="40" t="s">
        <v>3532</v>
      </c>
      <c r="B985" s="40">
        <v>89</v>
      </c>
    </row>
    <row r="986" spans="1:2" x14ac:dyDescent="0.2">
      <c r="A986" s="40" t="s">
        <v>2889</v>
      </c>
      <c r="B986" s="40">
        <v>40</v>
      </c>
    </row>
    <row r="987" spans="1:2" x14ac:dyDescent="0.2">
      <c r="A987" s="40" t="s">
        <v>3155</v>
      </c>
      <c r="B987" s="40">
        <v>54</v>
      </c>
    </row>
    <row r="988" spans="1:2" x14ac:dyDescent="0.2">
      <c r="A988" s="40" t="s">
        <v>2912</v>
      </c>
      <c r="B988" s="40">
        <v>42</v>
      </c>
    </row>
    <row r="989" spans="1:2" x14ac:dyDescent="0.2">
      <c r="A989" s="40" t="s">
        <v>3404</v>
      </c>
      <c r="B989" s="40">
        <v>69</v>
      </c>
    </row>
    <row r="990" spans="1:2" x14ac:dyDescent="0.2">
      <c r="A990" s="40" t="s">
        <v>2474</v>
      </c>
      <c r="B990" s="40">
        <v>9</v>
      </c>
    </row>
    <row r="991" spans="1:2" x14ac:dyDescent="0.2">
      <c r="A991" s="40" t="s">
        <v>2818</v>
      </c>
      <c r="B991" s="40">
        <v>37</v>
      </c>
    </row>
    <row r="992" spans="1:2" x14ac:dyDescent="0.2">
      <c r="A992" s="40" t="s">
        <v>2510</v>
      </c>
      <c r="B992" s="40">
        <v>13</v>
      </c>
    </row>
    <row r="993" spans="1:2" x14ac:dyDescent="0.2">
      <c r="A993" s="40" t="s">
        <v>2614</v>
      </c>
      <c r="B993" s="40">
        <v>23</v>
      </c>
    </row>
    <row r="994" spans="1:2" x14ac:dyDescent="0.2">
      <c r="A994" s="40" t="s">
        <v>2467</v>
      </c>
      <c r="B994" s="40">
        <v>7</v>
      </c>
    </row>
    <row r="995" spans="1:2" x14ac:dyDescent="0.2">
      <c r="A995" s="40" t="s">
        <v>2550</v>
      </c>
      <c r="B995" s="40">
        <v>16</v>
      </c>
    </row>
    <row r="996" spans="1:2" x14ac:dyDescent="0.2">
      <c r="A996" s="40" t="s">
        <v>2615</v>
      </c>
      <c r="B996" s="40">
        <v>23</v>
      </c>
    </row>
    <row r="997" spans="1:2" x14ac:dyDescent="0.2">
      <c r="A997" s="40" t="s">
        <v>2988</v>
      </c>
      <c r="B997" s="40">
        <v>47</v>
      </c>
    </row>
    <row r="998" spans="1:2" x14ac:dyDescent="0.2">
      <c r="A998" s="40" t="s">
        <v>2616</v>
      </c>
      <c r="B998" s="40">
        <v>23</v>
      </c>
    </row>
    <row r="999" spans="1:2" x14ac:dyDescent="0.2">
      <c r="A999" s="40" t="s">
        <v>3434</v>
      </c>
      <c r="B999" s="40">
        <v>72</v>
      </c>
    </row>
    <row r="1000" spans="1:2" x14ac:dyDescent="0.2">
      <c r="A1000" s="40" t="s">
        <v>3156</v>
      </c>
      <c r="B1000" s="40">
        <v>54</v>
      </c>
    </row>
    <row r="1001" spans="1:2" x14ac:dyDescent="0.2">
      <c r="A1001" s="40" t="s">
        <v>3280</v>
      </c>
      <c r="B1001" s="40">
        <v>63</v>
      </c>
    </row>
    <row r="1002" spans="1:2" x14ac:dyDescent="0.2">
      <c r="A1002" s="40" t="s">
        <v>3312</v>
      </c>
      <c r="B1002" s="40">
        <v>65</v>
      </c>
    </row>
    <row r="1003" spans="1:2" x14ac:dyDescent="0.2">
      <c r="A1003" s="40" t="s">
        <v>2521</v>
      </c>
      <c r="B1003" s="40">
        <v>14</v>
      </c>
    </row>
    <row r="1004" spans="1:2" x14ac:dyDescent="0.2">
      <c r="A1004" s="40" t="s">
        <v>3413</v>
      </c>
      <c r="B1004" s="40">
        <v>70</v>
      </c>
    </row>
    <row r="1005" spans="1:2" x14ac:dyDescent="0.2">
      <c r="A1005" s="40" t="s">
        <v>2913</v>
      </c>
      <c r="B1005" s="40">
        <v>42</v>
      </c>
    </row>
    <row r="1006" spans="1:2" x14ac:dyDescent="0.2">
      <c r="A1006" s="40" t="s">
        <v>3405</v>
      </c>
      <c r="B1006" s="40">
        <v>69</v>
      </c>
    </row>
    <row r="1007" spans="1:2" x14ac:dyDescent="0.2">
      <c r="A1007" s="40" t="s">
        <v>3406</v>
      </c>
      <c r="B1007" s="40">
        <v>69</v>
      </c>
    </row>
    <row r="1008" spans="1:2" x14ac:dyDescent="0.2">
      <c r="A1008" s="40" t="s">
        <v>2989</v>
      </c>
      <c r="B1008" s="40">
        <v>47</v>
      </c>
    </row>
    <row r="1009" spans="1:2" x14ac:dyDescent="0.2">
      <c r="A1009" s="40" t="s">
        <v>2786</v>
      </c>
      <c r="B1009" s="40">
        <v>35</v>
      </c>
    </row>
    <row r="1010" spans="1:2" x14ac:dyDescent="0.2">
      <c r="A1010" s="40" t="s">
        <v>3465</v>
      </c>
      <c r="B1010" s="40">
        <v>74</v>
      </c>
    </row>
    <row r="1011" spans="1:2" x14ac:dyDescent="0.2">
      <c r="A1011" s="40" t="s">
        <v>3466</v>
      </c>
      <c r="B1011" s="40">
        <v>74</v>
      </c>
    </row>
    <row r="1012" spans="1:2" x14ac:dyDescent="0.2">
      <c r="A1012" s="40" t="s">
        <v>3467</v>
      </c>
      <c r="B1012" s="40">
        <v>74</v>
      </c>
    </row>
    <row r="1013" spans="1:2" x14ac:dyDescent="0.2">
      <c r="A1013" s="40" t="s">
        <v>3467</v>
      </c>
      <c r="B1013" s="40">
        <v>77</v>
      </c>
    </row>
    <row r="1014" spans="1:2" x14ac:dyDescent="0.2">
      <c r="A1014" s="40" t="s">
        <v>2732</v>
      </c>
      <c r="B1014" s="40">
        <v>32</v>
      </c>
    </row>
    <row r="1015" spans="1:2" x14ac:dyDescent="0.2">
      <c r="A1015" s="40" t="s">
        <v>2617</v>
      </c>
      <c r="B1015" s="40">
        <v>23</v>
      </c>
    </row>
    <row r="1016" spans="1:2" x14ac:dyDescent="0.2">
      <c r="A1016" s="40" t="s">
        <v>2437</v>
      </c>
      <c r="B1016" s="40">
        <v>2</v>
      </c>
    </row>
    <row r="1017" spans="1:2" x14ac:dyDescent="0.2">
      <c r="A1017" s="40" t="s">
        <v>3427</v>
      </c>
      <c r="B1017" s="40">
        <v>71</v>
      </c>
    </row>
    <row r="1018" spans="1:2" x14ac:dyDescent="0.2">
      <c r="A1018" s="40" t="s">
        <v>2840</v>
      </c>
      <c r="B1018" s="40">
        <v>38</v>
      </c>
    </row>
    <row r="1019" spans="1:2" x14ac:dyDescent="0.2">
      <c r="A1019" s="40" t="s">
        <v>2554</v>
      </c>
      <c r="B1019" s="40">
        <v>17</v>
      </c>
    </row>
    <row r="1020" spans="1:2" x14ac:dyDescent="0.2">
      <c r="A1020" s="40" t="s">
        <v>3361</v>
      </c>
      <c r="B1020" s="40">
        <v>66</v>
      </c>
    </row>
    <row r="1021" spans="1:2" x14ac:dyDescent="0.2">
      <c r="A1021" s="40" t="s">
        <v>3491</v>
      </c>
      <c r="B1021" s="40">
        <v>76</v>
      </c>
    </row>
    <row r="1022" spans="1:2" x14ac:dyDescent="0.2">
      <c r="A1022" s="40" t="s">
        <v>2687</v>
      </c>
      <c r="B1022" s="40">
        <v>28</v>
      </c>
    </row>
    <row r="1023" spans="1:2" x14ac:dyDescent="0.2">
      <c r="A1023" s="40" t="s">
        <v>2468</v>
      </c>
      <c r="B1023" s="40">
        <v>7</v>
      </c>
    </row>
    <row r="1024" spans="1:2" x14ac:dyDescent="0.2">
      <c r="A1024" s="40" t="s">
        <v>3165</v>
      </c>
      <c r="B1024" s="40">
        <v>55</v>
      </c>
    </row>
    <row r="1025" spans="1:2" x14ac:dyDescent="0.2">
      <c r="A1025" s="40" t="s">
        <v>3435</v>
      </c>
      <c r="B1025" s="40">
        <v>72</v>
      </c>
    </row>
    <row r="1026" spans="1:2" x14ac:dyDescent="0.2">
      <c r="A1026" s="40" t="s">
        <v>3384</v>
      </c>
      <c r="B1026" s="40">
        <v>68</v>
      </c>
    </row>
    <row r="1027" spans="1:2" x14ac:dyDescent="0.2">
      <c r="A1027" s="40" t="s">
        <v>3313</v>
      </c>
      <c r="B1027" s="40">
        <v>65</v>
      </c>
    </row>
    <row r="1028" spans="1:2" x14ac:dyDescent="0.2">
      <c r="A1028" s="40" t="s">
        <v>3492</v>
      </c>
      <c r="B1028" s="40">
        <v>76</v>
      </c>
    </row>
    <row r="1029" spans="1:2" x14ac:dyDescent="0.2">
      <c r="A1029" s="40" t="s">
        <v>2522</v>
      </c>
      <c r="B1029" s="40">
        <v>14</v>
      </c>
    </row>
    <row r="1030" spans="1:2" x14ac:dyDescent="0.2">
      <c r="A1030" s="40" t="s">
        <v>3407</v>
      </c>
      <c r="B1030" s="40">
        <v>69</v>
      </c>
    </row>
    <row r="1031" spans="1:2" x14ac:dyDescent="0.2">
      <c r="A1031" s="40" t="s">
        <v>2640</v>
      </c>
      <c r="B1031" s="40">
        <v>24</v>
      </c>
    </row>
    <row r="1032" spans="1:2" x14ac:dyDescent="0.2">
      <c r="A1032" s="40" t="s">
        <v>3428</v>
      </c>
      <c r="B1032" s="40">
        <v>71</v>
      </c>
    </row>
    <row r="1033" spans="1:2" x14ac:dyDescent="0.2">
      <c r="A1033" s="40" t="s">
        <v>2446</v>
      </c>
      <c r="B1033" s="40">
        <v>3</v>
      </c>
    </row>
    <row r="1034" spans="1:2" x14ac:dyDescent="0.2">
      <c r="A1034" s="40" t="s">
        <v>3442</v>
      </c>
      <c r="B1034" s="40">
        <v>73</v>
      </c>
    </row>
    <row r="1035" spans="1:2" x14ac:dyDescent="0.2">
      <c r="A1035" s="40" t="s">
        <v>2733</v>
      </c>
      <c r="B1035" s="40">
        <v>32</v>
      </c>
    </row>
    <row r="1036" spans="1:2" x14ac:dyDescent="0.2">
      <c r="A1036" s="40" t="s">
        <v>3519</v>
      </c>
      <c r="B1036" s="40">
        <v>86</v>
      </c>
    </row>
    <row r="1037" spans="1:2" x14ac:dyDescent="0.2">
      <c r="A1037" s="40" t="s">
        <v>3131</v>
      </c>
      <c r="B1037" s="40">
        <v>52</v>
      </c>
    </row>
    <row r="1038" spans="1:2" x14ac:dyDescent="0.2">
      <c r="A1038" s="40" t="s">
        <v>2929</v>
      </c>
      <c r="B1038" s="40">
        <v>43</v>
      </c>
    </row>
    <row r="1039" spans="1:2" x14ac:dyDescent="0.2">
      <c r="A1039" s="40" t="s">
        <v>2571</v>
      </c>
      <c r="B1039" s="40">
        <v>20</v>
      </c>
    </row>
    <row r="1040" spans="1:2" x14ac:dyDescent="0.2">
      <c r="A1040" s="40" t="s">
        <v>2773</v>
      </c>
      <c r="B1040" s="40">
        <v>34</v>
      </c>
    </row>
    <row r="1041" spans="1:2" x14ac:dyDescent="0.2">
      <c r="A1041" s="40" t="s">
        <v>2498</v>
      </c>
      <c r="B1041" s="40">
        <v>11</v>
      </c>
    </row>
    <row r="1042" spans="1:2" x14ac:dyDescent="0.2">
      <c r="A1042" s="40" t="s">
        <v>2997</v>
      </c>
      <c r="B1042" s="40">
        <v>48</v>
      </c>
    </row>
    <row r="1043" spans="1:2" x14ac:dyDescent="0.2">
      <c r="A1043" s="40" t="s">
        <v>3215</v>
      </c>
      <c r="B1043" s="40">
        <v>59</v>
      </c>
    </row>
    <row r="1044" spans="1:2" x14ac:dyDescent="0.2">
      <c r="A1044" s="40" t="s">
        <v>2841</v>
      </c>
      <c r="B1044" s="40">
        <v>38</v>
      </c>
    </row>
    <row r="1045" spans="1:2" x14ac:dyDescent="0.2">
      <c r="A1045" s="40" t="s">
        <v>2653</v>
      </c>
      <c r="B1045" s="40">
        <v>25</v>
      </c>
    </row>
    <row r="1046" spans="1:2" x14ac:dyDescent="0.2">
      <c r="A1046" s="40" t="s">
        <v>2475</v>
      </c>
      <c r="B1046" s="40">
        <v>9</v>
      </c>
    </row>
    <row r="1047" spans="1:2" x14ac:dyDescent="0.2">
      <c r="A1047" s="40" t="s">
        <v>2842</v>
      </c>
      <c r="B1047" s="40">
        <v>38</v>
      </c>
    </row>
    <row r="1048" spans="1:2" x14ac:dyDescent="0.2">
      <c r="A1048" s="40" t="s">
        <v>3468</v>
      </c>
      <c r="B1048" s="40">
        <v>74</v>
      </c>
    </row>
    <row r="1049" spans="1:2" x14ac:dyDescent="0.2">
      <c r="A1049" s="40" t="s">
        <v>2843</v>
      </c>
      <c r="B1049" s="40">
        <v>38</v>
      </c>
    </row>
    <row r="1050" spans="1:2" x14ac:dyDescent="0.2">
      <c r="A1050" s="40" t="s">
        <v>2618</v>
      </c>
      <c r="B1050" s="40">
        <v>23</v>
      </c>
    </row>
    <row r="1051" spans="1:2" x14ac:dyDescent="0.2">
      <c r="A1051" s="40" t="s">
        <v>2787</v>
      </c>
      <c r="B1051" s="40">
        <v>35</v>
      </c>
    </row>
    <row r="1052" spans="1:2" x14ac:dyDescent="0.2">
      <c r="A1052" s="40" t="s">
        <v>2438</v>
      </c>
      <c r="B1052" s="40">
        <v>2</v>
      </c>
    </row>
    <row r="1053" spans="1:2" x14ac:dyDescent="0.2">
      <c r="A1053" s="40" t="s">
        <v>2499</v>
      </c>
      <c r="B1053" s="40">
        <v>11</v>
      </c>
    </row>
    <row r="1054" spans="1:2" x14ac:dyDescent="0.2">
      <c r="A1054" s="40" t="s">
        <v>2439</v>
      </c>
      <c r="B1054" s="40">
        <v>2</v>
      </c>
    </row>
    <row r="1055" spans="1:2" x14ac:dyDescent="0.2">
      <c r="A1055" s="40" t="s">
        <v>2641</v>
      </c>
      <c r="B1055" s="40">
        <v>24</v>
      </c>
    </row>
    <row r="1056" spans="1:2" x14ac:dyDescent="0.2">
      <c r="A1056" s="40" t="s">
        <v>2959</v>
      </c>
      <c r="B1056" s="40">
        <v>46</v>
      </c>
    </row>
    <row r="1057" spans="1:2" x14ac:dyDescent="0.2">
      <c r="A1057" s="40" t="s">
        <v>3547</v>
      </c>
      <c r="B1057" s="40">
        <v>91</v>
      </c>
    </row>
    <row r="1058" spans="1:2" x14ac:dyDescent="0.2">
      <c r="A1058" s="40" t="s">
        <v>2654</v>
      </c>
      <c r="B1058" s="40">
        <v>25</v>
      </c>
    </row>
    <row r="1059" spans="1:2" x14ac:dyDescent="0.2">
      <c r="A1059" s="40" t="s">
        <v>2654</v>
      </c>
      <c r="B1059" s="40">
        <v>32</v>
      </c>
    </row>
    <row r="1060" spans="1:2" x14ac:dyDescent="0.2">
      <c r="A1060" s="40" t="s">
        <v>2774</v>
      </c>
      <c r="B1060" s="40">
        <v>34</v>
      </c>
    </row>
    <row r="1061" spans="1:2" x14ac:dyDescent="0.2">
      <c r="A1061" s="40" t="s">
        <v>3073</v>
      </c>
      <c r="B1061" s="40">
        <v>50</v>
      </c>
    </row>
    <row r="1062" spans="1:2" x14ac:dyDescent="0.2">
      <c r="A1062" s="40" t="s">
        <v>2819</v>
      </c>
      <c r="B1062" s="40">
        <v>37</v>
      </c>
    </row>
    <row r="1063" spans="1:2" x14ac:dyDescent="0.2">
      <c r="A1063" s="40" t="s">
        <v>2680</v>
      </c>
      <c r="B1063" s="40">
        <v>27</v>
      </c>
    </row>
    <row r="1064" spans="1:2" x14ac:dyDescent="0.2">
      <c r="A1064" s="40" t="s">
        <v>2619</v>
      </c>
      <c r="B1064" s="40">
        <v>23</v>
      </c>
    </row>
    <row r="1065" spans="1:2" x14ac:dyDescent="0.2">
      <c r="A1065" s="40" t="s">
        <v>3520</v>
      </c>
      <c r="B1065" s="40">
        <v>86</v>
      </c>
    </row>
    <row r="1066" spans="1:2" x14ac:dyDescent="0.2">
      <c r="A1066" s="40" t="s">
        <v>2707</v>
      </c>
      <c r="B1066" s="40">
        <v>30</v>
      </c>
    </row>
    <row r="1067" spans="1:2" x14ac:dyDescent="0.2">
      <c r="A1067" s="40" t="s">
        <v>2788</v>
      </c>
      <c r="B1067" s="40">
        <v>35</v>
      </c>
    </row>
    <row r="1068" spans="1:2" x14ac:dyDescent="0.2">
      <c r="A1068" s="40" t="s">
        <v>2456</v>
      </c>
      <c r="B1068" s="40">
        <v>5</v>
      </c>
    </row>
    <row r="1069" spans="1:2" x14ac:dyDescent="0.2">
      <c r="A1069" s="40" t="s">
        <v>3297</v>
      </c>
      <c r="B1069" s="40">
        <v>64</v>
      </c>
    </row>
    <row r="1070" spans="1:2" x14ac:dyDescent="0.2">
      <c r="A1070" s="40" t="s">
        <v>3480</v>
      </c>
      <c r="B1070" s="40">
        <v>75</v>
      </c>
    </row>
    <row r="1071" spans="1:2" x14ac:dyDescent="0.2">
      <c r="A1071" s="40" t="s">
        <v>3074</v>
      </c>
      <c r="B1071" s="40">
        <v>50</v>
      </c>
    </row>
    <row r="1072" spans="1:2" x14ac:dyDescent="0.2">
      <c r="A1072" s="40" t="s">
        <v>3143</v>
      </c>
      <c r="B1072" s="40">
        <v>53</v>
      </c>
    </row>
    <row r="1073" spans="1:2" x14ac:dyDescent="0.2">
      <c r="A1073" s="40" t="s">
        <v>3314</v>
      </c>
      <c r="B1073" s="40">
        <v>65</v>
      </c>
    </row>
    <row r="1074" spans="1:2" x14ac:dyDescent="0.2">
      <c r="A1074" s="40" t="s">
        <v>3075</v>
      </c>
      <c r="B1074" s="40">
        <v>50</v>
      </c>
    </row>
    <row r="1075" spans="1:2" x14ac:dyDescent="0.2">
      <c r="A1075" s="40" t="s">
        <v>2578</v>
      </c>
      <c r="B1075" s="40">
        <v>21</v>
      </c>
    </row>
    <row r="1076" spans="1:2" x14ac:dyDescent="0.2">
      <c r="A1076" s="40" t="s">
        <v>3257</v>
      </c>
      <c r="B1076" s="40">
        <v>61</v>
      </c>
    </row>
    <row r="1077" spans="1:2" x14ac:dyDescent="0.2">
      <c r="A1077" s="40" t="s">
        <v>2555</v>
      </c>
      <c r="B1077" s="40">
        <v>17</v>
      </c>
    </row>
    <row r="1078" spans="1:2" x14ac:dyDescent="0.2">
      <c r="A1078" s="40" t="s">
        <v>3216</v>
      </c>
      <c r="B1078" s="40">
        <v>59</v>
      </c>
    </row>
    <row r="1079" spans="1:2" x14ac:dyDescent="0.2">
      <c r="A1079" s="40" t="s">
        <v>3281</v>
      </c>
      <c r="B1079" s="40">
        <v>63</v>
      </c>
    </row>
    <row r="1080" spans="1:2" x14ac:dyDescent="0.2">
      <c r="A1080" s="40" t="s">
        <v>2998</v>
      </c>
      <c r="B1080" s="40">
        <v>48</v>
      </c>
    </row>
    <row r="1081" spans="1:2" x14ac:dyDescent="0.2">
      <c r="A1081" s="40" t="s">
        <v>3469</v>
      </c>
      <c r="B1081" s="40">
        <v>74</v>
      </c>
    </row>
    <row r="1082" spans="1:2" x14ac:dyDescent="0.2">
      <c r="A1082" s="40" t="s">
        <v>2579</v>
      </c>
      <c r="B1082" s="40">
        <v>21</v>
      </c>
    </row>
    <row r="1083" spans="1:2" x14ac:dyDescent="0.2">
      <c r="A1083" s="40" t="s">
        <v>2469</v>
      </c>
      <c r="B1083" s="40">
        <v>7</v>
      </c>
    </row>
    <row r="1084" spans="1:2" x14ac:dyDescent="0.2">
      <c r="A1084" s="40" t="s">
        <v>3429</v>
      </c>
      <c r="B1084" s="40">
        <v>71</v>
      </c>
    </row>
    <row r="1085" spans="1:2" x14ac:dyDescent="0.2">
      <c r="A1085" s="40" t="s">
        <v>3470</v>
      </c>
      <c r="B1085" s="40">
        <v>74</v>
      </c>
    </row>
    <row r="1086" spans="1:2" x14ac:dyDescent="0.2">
      <c r="A1086" s="40" t="s">
        <v>3217</v>
      </c>
      <c r="B1086" s="40">
        <v>59</v>
      </c>
    </row>
    <row r="1087" spans="1:2" x14ac:dyDescent="0.2">
      <c r="A1087" s="40" t="s">
        <v>2844</v>
      </c>
      <c r="B1087" s="40">
        <v>38</v>
      </c>
    </row>
    <row r="1088" spans="1:2" x14ac:dyDescent="0.2">
      <c r="A1088" s="40" t="s">
        <v>3157</v>
      </c>
      <c r="B1088" s="40">
        <v>54</v>
      </c>
    </row>
    <row r="1089" spans="1:2" x14ac:dyDescent="0.2">
      <c r="A1089" s="40" t="s">
        <v>2789</v>
      </c>
      <c r="B1089" s="40">
        <v>35</v>
      </c>
    </row>
    <row r="1090" spans="1:2" x14ac:dyDescent="0.2">
      <c r="A1090" s="40" t="s">
        <v>2476</v>
      </c>
      <c r="B1090" s="40">
        <v>9</v>
      </c>
    </row>
    <row r="1091" spans="1:2" x14ac:dyDescent="0.2">
      <c r="A1091" s="40" t="s">
        <v>3218</v>
      </c>
      <c r="B1091" s="40">
        <v>59</v>
      </c>
    </row>
    <row r="1092" spans="1:2" x14ac:dyDescent="0.2">
      <c r="A1092" s="40" t="s">
        <v>3076</v>
      </c>
      <c r="B1092" s="40">
        <v>50</v>
      </c>
    </row>
    <row r="1093" spans="1:2" x14ac:dyDescent="0.2">
      <c r="A1093" s="40" t="s">
        <v>2567</v>
      </c>
      <c r="B1093" s="40">
        <v>19</v>
      </c>
    </row>
    <row r="1094" spans="1:2" x14ac:dyDescent="0.2">
      <c r="A1094" s="40" t="s">
        <v>3219</v>
      </c>
      <c r="B1094" s="40">
        <v>59</v>
      </c>
    </row>
    <row r="1095" spans="1:2" x14ac:dyDescent="0.2">
      <c r="A1095" s="40" t="s">
        <v>2867</v>
      </c>
      <c r="B1095" s="40">
        <v>39</v>
      </c>
    </row>
    <row r="1096" spans="1:2" x14ac:dyDescent="0.2">
      <c r="A1096" s="40" t="s">
        <v>3077</v>
      </c>
      <c r="B1096" s="40">
        <v>50</v>
      </c>
    </row>
    <row r="1097" spans="1:2" x14ac:dyDescent="0.2">
      <c r="A1097" s="40" t="s">
        <v>3078</v>
      </c>
      <c r="B1097" s="40">
        <v>50</v>
      </c>
    </row>
    <row r="1098" spans="1:2" x14ac:dyDescent="0.2">
      <c r="A1098" s="40" t="s">
        <v>3079</v>
      </c>
      <c r="B1098" s="40">
        <v>50</v>
      </c>
    </row>
    <row r="1099" spans="1:2" x14ac:dyDescent="0.2">
      <c r="A1099" s="40" t="s">
        <v>3080</v>
      </c>
      <c r="B1099" s="40">
        <v>50</v>
      </c>
    </row>
    <row r="1100" spans="1:2" x14ac:dyDescent="0.2">
      <c r="A1100" s="40" t="s">
        <v>2551</v>
      </c>
      <c r="B1100" s="40">
        <v>16</v>
      </c>
    </row>
    <row r="1101" spans="1:2" x14ac:dyDescent="0.2">
      <c r="A1101" s="40" t="s">
        <v>3481</v>
      </c>
      <c r="B1101" s="40">
        <v>75</v>
      </c>
    </row>
    <row r="1102" spans="1:2" x14ac:dyDescent="0.2">
      <c r="A1102" s="40" t="s">
        <v>3132</v>
      </c>
      <c r="B1102" s="40">
        <v>52</v>
      </c>
    </row>
    <row r="1103" spans="1:2" x14ac:dyDescent="0.2">
      <c r="A1103" s="40" t="s">
        <v>3144</v>
      </c>
      <c r="B1103" s="40">
        <v>53</v>
      </c>
    </row>
    <row r="1104" spans="1:2" x14ac:dyDescent="0.2">
      <c r="A1104" s="40" t="s">
        <v>3158</v>
      </c>
      <c r="B1104" s="40">
        <v>54</v>
      </c>
    </row>
    <row r="1105" spans="1:2" x14ac:dyDescent="0.2">
      <c r="A1105" s="40" t="s">
        <v>3159</v>
      </c>
      <c r="B1105" s="40">
        <v>54</v>
      </c>
    </row>
    <row r="1106" spans="1:2" x14ac:dyDescent="0.2">
      <c r="A1106" s="40" t="s">
        <v>3220</v>
      </c>
      <c r="B1106" s="40">
        <v>59</v>
      </c>
    </row>
    <row r="1107" spans="1:2" x14ac:dyDescent="0.2">
      <c r="A1107" s="40" t="s">
        <v>2941</v>
      </c>
      <c r="B1107" s="40">
        <v>44</v>
      </c>
    </row>
    <row r="1108" spans="1:2" x14ac:dyDescent="0.2">
      <c r="A1108" s="40" t="s">
        <v>2556</v>
      </c>
      <c r="B1108" s="40">
        <v>17</v>
      </c>
    </row>
    <row r="1109" spans="1:2" x14ac:dyDescent="0.2">
      <c r="A1109" s="40" t="s">
        <v>2949</v>
      </c>
      <c r="B1109" s="40">
        <v>45</v>
      </c>
    </row>
    <row r="1110" spans="1:2" x14ac:dyDescent="0.2">
      <c r="A1110" s="40" t="s">
        <v>2572</v>
      </c>
      <c r="B1110" s="40">
        <v>20</v>
      </c>
    </row>
    <row r="1111" spans="1:2" x14ac:dyDescent="0.2">
      <c r="A1111" s="40" t="s">
        <v>2642</v>
      </c>
      <c r="B1111" s="40">
        <v>24</v>
      </c>
    </row>
    <row r="1112" spans="1:2" x14ac:dyDescent="0.2">
      <c r="A1112" s="40" t="s">
        <v>2942</v>
      </c>
      <c r="B1112" s="40">
        <v>44</v>
      </c>
    </row>
    <row r="1113" spans="1:2" x14ac:dyDescent="0.2">
      <c r="A1113" s="40" t="s">
        <v>3081</v>
      </c>
      <c r="B1113" s="40">
        <v>50</v>
      </c>
    </row>
    <row r="1114" spans="1:2" x14ac:dyDescent="0.2">
      <c r="A1114" s="40" t="s">
        <v>3315</v>
      </c>
      <c r="B1114" s="40">
        <v>65</v>
      </c>
    </row>
    <row r="1115" spans="1:2" x14ac:dyDescent="0.2">
      <c r="A1115" s="40" t="s">
        <v>3258</v>
      </c>
      <c r="B1115" s="40">
        <v>61</v>
      </c>
    </row>
    <row r="1116" spans="1:2" x14ac:dyDescent="0.2">
      <c r="A1116" s="40" t="s">
        <v>3133</v>
      </c>
      <c r="B1116" s="40">
        <v>52</v>
      </c>
    </row>
    <row r="1117" spans="1:2" x14ac:dyDescent="0.2">
      <c r="A1117" s="40" t="s">
        <v>3270</v>
      </c>
      <c r="B1117" s="40">
        <v>62</v>
      </c>
    </row>
    <row r="1118" spans="1:2" x14ac:dyDescent="0.2">
      <c r="A1118" s="40" t="s">
        <v>2718</v>
      </c>
      <c r="B1118" s="40">
        <v>31</v>
      </c>
    </row>
    <row r="1119" spans="1:2" x14ac:dyDescent="0.2">
      <c r="A1119" s="40" t="s">
        <v>2845</v>
      </c>
      <c r="B1119" s="40">
        <v>38</v>
      </c>
    </row>
    <row r="1120" spans="1:2" x14ac:dyDescent="0.2">
      <c r="A1120" s="40" t="s">
        <v>2700</v>
      </c>
      <c r="B1120" s="40">
        <v>29</v>
      </c>
    </row>
    <row r="1121" spans="1:2" x14ac:dyDescent="0.2">
      <c r="A1121" s="40" t="s">
        <v>3482</v>
      </c>
      <c r="B1121" s="40">
        <v>75</v>
      </c>
    </row>
    <row r="1122" spans="1:2" x14ac:dyDescent="0.2">
      <c r="A1122" s="40" t="s">
        <v>2688</v>
      </c>
      <c r="B1122" s="40">
        <v>28</v>
      </c>
    </row>
    <row r="1123" spans="1:2" x14ac:dyDescent="0.2">
      <c r="A1123" s="40" t="s">
        <v>3298</v>
      </c>
      <c r="B1123" s="40">
        <v>64</v>
      </c>
    </row>
    <row r="1124" spans="1:2" x14ac:dyDescent="0.2">
      <c r="A1124" s="40" t="s">
        <v>2990</v>
      </c>
      <c r="B1124" s="40">
        <v>47</v>
      </c>
    </row>
    <row r="1125" spans="1:2" x14ac:dyDescent="0.2">
      <c r="A1125" s="40" t="s">
        <v>2580</v>
      </c>
      <c r="B1125" s="40">
        <v>21</v>
      </c>
    </row>
    <row r="1126" spans="1:2" x14ac:dyDescent="0.2">
      <c r="A1126" s="40" t="s">
        <v>2950</v>
      </c>
      <c r="B1126" s="40">
        <v>45</v>
      </c>
    </row>
    <row r="1127" spans="1:2" x14ac:dyDescent="0.2">
      <c r="A1127" s="40" t="s">
        <v>2820</v>
      </c>
      <c r="B1127" s="40">
        <v>37</v>
      </c>
    </row>
    <row r="1128" spans="1:2" x14ac:dyDescent="0.2">
      <c r="A1128" s="40" t="s">
        <v>3430</v>
      </c>
      <c r="B1128" s="40">
        <v>71</v>
      </c>
    </row>
    <row r="1129" spans="1:2" x14ac:dyDescent="0.2">
      <c r="A1129" s="40" t="s">
        <v>3548</v>
      </c>
      <c r="B1129" s="40">
        <v>91</v>
      </c>
    </row>
    <row r="1130" spans="1:2" x14ac:dyDescent="0.2">
      <c r="A1130" s="40" t="s">
        <v>3082</v>
      </c>
      <c r="B1130" s="40">
        <v>50</v>
      </c>
    </row>
    <row r="1131" spans="1:2" x14ac:dyDescent="0.2">
      <c r="A1131" s="40" t="s">
        <v>3496</v>
      </c>
      <c r="B1131" s="40">
        <v>77</v>
      </c>
    </row>
    <row r="1132" spans="1:2" x14ac:dyDescent="0.2">
      <c r="A1132" s="40" t="s">
        <v>2960</v>
      </c>
      <c r="B1132" s="40">
        <v>46</v>
      </c>
    </row>
    <row r="1133" spans="1:2" x14ac:dyDescent="0.2">
      <c r="A1133" s="40" t="s">
        <v>2951</v>
      </c>
      <c r="B1133" s="40">
        <v>45</v>
      </c>
    </row>
    <row r="1134" spans="1:2" x14ac:dyDescent="0.2">
      <c r="A1134" s="40" t="s">
        <v>3083</v>
      </c>
      <c r="B1134" s="40">
        <v>50</v>
      </c>
    </row>
    <row r="1135" spans="1:2" x14ac:dyDescent="0.2">
      <c r="A1135" s="40" t="s">
        <v>3084</v>
      </c>
      <c r="B1135" s="40">
        <v>50</v>
      </c>
    </row>
    <row r="1136" spans="1:2" x14ac:dyDescent="0.2">
      <c r="A1136" s="40" t="s">
        <v>3085</v>
      </c>
      <c r="B1136" s="40">
        <v>50</v>
      </c>
    </row>
    <row r="1137" spans="1:2" x14ac:dyDescent="0.2">
      <c r="A1137" s="40" t="s">
        <v>2472</v>
      </c>
      <c r="B1137" s="40">
        <v>8</v>
      </c>
    </row>
    <row r="1138" spans="1:2" x14ac:dyDescent="0.2">
      <c r="A1138" s="40" t="s">
        <v>3299</v>
      </c>
      <c r="B1138" s="40">
        <v>64</v>
      </c>
    </row>
    <row r="1139" spans="1:2" x14ac:dyDescent="0.2">
      <c r="A1139" s="40" t="s">
        <v>3300</v>
      </c>
      <c r="B1139" s="40">
        <v>64</v>
      </c>
    </row>
    <row r="1140" spans="1:2" x14ac:dyDescent="0.2">
      <c r="A1140" s="40" t="s">
        <v>3301</v>
      </c>
      <c r="B1140" s="40">
        <v>64</v>
      </c>
    </row>
    <row r="1141" spans="1:2" x14ac:dyDescent="0.2">
      <c r="A1141" s="40" t="s">
        <v>2805</v>
      </c>
      <c r="B1141" s="40">
        <v>36</v>
      </c>
    </row>
    <row r="1142" spans="1:2" x14ac:dyDescent="0.2">
      <c r="A1142" s="40" t="s">
        <v>3086</v>
      </c>
      <c r="B1142" s="40">
        <v>50</v>
      </c>
    </row>
    <row r="1143" spans="1:2" x14ac:dyDescent="0.2">
      <c r="A1143" s="40" t="s">
        <v>3521</v>
      </c>
      <c r="B1143" s="40">
        <v>86</v>
      </c>
    </row>
    <row r="1144" spans="1:2" x14ac:dyDescent="0.2">
      <c r="A1144" s="40" t="s">
        <v>2821</v>
      </c>
      <c r="B1144" s="40">
        <v>37</v>
      </c>
    </row>
    <row r="1145" spans="1:2" x14ac:dyDescent="0.2">
      <c r="A1145" s="40" t="s">
        <v>3316</v>
      </c>
      <c r="B1145" s="40">
        <v>65</v>
      </c>
    </row>
    <row r="1146" spans="1:2" x14ac:dyDescent="0.2">
      <c r="A1146" s="40" t="s">
        <v>2457</v>
      </c>
      <c r="B1146" s="40">
        <v>5</v>
      </c>
    </row>
    <row r="1147" spans="1:2" x14ac:dyDescent="0.2">
      <c r="A1147" s="40" t="s">
        <v>3471</v>
      </c>
      <c r="B1147" s="40">
        <v>74</v>
      </c>
    </row>
    <row r="1148" spans="1:2" x14ac:dyDescent="0.2">
      <c r="A1148" s="40" t="s">
        <v>2914</v>
      </c>
      <c r="B1148" s="40">
        <v>42</v>
      </c>
    </row>
    <row r="1149" spans="1:2" x14ac:dyDescent="0.2">
      <c r="A1149" s="40" t="s">
        <v>2822</v>
      </c>
      <c r="B1149" s="40">
        <v>37</v>
      </c>
    </row>
    <row r="1150" spans="1:2" x14ac:dyDescent="0.2">
      <c r="A1150" s="40" t="s">
        <v>2756</v>
      </c>
      <c r="B1150" s="40">
        <v>33</v>
      </c>
    </row>
    <row r="1151" spans="1:2" x14ac:dyDescent="0.2">
      <c r="A1151" s="40" t="s">
        <v>3472</v>
      </c>
      <c r="B1151" s="40">
        <v>74</v>
      </c>
    </row>
    <row r="1152" spans="1:2" x14ac:dyDescent="0.2">
      <c r="A1152" s="40" t="s">
        <v>2890</v>
      </c>
      <c r="B1152" s="40">
        <v>40</v>
      </c>
    </row>
    <row r="1153" spans="1:2" x14ac:dyDescent="0.2">
      <c r="A1153" s="40" t="s">
        <v>2891</v>
      </c>
      <c r="B1153" s="40">
        <v>40</v>
      </c>
    </row>
    <row r="1154" spans="1:2" x14ac:dyDescent="0.2">
      <c r="A1154" s="40" t="s">
        <v>2892</v>
      </c>
      <c r="B1154" s="40">
        <v>40</v>
      </c>
    </row>
    <row r="1155" spans="1:2" x14ac:dyDescent="0.2">
      <c r="A1155" s="40" t="s">
        <v>2581</v>
      </c>
      <c r="B1155" s="40">
        <v>21</v>
      </c>
    </row>
    <row r="1156" spans="1:2" x14ac:dyDescent="0.2">
      <c r="A1156" s="40" t="s">
        <v>2523</v>
      </c>
      <c r="B1156" s="40">
        <v>14</v>
      </c>
    </row>
    <row r="1157" spans="1:2" x14ac:dyDescent="0.2">
      <c r="A1157" s="40" t="s">
        <v>3549</v>
      </c>
      <c r="B1157" s="40">
        <v>91</v>
      </c>
    </row>
    <row r="1158" spans="1:2" x14ac:dyDescent="0.2">
      <c r="A1158" s="40" t="s">
        <v>3436</v>
      </c>
      <c r="B1158" s="40">
        <v>72</v>
      </c>
    </row>
    <row r="1159" spans="1:2" x14ac:dyDescent="0.2">
      <c r="A1159" s="40" t="s">
        <v>2440</v>
      </c>
      <c r="B1159" s="40">
        <v>2</v>
      </c>
    </row>
    <row r="1160" spans="1:2" x14ac:dyDescent="0.2">
      <c r="A1160" s="40" t="s">
        <v>2930</v>
      </c>
      <c r="B1160" s="40">
        <v>43</v>
      </c>
    </row>
    <row r="1161" spans="1:2" x14ac:dyDescent="0.2">
      <c r="A1161" s="40" t="s">
        <v>2593</v>
      </c>
      <c r="B1161" s="40">
        <v>22</v>
      </c>
    </row>
    <row r="1162" spans="1:2" x14ac:dyDescent="0.2">
      <c r="A1162" s="40" t="s">
        <v>3493</v>
      </c>
      <c r="B1162" s="40">
        <v>76</v>
      </c>
    </row>
    <row r="1163" spans="1:2" x14ac:dyDescent="0.2">
      <c r="A1163" s="40" t="s">
        <v>3376</v>
      </c>
      <c r="B1163" s="40">
        <v>67</v>
      </c>
    </row>
    <row r="1164" spans="1:2" x14ac:dyDescent="0.2">
      <c r="A1164" s="40" t="s">
        <v>3431</v>
      </c>
      <c r="B1164" s="40">
        <v>71</v>
      </c>
    </row>
    <row r="1165" spans="1:2" x14ac:dyDescent="0.2">
      <c r="A1165" s="40" t="s">
        <v>3177</v>
      </c>
      <c r="B1165" s="40">
        <v>56</v>
      </c>
    </row>
    <row r="1166" spans="1:2" x14ac:dyDescent="0.2">
      <c r="A1166" s="40" t="s">
        <v>3087</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G38" sqref="G38"/>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26</v>
      </c>
      <c r="B1" s="37" t="s">
        <v>60</v>
      </c>
      <c r="C1" s="37" t="s">
        <v>61</v>
      </c>
      <c r="D1" s="37" t="s">
        <v>2413</v>
      </c>
      <c r="E1" s="37" t="s">
        <v>63</v>
      </c>
      <c r="F1" s="37" t="s">
        <v>2414</v>
      </c>
    </row>
    <row r="2" spans="1:6" x14ac:dyDescent="0.25">
      <c r="A2" s="35" t="s">
        <v>35</v>
      </c>
      <c r="B2" s="35">
        <v>6731002766</v>
      </c>
      <c r="C2" s="35">
        <v>673201001</v>
      </c>
      <c r="D2" s="35" t="s">
        <v>36</v>
      </c>
      <c r="E2" s="42" t="s">
        <v>3374</v>
      </c>
      <c r="F2" s="35">
        <v>1</v>
      </c>
    </row>
    <row r="3" spans="1:6" x14ac:dyDescent="0.25">
      <c r="A3" s="35" t="s">
        <v>37</v>
      </c>
      <c r="B3" s="35">
        <v>7806155468</v>
      </c>
      <c r="C3" s="35">
        <v>780601001</v>
      </c>
      <c r="D3" s="35" t="s">
        <v>38</v>
      </c>
      <c r="E3" s="35" t="s">
        <v>39</v>
      </c>
      <c r="F3" s="35">
        <v>1</v>
      </c>
    </row>
    <row r="4" spans="1:6" x14ac:dyDescent="0.25">
      <c r="A4" s="35" t="s">
        <v>40</v>
      </c>
      <c r="B4" s="35">
        <v>7839109650</v>
      </c>
      <c r="C4" s="35">
        <v>783901001</v>
      </c>
      <c r="D4" s="35" t="s">
        <v>41</v>
      </c>
      <c r="E4" s="35" t="s">
        <v>39</v>
      </c>
      <c r="F4" s="35">
        <v>2</v>
      </c>
    </row>
    <row r="5" spans="1:6" x14ac:dyDescent="0.25">
      <c r="A5" s="35" t="s">
        <v>44</v>
      </c>
      <c r="B5" s="35">
        <v>7804274156</v>
      </c>
      <c r="C5" s="35">
        <v>780401001</v>
      </c>
      <c r="D5" s="35" t="s">
        <v>45</v>
      </c>
      <c r="E5" s="35" t="s">
        <v>39</v>
      </c>
      <c r="F5" s="35">
        <v>2</v>
      </c>
    </row>
    <row r="6" spans="1:6" x14ac:dyDescent="0.25">
      <c r="A6" s="36" t="s">
        <v>42</v>
      </c>
      <c r="B6" s="36">
        <v>7810216924</v>
      </c>
      <c r="C6" s="36">
        <v>7814455001</v>
      </c>
      <c r="D6" s="36" t="s">
        <v>43</v>
      </c>
      <c r="E6" s="35" t="s">
        <v>39</v>
      </c>
      <c r="F6" s="36">
        <v>2</v>
      </c>
    </row>
    <row r="7" spans="1:6" x14ac:dyDescent="0.25">
      <c r="A7" s="35" t="s">
        <v>46</v>
      </c>
      <c r="B7" s="35">
        <v>5036002480</v>
      </c>
      <c r="C7" s="35">
        <v>503601001</v>
      </c>
      <c r="D7" s="35" t="s">
        <v>47</v>
      </c>
      <c r="E7" s="35" t="s">
        <v>48</v>
      </c>
      <c r="F7" s="35">
        <v>2</v>
      </c>
    </row>
    <row r="8" spans="1:6" x14ac:dyDescent="0.25">
      <c r="A8" s="36" t="s">
        <v>51</v>
      </c>
      <c r="B8" s="36">
        <v>5433191298</v>
      </c>
      <c r="C8" s="36">
        <v>543301001</v>
      </c>
      <c r="D8" s="36" t="s">
        <v>52</v>
      </c>
      <c r="E8" s="35" t="s">
        <v>39</v>
      </c>
      <c r="F8" s="36">
        <v>2</v>
      </c>
    </row>
    <row r="9" spans="1:6" x14ac:dyDescent="0.25">
      <c r="A9" s="35" t="s">
        <v>56</v>
      </c>
      <c r="B9" s="35">
        <v>7715777616</v>
      </c>
      <c r="C9" s="35">
        <v>774301001</v>
      </c>
      <c r="D9" s="35" t="s">
        <v>57</v>
      </c>
      <c r="E9" s="35" t="s">
        <v>55</v>
      </c>
      <c r="F9" s="35">
        <v>2</v>
      </c>
    </row>
    <row r="10" spans="1:6" x14ac:dyDescent="0.25">
      <c r="A10" s="36" t="s">
        <v>53</v>
      </c>
      <c r="B10" s="36">
        <v>4703126149</v>
      </c>
      <c r="C10" s="36">
        <v>470301001</v>
      </c>
      <c r="D10" s="36" t="s">
        <v>54</v>
      </c>
      <c r="E10" s="35" t="s">
        <v>39</v>
      </c>
      <c r="F10" s="36">
        <v>2</v>
      </c>
    </row>
    <row r="11" spans="1:6" x14ac:dyDescent="0.25">
      <c r="A11" s="35" t="s">
        <v>58</v>
      </c>
      <c r="B11" s="35">
        <v>7839504097</v>
      </c>
      <c r="C11" s="35">
        <v>784201001</v>
      </c>
      <c r="D11" t="s">
        <v>59</v>
      </c>
      <c r="E11" s="35" t="s">
        <v>39</v>
      </c>
      <c r="F11" s="35">
        <v>2</v>
      </c>
    </row>
    <row r="12" spans="1:6" x14ac:dyDescent="0.25">
      <c r="A12" s="36" t="s">
        <v>2349</v>
      </c>
      <c r="B12" s="36">
        <v>7802806380</v>
      </c>
      <c r="C12" s="36">
        <v>780201001</v>
      </c>
      <c r="D12" t="s">
        <v>2350</v>
      </c>
      <c r="E12" s="35" t="s">
        <v>39</v>
      </c>
      <c r="F12" s="36">
        <v>1</v>
      </c>
    </row>
    <row r="13" spans="1:6" x14ac:dyDescent="0.25">
      <c r="A13" s="35" t="s">
        <v>2406</v>
      </c>
      <c r="B13" s="35">
        <v>7723889433</v>
      </c>
      <c r="C13" s="35">
        <v>772401001</v>
      </c>
      <c r="D13" t="s">
        <v>2407</v>
      </c>
      <c r="E13" s="35" t="s">
        <v>2408</v>
      </c>
      <c r="F13" s="35">
        <v>2</v>
      </c>
    </row>
    <row r="14" spans="1:6" x14ac:dyDescent="0.25">
      <c r="A14" s="36" t="s">
        <v>2409</v>
      </c>
      <c r="B14" s="36">
        <v>5838002196</v>
      </c>
      <c r="C14" s="36">
        <v>583801001</v>
      </c>
      <c r="D14" t="s">
        <v>2411</v>
      </c>
      <c r="E14" s="35" t="s">
        <v>2410</v>
      </c>
      <c r="F14" s="36">
        <v>2</v>
      </c>
    </row>
    <row r="15" spans="1:6" x14ac:dyDescent="0.25">
      <c r="A15" s="35" t="s">
        <v>2415</v>
      </c>
      <c r="B15" s="35">
        <v>7802348846</v>
      </c>
      <c r="C15" s="35">
        <v>997350001</v>
      </c>
      <c r="D15" t="s">
        <v>2416</v>
      </c>
      <c r="E15" s="35" t="s">
        <v>39</v>
      </c>
      <c r="F15" s="35">
        <v>2</v>
      </c>
    </row>
    <row r="16" spans="1:6" x14ac:dyDescent="0.25">
      <c r="A16" s="36" t="s">
        <v>3553</v>
      </c>
      <c r="B16" s="36" t="s">
        <v>3563</v>
      </c>
      <c r="C16" s="36" t="s">
        <v>3564</v>
      </c>
      <c r="D16" t="s">
        <v>3557</v>
      </c>
      <c r="E16" s="35" t="s">
        <v>3234</v>
      </c>
      <c r="F16" s="36">
        <v>2</v>
      </c>
    </row>
    <row r="17" spans="1:6" x14ac:dyDescent="0.25">
      <c r="A17" s="35" t="s">
        <v>3555</v>
      </c>
      <c r="B17" s="35" t="s">
        <v>3554</v>
      </c>
      <c r="C17" s="35" t="s">
        <v>3559</v>
      </c>
      <c r="D17" s="35" t="s">
        <v>3558</v>
      </c>
      <c r="E17" s="35" t="s">
        <v>3233</v>
      </c>
      <c r="F17" s="35">
        <v>2</v>
      </c>
    </row>
    <row r="18" spans="1:6" x14ac:dyDescent="0.25">
      <c r="A18" s="36" t="s">
        <v>3560</v>
      </c>
      <c r="B18" s="36" t="s">
        <v>3561</v>
      </c>
      <c r="C18" s="36" t="s">
        <v>3556</v>
      </c>
      <c r="D18" t="s">
        <v>3562</v>
      </c>
      <c r="E18" s="35" t="s">
        <v>3382</v>
      </c>
      <c r="F18" s="36">
        <v>2</v>
      </c>
    </row>
    <row r="19" spans="1:6" x14ac:dyDescent="0.25">
      <c r="A19" s="35" t="s">
        <v>3591</v>
      </c>
      <c r="B19" s="35">
        <v>9710008385</v>
      </c>
      <c r="C19" s="35">
        <v>324501001</v>
      </c>
      <c r="D19" s="35" t="s">
        <v>3592</v>
      </c>
      <c r="E19" s="35" t="s">
        <v>39</v>
      </c>
      <c r="F19" s="35">
        <v>2</v>
      </c>
    </row>
    <row r="20" spans="1:6" x14ac:dyDescent="0.25">
      <c r="A20" s="36" t="s">
        <v>3593</v>
      </c>
      <c r="B20" s="36">
        <v>7721801761</v>
      </c>
      <c r="C20" s="36">
        <v>772001001</v>
      </c>
      <c r="D20" t="s">
        <v>3594</v>
      </c>
      <c r="E20" s="35" t="s">
        <v>2408</v>
      </c>
      <c r="F20" s="36">
        <v>2</v>
      </c>
    </row>
    <row r="21" spans="1:6" x14ac:dyDescent="0.25">
      <c r="A21" s="35" t="s">
        <v>3596</v>
      </c>
      <c r="B21" s="45">
        <v>5050098030</v>
      </c>
      <c r="C21" s="45">
        <v>505001001</v>
      </c>
      <c r="D21" t="s">
        <v>3595</v>
      </c>
      <c r="E21" s="45" t="s">
        <v>2408</v>
      </c>
      <c r="F21" s="45">
        <v>2</v>
      </c>
    </row>
    <row r="22" spans="1:6" x14ac:dyDescent="0.25">
      <c r="A22" s="45" t="s">
        <v>3617</v>
      </c>
      <c r="B22" s="45">
        <v>7720413452</v>
      </c>
      <c r="C22" s="45">
        <v>772001001</v>
      </c>
      <c r="D22" t="s">
        <v>3618</v>
      </c>
      <c r="E22" s="35" t="s">
        <v>2408</v>
      </c>
      <c r="F22" s="45">
        <v>2</v>
      </c>
    </row>
    <row r="23" spans="1:6" x14ac:dyDescent="0.25">
      <c r="A23" s="45" t="s">
        <v>3619</v>
      </c>
      <c r="B23" s="45">
        <v>7804526942</v>
      </c>
      <c r="C23" s="45">
        <v>780201001</v>
      </c>
      <c r="D23" t="s">
        <v>3620</v>
      </c>
      <c r="E23" s="35" t="s">
        <v>39</v>
      </c>
      <c r="F23" s="45">
        <v>2</v>
      </c>
    </row>
    <row r="24" spans="1:6" x14ac:dyDescent="0.25">
      <c r="A24" s="45" t="s">
        <v>3626</v>
      </c>
      <c r="B24" s="45">
        <v>7702680818</v>
      </c>
      <c r="C24" s="45">
        <v>770201001</v>
      </c>
      <c r="D24" t="s">
        <v>3627</v>
      </c>
      <c r="E24" s="35" t="s">
        <v>2408</v>
      </c>
      <c r="F24" s="45">
        <v>2</v>
      </c>
    </row>
    <row r="25" spans="1:6" x14ac:dyDescent="0.25">
      <c r="A25" s="45" t="s">
        <v>3629</v>
      </c>
      <c r="B25" s="45">
        <v>7810623359</v>
      </c>
      <c r="C25" s="45">
        <v>781001001</v>
      </c>
      <c r="D25" t="s">
        <v>3628</v>
      </c>
      <c r="E25" s="35" t="s">
        <v>39</v>
      </c>
      <c r="F25" s="45">
        <v>2</v>
      </c>
    </row>
    <row r="26" spans="1:6" x14ac:dyDescent="0.25">
      <c r="A26" s="45" t="s">
        <v>3642</v>
      </c>
      <c r="B26" s="45">
        <v>6450078745</v>
      </c>
      <c r="C26" s="45">
        <v>645001001</v>
      </c>
      <c r="D26" s="45" t="s">
        <v>3641</v>
      </c>
      <c r="E26" s="45" t="s">
        <v>3296</v>
      </c>
      <c r="F26" s="45">
        <v>1</v>
      </c>
    </row>
    <row r="27" spans="1:6" x14ac:dyDescent="0.25">
      <c r="A27" s="45" t="s">
        <v>3644</v>
      </c>
      <c r="B27" s="45">
        <v>6671331139</v>
      </c>
      <c r="C27" s="45">
        <v>668501001</v>
      </c>
      <c r="D27" t="s">
        <v>3643</v>
      </c>
      <c r="E27" s="35" t="s">
        <v>39</v>
      </c>
      <c r="F27" s="45">
        <v>1</v>
      </c>
    </row>
    <row r="28" spans="1:6" x14ac:dyDescent="0.25">
      <c r="A28" s="45" t="s">
        <v>3645</v>
      </c>
      <c r="B28" s="45">
        <v>7724452117</v>
      </c>
      <c r="C28" s="45">
        <v>772401001</v>
      </c>
      <c r="D28" t="s">
        <v>3646</v>
      </c>
      <c r="E28" s="35" t="s">
        <v>2408</v>
      </c>
      <c r="F28" s="45">
        <v>2</v>
      </c>
    </row>
    <row r="29" spans="1:6" x14ac:dyDescent="0.25">
      <c r="A29" s="45" t="s">
        <v>3664</v>
      </c>
      <c r="B29" s="45">
        <v>6679109432</v>
      </c>
      <c r="C29" s="45">
        <v>667001001</v>
      </c>
      <c r="D29" t="s">
        <v>3663</v>
      </c>
      <c r="E29" s="45" t="s">
        <v>3470</v>
      </c>
      <c r="F29" s="45">
        <v>2</v>
      </c>
    </row>
    <row r="30" spans="1:6" x14ac:dyDescent="0.25">
      <c r="A30" s="45" t="s">
        <v>3666</v>
      </c>
      <c r="B30" s="45">
        <v>5905231483</v>
      </c>
      <c r="C30" s="45">
        <v>590501001</v>
      </c>
      <c r="D30" t="s">
        <v>3665</v>
      </c>
      <c r="E30" s="45" t="s">
        <v>3213</v>
      </c>
      <c r="F30" s="45">
        <v>1</v>
      </c>
    </row>
    <row r="31" spans="1:6" x14ac:dyDescent="0.25">
      <c r="A31" s="45" t="s">
        <v>3667</v>
      </c>
      <c r="B31" s="45">
        <v>7451435053</v>
      </c>
      <c r="C31" s="45">
        <v>745101001</v>
      </c>
      <c r="D31" t="s">
        <v>3668</v>
      </c>
      <c r="E31" s="45" t="s">
        <v>3470</v>
      </c>
      <c r="F31" s="45">
        <v>1</v>
      </c>
    </row>
    <row r="32" spans="1:6" x14ac:dyDescent="0.25">
      <c r="A32" s="45" t="s">
        <v>3676</v>
      </c>
      <c r="B32" s="45">
        <v>7705674361</v>
      </c>
      <c r="C32" s="45">
        <v>770401001</v>
      </c>
      <c r="D32" t="s">
        <v>3677</v>
      </c>
      <c r="E32" s="35" t="s">
        <v>2408</v>
      </c>
      <c r="F32" s="45">
        <v>2</v>
      </c>
    </row>
    <row r="33" spans="1:6" x14ac:dyDescent="0.25">
      <c r="A33" s="45" t="s">
        <v>3678</v>
      </c>
      <c r="B33" s="45">
        <v>7720323022</v>
      </c>
      <c r="C33" s="45">
        <v>772001001</v>
      </c>
      <c r="D33" s="45" t="s">
        <v>3679</v>
      </c>
      <c r="E33" s="45" t="s">
        <v>2408</v>
      </c>
      <c r="F33" s="45">
        <v>1</v>
      </c>
    </row>
    <row r="34" spans="1:6" x14ac:dyDescent="0.25">
      <c r="A34" s="45" t="s">
        <v>3691</v>
      </c>
      <c r="B34" s="45">
        <v>7736192449</v>
      </c>
      <c r="C34" s="45">
        <v>500301001</v>
      </c>
      <c r="D34" t="s">
        <v>3690</v>
      </c>
      <c r="E34" s="45" t="s">
        <v>3005</v>
      </c>
      <c r="F34" s="45">
        <v>1</v>
      </c>
    </row>
    <row r="35" spans="1:6" x14ac:dyDescent="0.25">
      <c r="A35" s="46" t="s">
        <v>3692</v>
      </c>
      <c r="B35" s="45">
        <v>7722493380</v>
      </c>
      <c r="C35" s="45">
        <v>772201001</v>
      </c>
      <c r="D35" t="s">
        <v>3693</v>
      </c>
      <c r="E35" s="45" t="s">
        <v>2408</v>
      </c>
      <c r="F35" s="45">
        <v>2</v>
      </c>
    </row>
    <row r="36" spans="1:6" x14ac:dyDescent="0.25">
      <c r="A36" s="45" t="s">
        <v>3704</v>
      </c>
      <c r="B36" s="45">
        <v>9722054805</v>
      </c>
      <c r="C36" s="45">
        <v>772201001</v>
      </c>
      <c r="D36" s="45" t="s">
        <v>3703</v>
      </c>
      <c r="E36" s="45" t="s">
        <v>39</v>
      </c>
      <c r="F36" s="45">
        <v>1</v>
      </c>
    </row>
    <row r="37" spans="1:6" x14ac:dyDescent="0.25">
      <c r="A37" s="45" t="s">
        <v>3706</v>
      </c>
      <c r="B37" s="45">
        <v>6163103300</v>
      </c>
      <c r="C37" s="45">
        <v>616501001</v>
      </c>
      <c r="D37" t="s">
        <v>3705</v>
      </c>
      <c r="E37" s="45" t="s">
        <v>3253</v>
      </c>
      <c r="F37" s="45">
        <v>2</v>
      </c>
    </row>
    <row r="38" spans="1:6" x14ac:dyDescent="0.25">
      <c r="A38" s="45" t="s">
        <v>3707</v>
      </c>
      <c r="B38" s="45">
        <v>7726366135</v>
      </c>
      <c r="C38" s="45">
        <v>772601001</v>
      </c>
      <c r="D38" s="45" t="s">
        <v>3708</v>
      </c>
      <c r="E38" s="35" t="s">
        <v>2408</v>
      </c>
      <c r="F38" s="45">
        <v>1</v>
      </c>
    </row>
    <row r="39" spans="1:6" x14ac:dyDescent="0.25">
      <c r="A39" s="45" t="s">
        <v>3718</v>
      </c>
      <c r="B39" s="45">
        <v>9715307100</v>
      </c>
      <c r="C39" s="45">
        <v>771501001</v>
      </c>
      <c r="D39" t="s">
        <v>3717</v>
      </c>
      <c r="E39" s="45" t="s">
        <v>2408</v>
      </c>
      <c r="F39" s="45">
        <v>2</v>
      </c>
    </row>
    <row r="40" spans="1:6" x14ac:dyDescent="0.25">
      <c r="A40" s="45" t="s">
        <v>3720</v>
      </c>
      <c r="B40" s="45">
        <v>9729294683</v>
      </c>
      <c r="C40" s="45">
        <v>772901001</v>
      </c>
      <c r="D40" t="s">
        <v>3719</v>
      </c>
      <c r="E40" s="45" t="s">
        <v>3153</v>
      </c>
      <c r="F40" s="45">
        <v>2</v>
      </c>
    </row>
    <row r="41" spans="1:6" x14ac:dyDescent="0.25">
      <c r="A41" s="45" t="s">
        <v>3721</v>
      </c>
      <c r="B41" s="45">
        <v>7704322328</v>
      </c>
      <c r="C41" s="45">
        <v>507401001</v>
      </c>
      <c r="D41" s="45" t="s">
        <v>3722</v>
      </c>
      <c r="E41" s="45" t="s">
        <v>48</v>
      </c>
      <c r="F41" s="45">
        <v>2</v>
      </c>
    </row>
    <row r="42" spans="1:6" x14ac:dyDescent="0.25">
      <c r="A42" s="45" t="s">
        <v>3730</v>
      </c>
      <c r="B42" s="45">
        <v>7719452305</v>
      </c>
      <c r="C42" s="45">
        <v>525201001</v>
      </c>
      <c r="D42" s="45" t="s">
        <v>3731</v>
      </c>
      <c r="E42" s="35" t="s">
        <v>2408</v>
      </c>
      <c r="F42" s="45">
        <v>1</v>
      </c>
    </row>
    <row r="43" spans="1:6" x14ac:dyDescent="0.25">
      <c r="A43" s="45" t="s">
        <v>3732</v>
      </c>
      <c r="B43" s="45">
        <v>723000958</v>
      </c>
      <c r="C43" s="45">
        <v>72301001</v>
      </c>
      <c r="D43" s="45" t="s">
        <v>3733</v>
      </c>
      <c r="E43" s="45" t="s">
        <v>2408</v>
      </c>
      <c r="F43" s="45">
        <v>2</v>
      </c>
    </row>
    <row r="44" spans="1:6" x14ac:dyDescent="0.25">
      <c r="A44" s="45" t="s">
        <v>3735</v>
      </c>
      <c r="B44" s="45">
        <v>5258128653</v>
      </c>
      <c r="C44" s="45">
        <v>525801001</v>
      </c>
      <c r="D44" s="45" t="s">
        <v>3734</v>
      </c>
      <c r="E44" s="45" t="s">
        <v>3124</v>
      </c>
      <c r="F44" s="45">
        <v>2</v>
      </c>
    </row>
    <row r="45" spans="1:6" x14ac:dyDescent="0.25">
      <c r="A45" s="45" t="s">
        <v>3743</v>
      </c>
      <c r="B45" s="45" t="s">
        <v>3744</v>
      </c>
      <c r="C45" s="45">
        <v>774301001</v>
      </c>
      <c r="D45" t="s">
        <v>3745</v>
      </c>
      <c r="E45" s="45" t="s">
        <v>2408</v>
      </c>
      <c r="F45" s="45">
        <v>2</v>
      </c>
    </row>
    <row r="46" spans="1:6" x14ac:dyDescent="0.25">
      <c r="A46" s="45" t="s">
        <v>3747</v>
      </c>
      <c r="B46" s="45">
        <v>7814823221</v>
      </c>
      <c r="C46" s="45">
        <v>781401001</v>
      </c>
      <c r="D46" t="s">
        <v>3746</v>
      </c>
      <c r="E46" s="45" t="s">
        <v>39</v>
      </c>
      <c r="F46" s="45">
        <v>2</v>
      </c>
    </row>
  </sheetData>
  <protectedRanges>
    <protectedRange sqref="A1:D1048576 F1:F1048576" name="Все кроме города"/>
  </protectedRanges>
  <conditionalFormatting sqref="A5:A6">
    <cfRule type="duplicateValues" dxfId="44" priority="75"/>
  </conditionalFormatting>
  <conditionalFormatting sqref="A5:A6">
    <cfRule type="duplicateValues" dxfId="43" priority="35"/>
  </conditionalFormatting>
  <conditionalFormatting sqref="A1 A5:A6 A22:A26 A28:A31 A33:A34 A36:A37 A39:A44 A46:A1048576">
    <cfRule type="duplicateValues" dxfId="42" priority="34"/>
  </conditionalFormatting>
  <conditionalFormatting sqref="A1:C1 A5:C6 A22:C24 A26:C26 A25 A30:C31 B27:C27 A28:A29 C29 A33:C34 B32:C32 A36:C37 B35:C35 A39:C44 C38 A46:C1048576 C45">
    <cfRule type="duplicateValues" dxfId="41" priority="33"/>
  </conditionalFormatting>
  <conditionalFormatting sqref="A7:A13">
    <cfRule type="duplicateValues" dxfId="40" priority="32"/>
  </conditionalFormatting>
  <conditionalFormatting sqref="A7:A13">
    <cfRule type="duplicateValues" dxfId="39" priority="31"/>
  </conditionalFormatting>
  <conditionalFormatting sqref="A7:A13">
    <cfRule type="duplicateValues" dxfId="38" priority="30"/>
  </conditionalFormatting>
  <conditionalFormatting sqref="A7:C13">
    <cfRule type="duplicateValues" dxfId="37" priority="29"/>
  </conditionalFormatting>
  <conditionalFormatting sqref="A2 A4">
    <cfRule type="duplicateValues" dxfId="36" priority="28"/>
  </conditionalFormatting>
  <conditionalFormatting sqref="A2 A4">
    <cfRule type="duplicateValues" dxfId="35" priority="27"/>
  </conditionalFormatting>
  <conditionalFormatting sqref="A2 A4">
    <cfRule type="duplicateValues" dxfId="34" priority="26"/>
  </conditionalFormatting>
  <conditionalFormatting sqref="A2:C2 A4:C4">
    <cfRule type="duplicateValues" dxfId="33" priority="25"/>
  </conditionalFormatting>
  <conditionalFormatting sqref="A3">
    <cfRule type="duplicateValues" dxfId="32" priority="24"/>
  </conditionalFormatting>
  <conditionalFormatting sqref="A3">
    <cfRule type="duplicateValues" dxfId="31" priority="23"/>
  </conditionalFormatting>
  <conditionalFormatting sqref="A3">
    <cfRule type="duplicateValues" dxfId="30" priority="22"/>
  </conditionalFormatting>
  <conditionalFormatting sqref="A3:C3">
    <cfRule type="duplicateValues" dxfId="29" priority="21"/>
  </conditionalFormatting>
  <conditionalFormatting sqref="A14">
    <cfRule type="duplicateValues" dxfId="28" priority="163"/>
  </conditionalFormatting>
  <conditionalFormatting sqref="A14:C14">
    <cfRule type="duplicateValues" dxfId="27" priority="172"/>
  </conditionalFormatting>
  <conditionalFormatting sqref="A20">
    <cfRule type="duplicateValues" dxfId="26" priority="15"/>
  </conditionalFormatting>
  <conditionalFormatting sqref="A20:C20 B21:C21">
    <cfRule type="duplicateValues" dxfId="25" priority="16"/>
  </conditionalFormatting>
  <conditionalFormatting sqref="A15:A19">
    <cfRule type="duplicateValues" dxfId="24" priority="13"/>
  </conditionalFormatting>
  <conditionalFormatting sqref="A15:A19">
    <cfRule type="duplicateValues" dxfId="23" priority="12"/>
  </conditionalFormatting>
  <conditionalFormatting sqref="A15:A19">
    <cfRule type="duplicateValues" dxfId="22" priority="11"/>
  </conditionalFormatting>
  <conditionalFormatting sqref="A15:C19">
    <cfRule type="duplicateValues" dxfId="21" priority="10"/>
  </conditionalFormatting>
  <conditionalFormatting sqref="A21">
    <cfRule type="duplicateValues" dxfId="20" priority="9"/>
  </conditionalFormatting>
  <conditionalFormatting sqref="A21">
    <cfRule type="duplicateValues" dxfId="19" priority="8"/>
  </conditionalFormatting>
  <conditionalFormatting sqref="A21">
    <cfRule type="duplicateValues" dxfId="18" priority="7"/>
  </conditionalFormatting>
  <conditionalFormatting sqref="A21">
    <cfRule type="duplicateValues" dxfId="17" priority="6"/>
  </conditionalFormatting>
  <conditionalFormatting sqref="B25:C25">
    <cfRule type="duplicateValues" dxfId="16" priority="5"/>
  </conditionalFormatting>
  <conditionalFormatting sqref="A27">
    <cfRule type="duplicateValues" dxfId="15" priority="4"/>
  </conditionalFormatting>
  <conditionalFormatting sqref="A27">
    <cfRule type="duplicateValues" dxfId="14" priority="3"/>
  </conditionalFormatting>
  <conditionalFormatting sqref="B28:C28">
    <cfRule type="duplicateValues" dxfId="13" priority="2"/>
  </conditionalFormatting>
  <conditionalFormatting sqref="B38">
    <cfRule type="duplicateValues" dxfId="12" priority="1"/>
  </conditionalFormatting>
  <hyperlinks>
    <hyperlink ref="A35" r:id="rId1" display="https://rosarmatorg.ru/"/>
  </hyperlinks>
  <pageMargins left="0.7" right="0.7" top="0.75" bottom="0.75" header="0.3" footer="0.3"/>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2238</v>
      </c>
    </row>
    <row r="2" spans="1:1" x14ac:dyDescent="0.25">
      <c r="A2" s="29" t="s">
        <v>65</v>
      </c>
    </row>
    <row r="3" spans="1:1" x14ac:dyDescent="0.25">
      <c r="A3" s="29" t="s">
        <v>66</v>
      </c>
    </row>
    <row r="4" spans="1:1" x14ac:dyDescent="0.25">
      <c r="A4" s="29" t="s">
        <v>67</v>
      </c>
    </row>
    <row r="5" spans="1:1" x14ac:dyDescent="0.25">
      <c r="A5" s="29" t="s">
        <v>68</v>
      </c>
    </row>
    <row r="6" spans="1:1" x14ac:dyDescent="0.25">
      <c r="A6" s="29" t="s">
        <v>69</v>
      </c>
    </row>
    <row r="7" spans="1:1" x14ac:dyDescent="0.25">
      <c r="A7" s="29" t="s">
        <v>70</v>
      </c>
    </row>
    <row r="8" spans="1:1" x14ac:dyDescent="0.25">
      <c r="A8" s="29" t="s">
        <v>71</v>
      </c>
    </row>
    <row r="9" spans="1:1" x14ac:dyDescent="0.25">
      <c r="A9" s="29" t="s">
        <v>72</v>
      </c>
    </row>
    <row r="10" spans="1:1" x14ac:dyDescent="0.25">
      <c r="A10" s="29" t="s">
        <v>73</v>
      </c>
    </row>
    <row r="11" spans="1:1" x14ac:dyDescent="0.25">
      <c r="A11" s="29" t="s">
        <v>74</v>
      </c>
    </row>
    <row r="12" spans="1:1" x14ac:dyDescent="0.25">
      <c r="A12" s="29" t="s">
        <v>75</v>
      </c>
    </row>
    <row r="13" spans="1:1" x14ac:dyDescent="0.25">
      <c r="A13" s="29" t="s">
        <v>76</v>
      </c>
    </row>
    <row r="14" spans="1:1" x14ac:dyDescent="0.25">
      <c r="A14" s="29" t="s">
        <v>77</v>
      </c>
    </row>
    <row r="15" spans="1:1" x14ac:dyDescent="0.25">
      <c r="A15" s="29" t="s">
        <v>78</v>
      </c>
    </row>
    <row r="16" spans="1:1" x14ac:dyDescent="0.25">
      <c r="A16" s="29" t="s">
        <v>79</v>
      </c>
    </row>
    <row r="17" spans="1:1" x14ac:dyDescent="0.25">
      <c r="A17" s="29" t="s">
        <v>80</v>
      </c>
    </row>
    <row r="18" spans="1:1" x14ac:dyDescent="0.25">
      <c r="A18" s="29" t="s">
        <v>81</v>
      </c>
    </row>
    <row r="19" spans="1:1" x14ac:dyDescent="0.25">
      <c r="A19" s="29" t="s">
        <v>82</v>
      </c>
    </row>
    <row r="20" spans="1:1" x14ac:dyDescent="0.25">
      <c r="A20" s="29" t="s">
        <v>83</v>
      </c>
    </row>
    <row r="21" spans="1:1" x14ac:dyDescent="0.25">
      <c r="A21" s="29" t="s">
        <v>84</v>
      </c>
    </row>
    <row r="22" spans="1:1" x14ac:dyDescent="0.25">
      <c r="A22" s="29" t="s">
        <v>85</v>
      </c>
    </row>
    <row r="23" spans="1:1" x14ac:dyDescent="0.25">
      <c r="A23" s="29" t="s">
        <v>86</v>
      </c>
    </row>
    <row r="24" spans="1:1" x14ac:dyDescent="0.25">
      <c r="A24" s="29" t="s">
        <v>87</v>
      </c>
    </row>
    <row r="25" spans="1:1" x14ac:dyDescent="0.25">
      <c r="A25" s="29" t="s">
        <v>88</v>
      </c>
    </row>
    <row r="26" spans="1:1" x14ac:dyDescent="0.25">
      <c r="A26" s="29" t="s">
        <v>89</v>
      </c>
    </row>
    <row r="27" spans="1:1" x14ac:dyDescent="0.25">
      <c r="A27" s="29" t="s">
        <v>90</v>
      </c>
    </row>
    <row r="28" spans="1:1" x14ac:dyDescent="0.25">
      <c r="A28" s="29" t="s">
        <v>91</v>
      </c>
    </row>
    <row r="29" spans="1:1" x14ac:dyDescent="0.25">
      <c r="A29" s="29" t="s">
        <v>92</v>
      </c>
    </row>
    <row r="30" spans="1:1" x14ac:dyDescent="0.25">
      <c r="A30" s="29" t="s">
        <v>93</v>
      </c>
    </row>
    <row r="31" spans="1:1" x14ac:dyDescent="0.25">
      <c r="A31" s="29" t="s">
        <v>94</v>
      </c>
    </row>
    <row r="32" spans="1:1" x14ac:dyDescent="0.25">
      <c r="A32" s="29" t="s">
        <v>95</v>
      </c>
    </row>
    <row r="33" spans="1:1" x14ac:dyDescent="0.25">
      <c r="A33" s="29" t="s">
        <v>96</v>
      </c>
    </row>
    <row r="34" spans="1:1" x14ac:dyDescent="0.25">
      <c r="A34" s="29" t="s">
        <v>97</v>
      </c>
    </row>
    <row r="35" spans="1:1" x14ac:dyDescent="0.25">
      <c r="A35" s="29" t="s">
        <v>98</v>
      </c>
    </row>
    <row r="36" spans="1:1" x14ac:dyDescent="0.25">
      <c r="A36" s="29" t="s">
        <v>99</v>
      </c>
    </row>
    <row r="37" spans="1:1" x14ac:dyDescent="0.25">
      <c r="A37" s="29" t="s">
        <v>100</v>
      </c>
    </row>
    <row r="38" spans="1:1" x14ac:dyDescent="0.25">
      <c r="A38" s="29" t="s">
        <v>101</v>
      </c>
    </row>
    <row r="39" spans="1:1" x14ac:dyDescent="0.25">
      <c r="A39" s="29" t="s">
        <v>102</v>
      </c>
    </row>
    <row r="40" spans="1:1" x14ac:dyDescent="0.25">
      <c r="A40" s="29" t="s">
        <v>103</v>
      </c>
    </row>
    <row r="41" spans="1:1" x14ac:dyDescent="0.25">
      <c r="A41" s="29" t="s">
        <v>104</v>
      </c>
    </row>
    <row r="42" spans="1:1" x14ac:dyDescent="0.25">
      <c r="A42" s="29" t="s">
        <v>105</v>
      </c>
    </row>
    <row r="43" spans="1:1" x14ac:dyDescent="0.25">
      <c r="A43" s="29" t="s">
        <v>106</v>
      </c>
    </row>
    <row r="44" spans="1:1" x14ac:dyDescent="0.25">
      <c r="A44" s="29" t="s">
        <v>107</v>
      </c>
    </row>
    <row r="45" spans="1:1" x14ac:dyDescent="0.25">
      <c r="A45" s="29" t="s">
        <v>108</v>
      </c>
    </row>
    <row r="46" spans="1:1" x14ac:dyDescent="0.25">
      <c r="A46" s="29" t="s">
        <v>109</v>
      </c>
    </row>
    <row r="47" spans="1:1" x14ac:dyDescent="0.25">
      <c r="A47" s="29" t="s">
        <v>110</v>
      </c>
    </row>
    <row r="48" spans="1:1" x14ac:dyDescent="0.25">
      <c r="A48" s="29" t="s">
        <v>111</v>
      </c>
    </row>
    <row r="49" spans="1:1" x14ac:dyDescent="0.25">
      <c r="A49" s="29" t="s">
        <v>112</v>
      </c>
    </row>
    <row r="50" spans="1:1" x14ac:dyDescent="0.25">
      <c r="A50" s="29" t="s">
        <v>113</v>
      </c>
    </row>
    <row r="51" spans="1:1" x14ac:dyDescent="0.25">
      <c r="A51" s="29" t="s">
        <v>114</v>
      </c>
    </row>
    <row r="52" spans="1:1" x14ac:dyDescent="0.25">
      <c r="A52" s="29" t="s">
        <v>115</v>
      </c>
    </row>
    <row r="53" spans="1:1" x14ac:dyDescent="0.25">
      <c r="A53" s="29" t="s">
        <v>116</v>
      </c>
    </row>
    <row r="54" spans="1:1" x14ac:dyDescent="0.25">
      <c r="A54" s="29" t="s">
        <v>117</v>
      </c>
    </row>
    <row r="55" spans="1:1" x14ac:dyDescent="0.25">
      <c r="A55" s="29" t="s">
        <v>118</v>
      </c>
    </row>
    <row r="56" spans="1:1" x14ac:dyDescent="0.25">
      <c r="A56" s="29" t="s">
        <v>119</v>
      </c>
    </row>
    <row r="57" spans="1:1" x14ac:dyDescent="0.25">
      <c r="A57" s="29" t="s">
        <v>120</v>
      </c>
    </row>
    <row r="58" spans="1:1" x14ac:dyDescent="0.25">
      <c r="A58" s="29" t="s">
        <v>121</v>
      </c>
    </row>
    <row r="59" spans="1:1" x14ac:dyDescent="0.25">
      <c r="A59" s="29" t="s">
        <v>122</v>
      </c>
    </row>
    <row r="60" spans="1:1" x14ac:dyDescent="0.25">
      <c r="A60" s="29" t="s">
        <v>123</v>
      </c>
    </row>
    <row r="61" spans="1:1" x14ac:dyDescent="0.25">
      <c r="A61" s="29" t="s">
        <v>124</v>
      </c>
    </row>
    <row r="62" spans="1:1" x14ac:dyDescent="0.25">
      <c r="A62" s="29" t="s">
        <v>125</v>
      </c>
    </row>
    <row r="63" spans="1:1" x14ac:dyDescent="0.25">
      <c r="A63" s="29" t="s">
        <v>126</v>
      </c>
    </row>
    <row r="64" spans="1:1" x14ac:dyDescent="0.25">
      <c r="A64" s="29" t="s">
        <v>127</v>
      </c>
    </row>
    <row r="65" spans="1:1" x14ac:dyDescent="0.25">
      <c r="A65" s="29" t="s">
        <v>128</v>
      </c>
    </row>
    <row r="66" spans="1:1" x14ac:dyDescent="0.25">
      <c r="A66" s="29" t="s">
        <v>129</v>
      </c>
    </row>
    <row r="67" spans="1:1" x14ac:dyDescent="0.25">
      <c r="A67" s="29" t="s">
        <v>130</v>
      </c>
    </row>
    <row r="68" spans="1:1" x14ac:dyDescent="0.25">
      <c r="A68" s="29" t="s">
        <v>131</v>
      </c>
    </row>
    <row r="69" spans="1:1" x14ac:dyDescent="0.25">
      <c r="A69" s="29" t="s">
        <v>132</v>
      </c>
    </row>
    <row r="70" spans="1:1" x14ac:dyDescent="0.25">
      <c r="A70" s="29" t="s">
        <v>133</v>
      </c>
    </row>
    <row r="71" spans="1:1" x14ac:dyDescent="0.25">
      <c r="A71" s="29" t="s">
        <v>134</v>
      </c>
    </row>
    <row r="72" spans="1:1" x14ac:dyDescent="0.25">
      <c r="A72" s="29" t="s">
        <v>135</v>
      </c>
    </row>
    <row r="73" spans="1:1" x14ac:dyDescent="0.25">
      <c r="A73" s="29" t="s">
        <v>136</v>
      </c>
    </row>
    <row r="74" spans="1:1" x14ac:dyDescent="0.25">
      <c r="A74" s="29" t="s">
        <v>137</v>
      </c>
    </row>
    <row r="75" spans="1:1" x14ac:dyDescent="0.25">
      <c r="A75" s="29" t="s">
        <v>138</v>
      </c>
    </row>
    <row r="76" spans="1:1" x14ac:dyDescent="0.25">
      <c r="A76" s="29" t="s">
        <v>139</v>
      </c>
    </row>
    <row r="77" spans="1:1" x14ac:dyDescent="0.25">
      <c r="A77" s="29" t="s">
        <v>140</v>
      </c>
    </row>
    <row r="78" spans="1:1" x14ac:dyDescent="0.25">
      <c r="A78" s="29" t="s">
        <v>141</v>
      </c>
    </row>
    <row r="79" spans="1:1" x14ac:dyDescent="0.25">
      <c r="A79" s="29" t="s">
        <v>142</v>
      </c>
    </row>
    <row r="80" spans="1:1" x14ac:dyDescent="0.25">
      <c r="A80" s="29" t="s">
        <v>143</v>
      </c>
    </row>
    <row r="81" spans="1:1" x14ac:dyDescent="0.25">
      <c r="A81" s="29" t="s">
        <v>144</v>
      </c>
    </row>
    <row r="82" spans="1:1" x14ac:dyDescent="0.25">
      <c r="A82" s="29" t="s">
        <v>145</v>
      </c>
    </row>
    <row r="83" spans="1:1" x14ac:dyDescent="0.25">
      <c r="A83" s="29" t="s">
        <v>146</v>
      </c>
    </row>
    <row r="84" spans="1:1" x14ac:dyDescent="0.25">
      <c r="A84" s="29" t="s">
        <v>147</v>
      </c>
    </row>
    <row r="85" spans="1:1" x14ac:dyDescent="0.25">
      <c r="A85" s="29" t="s">
        <v>148</v>
      </c>
    </row>
    <row r="86" spans="1:1" x14ac:dyDescent="0.25">
      <c r="A86" s="29" t="s">
        <v>149</v>
      </c>
    </row>
    <row r="87" spans="1:1" x14ac:dyDescent="0.25">
      <c r="A87" s="29" t="s">
        <v>150</v>
      </c>
    </row>
    <row r="88" spans="1:1" x14ac:dyDescent="0.25">
      <c r="A88" s="29" t="s">
        <v>151</v>
      </c>
    </row>
    <row r="89" spans="1:1" x14ac:dyDescent="0.25">
      <c r="A89" s="29" t="s">
        <v>152</v>
      </c>
    </row>
    <row r="90" spans="1:1" x14ac:dyDescent="0.25">
      <c r="A90" s="29" t="s">
        <v>153</v>
      </c>
    </row>
    <row r="91" spans="1:1" ht="30" x14ac:dyDescent="0.25">
      <c r="A91" s="29" t="s">
        <v>154</v>
      </c>
    </row>
    <row r="92" spans="1:1" x14ac:dyDescent="0.25">
      <c r="A92" s="29" t="s">
        <v>155</v>
      </c>
    </row>
    <row r="93" spans="1:1" x14ac:dyDescent="0.25">
      <c r="A93" s="29" t="s">
        <v>156</v>
      </c>
    </row>
    <row r="94" spans="1:1" x14ac:dyDescent="0.25">
      <c r="A94" s="29" t="s">
        <v>157</v>
      </c>
    </row>
    <row r="95" spans="1:1" x14ac:dyDescent="0.25">
      <c r="A95" s="29" t="s">
        <v>158</v>
      </c>
    </row>
    <row r="96" spans="1:1" x14ac:dyDescent="0.25">
      <c r="A96" s="29" t="s">
        <v>159</v>
      </c>
    </row>
    <row r="97" spans="1:1" x14ac:dyDescent="0.25">
      <c r="A97" s="29" t="s">
        <v>160</v>
      </c>
    </row>
    <row r="98" spans="1:1" x14ac:dyDescent="0.25">
      <c r="A98" s="29" t="s">
        <v>161</v>
      </c>
    </row>
    <row r="99" spans="1:1" x14ac:dyDescent="0.25">
      <c r="A99" s="29" t="s">
        <v>162</v>
      </c>
    </row>
    <row r="100" spans="1:1" x14ac:dyDescent="0.25">
      <c r="A100" s="29" t="s">
        <v>163</v>
      </c>
    </row>
    <row r="101" spans="1:1" x14ac:dyDescent="0.25">
      <c r="A101" s="29" t="s">
        <v>164</v>
      </c>
    </row>
    <row r="102" spans="1:1" x14ac:dyDescent="0.25">
      <c r="A102" s="29" t="s">
        <v>165</v>
      </c>
    </row>
    <row r="103" spans="1:1" x14ac:dyDescent="0.25">
      <c r="A103" s="29" t="s">
        <v>166</v>
      </c>
    </row>
    <row r="104" spans="1:1" x14ac:dyDescent="0.25">
      <c r="A104" s="29" t="s">
        <v>167</v>
      </c>
    </row>
    <row r="105" spans="1:1" x14ac:dyDescent="0.25">
      <c r="A105" s="29" t="s">
        <v>168</v>
      </c>
    </row>
    <row r="106" spans="1:1" x14ac:dyDescent="0.25">
      <c r="A106" s="29" t="s">
        <v>169</v>
      </c>
    </row>
    <row r="107" spans="1:1" x14ac:dyDescent="0.25">
      <c r="A107" s="29" t="s">
        <v>170</v>
      </c>
    </row>
    <row r="108" spans="1:1" x14ac:dyDescent="0.25">
      <c r="A108" s="29" t="s">
        <v>171</v>
      </c>
    </row>
    <row r="109" spans="1:1" x14ac:dyDescent="0.25">
      <c r="A109" s="29" t="s">
        <v>172</v>
      </c>
    </row>
    <row r="110" spans="1:1" x14ac:dyDescent="0.25">
      <c r="A110" s="29" t="s">
        <v>173</v>
      </c>
    </row>
    <row r="111" spans="1:1" x14ac:dyDescent="0.25">
      <c r="A111" s="29" t="s">
        <v>174</v>
      </c>
    </row>
    <row r="112" spans="1:1" x14ac:dyDescent="0.25">
      <c r="A112" s="29" t="s">
        <v>175</v>
      </c>
    </row>
    <row r="113" spans="1:1" x14ac:dyDescent="0.25">
      <c r="A113" s="29" t="s">
        <v>176</v>
      </c>
    </row>
    <row r="114" spans="1:1" x14ac:dyDescent="0.25">
      <c r="A114" s="29" t="s">
        <v>177</v>
      </c>
    </row>
    <row r="115" spans="1:1" x14ac:dyDescent="0.25">
      <c r="A115" s="29" t="s">
        <v>178</v>
      </c>
    </row>
    <row r="116" spans="1:1" x14ac:dyDescent="0.25">
      <c r="A116" s="29" t="s">
        <v>179</v>
      </c>
    </row>
    <row r="117" spans="1:1" x14ac:dyDescent="0.25">
      <c r="A117" s="29" t="s">
        <v>180</v>
      </c>
    </row>
    <row r="118" spans="1:1" x14ac:dyDescent="0.25">
      <c r="A118" s="29" t="s">
        <v>181</v>
      </c>
    </row>
    <row r="119" spans="1:1" x14ac:dyDescent="0.25">
      <c r="A119" s="29" t="s">
        <v>182</v>
      </c>
    </row>
    <row r="120" spans="1:1" x14ac:dyDescent="0.25">
      <c r="A120" s="29" t="s">
        <v>183</v>
      </c>
    </row>
    <row r="121" spans="1:1" x14ac:dyDescent="0.25">
      <c r="A121" s="29" t="s">
        <v>184</v>
      </c>
    </row>
    <row r="122" spans="1:1" x14ac:dyDescent="0.25">
      <c r="A122" s="29" t="s">
        <v>185</v>
      </c>
    </row>
    <row r="123" spans="1:1" x14ac:dyDescent="0.25">
      <c r="A123" s="29" t="s">
        <v>186</v>
      </c>
    </row>
    <row r="124" spans="1:1" x14ac:dyDescent="0.25">
      <c r="A124" s="29" t="s">
        <v>187</v>
      </c>
    </row>
    <row r="125" spans="1:1" x14ac:dyDescent="0.25">
      <c r="A125" s="29" t="s">
        <v>188</v>
      </c>
    </row>
    <row r="126" spans="1:1" x14ac:dyDescent="0.25">
      <c r="A126" s="29" t="s">
        <v>189</v>
      </c>
    </row>
    <row r="127" spans="1:1" x14ac:dyDescent="0.25">
      <c r="A127" s="29" t="s">
        <v>190</v>
      </c>
    </row>
    <row r="128" spans="1:1" x14ac:dyDescent="0.25">
      <c r="A128" s="29" t="s">
        <v>191</v>
      </c>
    </row>
    <row r="129" spans="1:1" x14ac:dyDescent="0.25">
      <c r="A129" s="29" t="s">
        <v>192</v>
      </c>
    </row>
    <row r="130" spans="1:1" x14ac:dyDescent="0.25">
      <c r="A130" s="29" t="s">
        <v>193</v>
      </c>
    </row>
    <row r="131" spans="1:1" x14ac:dyDescent="0.25">
      <c r="A131" s="29" t="s">
        <v>194</v>
      </c>
    </row>
    <row r="132" spans="1:1" x14ac:dyDescent="0.25">
      <c r="A132" s="29" t="s">
        <v>195</v>
      </c>
    </row>
    <row r="133" spans="1:1" x14ac:dyDescent="0.25">
      <c r="A133" s="29" t="s">
        <v>196</v>
      </c>
    </row>
    <row r="134" spans="1:1" x14ac:dyDescent="0.25">
      <c r="A134" s="29" t="s">
        <v>197</v>
      </c>
    </row>
    <row r="135" spans="1:1" x14ac:dyDescent="0.25">
      <c r="A135" s="29" t="s">
        <v>198</v>
      </c>
    </row>
    <row r="136" spans="1:1" x14ac:dyDescent="0.25">
      <c r="A136" s="29" t="s">
        <v>199</v>
      </c>
    </row>
    <row r="137" spans="1:1" x14ac:dyDescent="0.25">
      <c r="A137" s="29" t="s">
        <v>200</v>
      </c>
    </row>
    <row r="138" spans="1:1" x14ac:dyDescent="0.25">
      <c r="A138" s="29" t="s">
        <v>201</v>
      </c>
    </row>
    <row r="139" spans="1:1" x14ac:dyDescent="0.25">
      <c r="A139" s="29" t="s">
        <v>202</v>
      </c>
    </row>
    <row r="140" spans="1:1" x14ac:dyDescent="0.25">
      <c r="A140" s="29" t="s">
        <v>203</v>
      </c>
    </row>
    <row r="141" spans="1:1" x14ac:dyDescent="0.25">
      <c r="A141" s="29" t="s">
        <v>204</v>
      </c>
    </row>
    <row r="142" spans="1:1" x14ac:dyDescent="0.25">
      <c r="A142" s="29" t="s">
        <v>205</v>
      </c>
    </row>
    <row r="143" spans="1:1" x14ac:dyDescent="0.25">
      <c r="A143" s="29" t="s">
        <v>206</v>
      </c>
    </row>
    <row r="144" spans="1:1" x14ac:dyDescent="0.25">
      <c r="A144" s="29" t="s">
        <v>207</v>
      </c>
    </row>
    <row r="145" spans="1:1" x14ac:dyDescent="0.25">
      <c r="A145" s="29" t="s">
        <v>208</v>
      </c>
    </row>
    <row r="146" spans="1:1" x14ac:dyDescent="0.25">
      <c r="A146" s="29" t="s">
        <v>209</v>
      </c>
    </row>
    <row r="147" spans="1:1" x14ac:dyDescent="0.25">
      <c r="A147" s="29" t="s">
        <v>210</v>
      </c>
    </row>
    <row r="148" spans="1:1" x14ac:dyDescent="0.25">
      <c r="A148" s="29" t="s">
        <v>211</v>
      </c>
    </row>
    <row r="149" spans="1:1" x14ac:dyDescent="0.25">
      <c r="A149" s="29" t="s">
        <v>212</v>
      </c>
    </row>
    <row r="150" spans="1:1" x14ac:dyDescent="0.25">
      <c r="A150" s="29" t="s">
        <v>213</v>
      </c>
    </row>
    <row r="151" spans="1:1" x14ac:dyDescent="0.25">
      <c r="A151" s="29" t="s">
        <v>214</v>
      </c>
    </row>
    <row r="152" spans="1:1" x14ac:dyDescent="0.25">
      <c r="A152" s="29" t="s">
        <v>215</v>
      </c>
    </row>
    <row r="153" spans="1:1" x14ac:dyDescent="0.25">
      <c r="A153" s="29" t="s">
        <v>216</v>
      </c>
    </row>
    <row r="154" spans="1:1" x14ac:dyDescent="0.25">
      <c r="A154" s="29" t="s">
        <v>217</v>
      </c>
    </row>
    <row r="155" spans="1:1" x14ac:dyDescent="0.25">
      <c r="A155" s="29" t="s">
        <v>218</v>
      </c>
    </row>
    <row r="156" spans="1:1" x14ac:dyDescent="0.25">
      <c r="A156" s="29" t="s">
        <v>219</v>
      </c>
    </row>
    <row r="157" spans="1:1" x14ac:dyDescent="0.25">
      <c r="A157" s="29" t="s">
        <v>220</v>
      </c>
    </row>
    <row r="158" spans="1:1" x14ac:dyDescent="0.25">
      <c r="A158" s="29" t="s">
        <v>221</v>
      </c>
    </row>
    <row r="159" spans="1:1" x14ac:dyDescent="0.25">
      <c r="A159" s="29" t="s">
        <v>222</v>
      </c>
    </row>
    <row r="160" spans="1:1" x14ac:dyDescent="0.25">
      <c r="A160" s="29" t="s">
        <v>223</v>
      </c>
    </row>
    <row r="161" spans="1:1" x14ac:dyDescent="0.25">
      <c r="A161" s="29" t="s">
        <v>224</v>
      </c>
    </row>
    <row r="162" spans="1:1" x14ac:dyDescent="0.25">
      <c r="A162" s="29" t="s">
        <v>225</v>
      </c>
    </row>
    <row r="163" spans="1:1" x14ac:dyDescent="0.25">
      <c r="A163" s="29" t="s">
        <v>226</v>
      </c>
    </row>
    <row r="164" spans="1:1" x14ac:dyDescent="0.25">
      <c r="A164" s="29" t="s">
        <v>227</v>
      </c>
    </row>
    <row r="165" spans="1:1" x14ac:dyDescent="0.25">
      <c r="A165" s="29" t="s">
        <v>228</v>
      </c>
    </row>
    <row r="166" spans="1:1" x14ac:dyDescent="0.25">
      <c r="A166" s="29" t="s">
        <v>229</v>
      </c>
    </row>
    <row r="167" spans="1:1" x14ac:dyDescent="0.25">
      <c r="A167" s="29" t="s">
        <v>230</v>
      </c>
    </row>
    <row r="168" spans="1:1" x14ac:dyDescent="0.25">
      <c r="A168" s="29" t="s">
        <v>231</v>
      </c>
    </row>
    <row r="169" spans="1:1" x14ac:dyDescent="0.25">
      <c r="A169" s="29" t="s">
        <v>232</v>
      </c>
    </row>
    <row r="170" spans="1:1" x14ac:dyDescent="0.25">
      <c r="A170" s="29" t="s">
        <v>233</v>
      </c>
    </row>
    <row r="171" spans="1:1" x14ac:dyDescent="0.25">
      <c r="A171" s="29" t="s">
        <v>234</v>
      </c>
    </row>
    <row r="172" spans="1:1" x14ac:dyDescent="0.25">
      <c r="A172" s="29" t="s">
        <v>235</v>
      </c>
    </row>
    <row r="173" spans="1:1" x14ac:dyDescent="0.25">
      <c r="A173" s="29" t="s">
        <v>236</v>
      </c>
    </row>
    <row r="174" spans="1:1" x14ac:dyDescent="0.25">
      <c r="A174" s="29" t="s">
        <v>237</v>
      </c>
    </row>
    <row r="175" spans="1:1" x14ac:dyDescent="0.25">
      <c r="A175" s="29" t="s">
        <v>238</v>
      </c>
    </row>
    <row r="176" spans="1:1" x14ac:dyDescent="0.25">
      <c r="A176" s="29" t="s">
        <v>239</v>
      </c>
    </row>
    <row r="177" spans="1:1" x14ac:dyDescent="0.25">
      <c r="A177" s="29" t="s">
        <v>240</v>
      </c>
    </row>
    <row r="178" spans="1:1" x14ac:dyDescent="0.25">
      <c r="A178" s="29" t="s">
        <v>241</v>
      </c>
    </row>
    <row r="179" spans="1:1" x14ac:dyDescent="0.25">
      <c r="A179" s="29" t="s">
        <v>242</v>
      </c>
    </row>
    <row r="180" spans="1:1" x14ac:dyDescent="0.25">
      <c r="A180" s="29" t="s">
        <v>243</v>
      </c>
    </row>
    <row r="181" spans="1:1" x14ac:dyDescent="0.25">
      <c r="A181" s="29" t="s">
        <v>244</v>
      </c>
    </row>
    <row r="182" spans="1:1" x14ac:dyDescent="0.25">
      <c r="A182" s="29" t="s">
        <v>245</v>
      </c>
    </row>
    <row r="183" spans="1:1" x14ac:dyDescent="0.25">
      <c r="A183" s="29" t="s">
        <v>246</v>
      </c>
    </row>
    <row r="184" spans="1:1" x14ac:dyDescent="0.25">
      <c r="A184" s="29" t="s">
        <v>247</v>
      </c>
    </row>
    <row r="185" spans="1:1" x14ac:dyDescent="0.25">
      <c r="A185" s="29" t="s">
        <v>248</v>
      </c>
    </row>
    <row r="186" spans="1:1" x14ac:dyDescent="0.25">
      <c r="A186" s="29" t="s">
        <v>249</v>
      </c>
    </row>
    <row r="187" spans="1:1" x14ac:dyDescent="0.25">
      <c r="A187" s="29" t="s">
        <v>250</v>
      </c>
    </row>
    <row r="188" spans="1:1" x14ac:dyDescent="0.25">
      <c r="A188" s="29" t="s">
        <v>251</v>
      </c>
    </row>
    <row r="189" spans="1:1" x14ac:dyDescent="0.25">
      <c r="A189" s="29" t="s">
        <v>252</v>
      </c>
    </row>
    <row r="190" spans="1:1" x14ac:dyDescent="0.25">
      <c r="A190" s="29" t="s">
        <v>253</v>
      </c>
    </row>
    <row r="191" spans="1:1" x14ac:dyDescent="0.25">
      <c r="A191" s="29" t="s">
        <v>254</v>
      </c>
    </row>
    <row r="192" spans="1:1" x14ac:dyDescent="0.25">
      <c r="A192" s="29" t="s">
        <v>255</v>
      </c>
    </row>
    <row r="193" spans="1:1" x14ac:dyDescent="0.25">
      <c r="A193" s="29" t="s">
        <v>256</v>
      </c>
    </row>
    <row r="194" spans="1:1" x14ac:dyDescent="0.25">
      <c r="A194" s="29" t="s">
        <v>257</v>
      </c>
    </row>
    <row r="195" spans="1:1" x14ac:dyDescent="0.25">
      <c r="A195" s="29" t="s">
        <v>258</v>
      </c>
    </row>
    <row r="196" spans="1:1" x14ac:dyDescent="0.25">
      <c r="A196" s="29" t="s">
        <v>259</v>
      </c>
    </row>
    <row r="197" spans="1:1" x14ac:dyDescent="0.25">
      <c r="A197" s="29" t="s">
        <v>260</v>
      </c>
    </row>
    <row r="198" spans="1:1" x14ac:dyDescent="0.25">
      <c r="A198" s="29" t="s">
        <v>261</v>
      </c>
    </row>
    <row r="199" spans="1:1" x14ac:dyDescent="0.25">
      <c r="A199" s="29" t="s">
        <v>262</v>
      </c>
    </row>
    <row r="200" spans="1:1" x14ac:dyDescent="0.25">
      <c r="A200" s="29" t="s">
        <v>263</v>
      </c>
    </row>
    <row r="201" spans="1:1" x14ac:dyDescent="0.25">
      <c r="A201" s="29" t="s">
        <v>264</v>
      </c>
    </row>
    <row r="202" spans="1:1" x14ac:dyDescent="0.25">
      <c r="A202" s="29" t="s">
        <v>265</v>
      </c>
    </row>
    <row r="203" spans="1:1" x14ac:dyDescent="0.25">
      <c r="A203" s="29" t="s">
        <v>266</v>
      </c>
    </row>
    <row r="204" spans="1:1" x14ac:dyDescent="0.25">
      <c r="A204" s="29" t="s">
        <v>267</v>
      </c>
    </row>
    <row r="205" spans="1:1" x14ac:dyDescent="0.25">
      <c r="A205" s="29" t="s">
        <v>268</v>
      </c>
    </row>
    <row r="206" spans="1:1" x14ac:dyDescent="0.25">
      <c r="A206" s="29" t="s">
        <v>269</v>
      </c>
    </row>
    <row r="207" spans="1:1" x14ac:dyDescent="0.25">
      <c r="A207" s="29" t="s">
        <v>270</v>
      </c>
    </row>
    <row r="208" spans="1:1" x14ac:dyDescent="0.25">
      <c r="A208" s="29" t="s">
        <v>271</v>
      </c>
    </row>
    <row r="209" spans="1:1" x14ac:dyDescent="0.25">
      <c r="A209" s="29" t="s">
        <v>272</v>
      </c>
    </row>
    <row r="210" spans="1:1" x14ac:dyDescent="0.25">
      <c r="A210" s="29" t="s">
        <v>273</v>
      </c>
    </row>
    <row r="211" spans="1:1" x14ac:dyDescent="0.25">
      <c r="A211" s="29" t="s">
        <v>274</v>
      </c>
    </row>
    <row r="212" spans="1:1" x14ac:dyDescent="0.25">
      <c r="A212" s="29" t="s">
        <v>275</v>
      </c>
    </row>
    <row r="213" spans="1:1" x14ac:dyDescent="0.25">
      <c r="A213" s="29" t="s">
        <v>276</v>
      </c>
    </row>
    <row r="214" spans="1:1" x14ac:dyDescent="0.25">
      <c r="A214" s="29" t="s">
        <v>277</v>
      </c>
    </row>
    <row r="215" spans="1:1" x14ac:dyDescent="0.25">
      <c r="A215" s="29" t="s">
        <v>278</v>
      </c>
    </row>
    <row r="216" spans="1:1" x14ac:dyDescent="0.25">
      <c r="A216" s="29" t="s">
        <v>279</v>
      </c>
    </row>
    <row r="217" spans="1:1" x14ac:dyDescent="0.25">
      <c r="A217" s="29" t="s">
        <v>280</v>
      </c>
    </row>
    <row r="218" spans="1:1" x14ac:dyDescent="0.25">
      <c r="A218" s="29" t="s">
        <v>281</v>
      </c>
    </row>
    <row r="219" spans="1:1" x14ac:dyDescent="0.25">
      <c r="A219" s="29" t="s">
        <v>282</v>
      </c>
    </row>
    <row r="220" spans="1:1" x14ac:dyDescent="0.25">
      <c r="A220" s="29" t="s">
        <v>283</v>
      </c>
    </row>
    <row r="221" spans="1:1" x14ac:dyDescent="0.25">
      <c r="A221" s="29" t="s">
        <v>284</v>
      </c>
    </row>
    <row r="222" spans="1:1" x14ac:dyDescent="0.25">
      <c r="A222" s="29" t="s">
        <v>285</v>
      </c>
    </row>
    <row r="223" spans="1:1" x14ac:dyDescent="0.25">
      <c r="A223" s="29" t="s">
        <v>286</v>
      </c>
    </row>
    <row r="224" spans="1:1" x14ac:dyDescent="0.25">
      <c r="A224" s="29" t="s">
        <v>287</v>
      </c>
    </row>
    <row r="225" spans="1:1" x14ac:dyDescent="0.25">
      <c r="A225" s="29" t="s">
        <v>288</v>
      </c>
    </row>
    <row r="226" spans="1:1" x14ac:dyDescent="0.25">
      <c r="A226" s="29" t="s">
        <v>289</v>
      </c>
    </row>
    <row r="227" spans="1:1" x14ac:dyDescent="0.25">
      <c r="A227" s="29" t="s">
        <v>290</v>
      </c>
    </row>
    <row r="228" spans="1:1" x14ac:dyDescent="0.25">
      <c r="A228" s="29" t="s">
        <v>291</v>
      </c>
    </row>
    <row r="229" spans="1:1" x14ac:dyDescent="0.25">
      <c r="A229" s="29" t="s">
        <v>292</v>
      </c>
    </row>
    <row r="230" spans="1:1" x14ac:dyDescent="0.25">
      <c r="A230" s="29" t="s">
        <v>293</v>
      </c>
    </row>
    <row r="231" spans="1:1" x14ac:dyDescent="0.25">
      <c r="A231" s="29" t="s">
        <v>294</v>
      </c>
    </row>
    <row r="232" spans="1:1" x14ac:dyDescent="0.25">
      <c r="A232" s="29" t="s">
        <v>295</v>
      </c>
    </row>
    <row r="233" spans="1:1" x14ac:dyDescent="0.25">
      <c r="A233" s="29" t="s">
        <v>296</v>
      </c>
    </row>
    <row r="234" spans="1:1" x14ac:dyDescent="0.25">
      <c r="A234" s="29" t="s">
        <v>297</v>
      </c>
    </row>
    <row r="235" spans="1:1" x14ac:dyDescent="0.25">
      <c r="A235" s="29" t="s">
        <v>298</v>
      </c>
    </row>
    <row r="236" spans="1:1" x14ac:dyDescent="0.25">
      <c r="A236" s="29" t="s">
        <v>299</v>
      </c>
    </row>
    <row r="237" spans="1:1" x14ac:dyDescent="0.25">
      <c r="A237" s="29" t="s">
        <v>300</v>
      </c>
    </row>
    <row r="238" spans="1:1" x14ac:dyDescent="0.25">
      <c r="A238" s="29" t="s">
        <v>301</v>
      </c>
    </row>
    <row r="239" spans="1:1" x14ac:dyDescent="0.25">
      <c r="A239" s="29" t="s">
        <v>302</v>
      </c>
    </row>
    <row r="240" spans="1:1" x14ac:dyDescent="0.25">
      <c r="A240" s="29" t="s">
        <v>303</v>
      </c>
    </row>
    <row r="241" spans="1:1" x14ac:dyDescent="0.25">
      <c r="A241" s="29" t="s">
        <v>304</v>
      </c>
    </row>
    <row r="242" spans="1:1" x14ac:dyDescent="0.25">
      <c r="A242" s="29" t="s">
        <v>305</v>
      </c>
    </row>
    <row r="243" spans="1:1" x14ac:dyDescent="0.25">
      <c r="A243" s="29" t="s">
        <v>306</v>
      </c>
    </row>
    <row r="244" spans="1:1" x14ac:dyDescent="0.25">
      <c r="A244" s="29" t="s">
        <v>307</v>
      </c>
    </row>
    <row r="245" spans="1:1" x14ac:dyDescent="0.25">
      <c r="A245" s="29" t="s">
        <v>308</v>
      </c>
    </row>
    <row r="246" spans="1:1" x14ac:dyDescent="0.25">
      <c r="A246" s="29" t="s">
        <v>309</v>
      </c>
    </row>
    <row r="247" spans="1:1" x14ac:dyDescent="0.25">
      <c r="A247" s="29" t="s">
        <v>310</v>
      </c>
    </row>
    <row r="248" spans="1:1" x14ac:dyDescent="0.25">
      <c r="A248" s="29" t="s">
        <v>311</v>
      </c>
    </row>
    <row r="249" spans="1:1" x14ac:dyDescent="0.25">
      <c r="A249" s="29" t="s">
        <v>312</v>
      </c>
    </row>
    <row r="250" spans="1:1" x14ac:dyDescent="0.25">
      <c r="A250" s="29" t="s">
        <v>313</v>
      </c>
    </row>
    <row r="251" spans="1:1" x14ac:dyDescent="0.25">
      <c r="A251" s="29" t="s">
        <v>314</v>
      </c>
    </row>
    <row r="252" spans="1:1" x14ac:dyDescent="0.25">
      <c r="A252" s="29" t="s">
        <v>315</v>
      </c>
    </row>
    <row r="253" spans="1:1" x14ac:dyDescent="0.25">
      <c r="A253" s="29" t="s">
        <v>316</v>
      </c>
    </row>
    <row r="254" spans="1:1" x14ac:dyDescent="0.25">
      <c r="A254" s="29" t="s">
        <v>317</v>
      </c>
    </row>
    <row r="255" spans="1:1" x14ac:dyDescent="0.25">
      <c r="A255" s="29" t="s">
        <v>318</v>
      </c>
    </row>
    <row r="256" spans="1:1" x14ac:dyDescent="0.25">
      <c r="A256" s="29" t="s">
        <v>319</v>
      </c>
    </row>
    <row r="257" spans="1:1" x14ac:dyDescent="0.25">
      <c r="A257" s="29" t="s">
        <v>320</v>
      </c>
    </row>
    <row r="258" spans="1:1" x14ac:dyDescent="0.25">
      <c r="A258" s="29" t="s">
        <v>321</v>
      </c>
    </row>
    <row r="259" spans="1:1" x14ac:dyDescent="0.25">
      <c r="A259" s="29" t="s">
        <v>322</v>
      </c>
    </row>
    <row r="260" spans="1:1" x14ac:dyDescent="0.25">
      <c r="A260" s="29" t="s">
        <v>323</v>
      </c>
    </row>
    <row r="261" spans="1:1" x14ac:dyDescent="0.25">
      <c r="A261" s="29" t="s">
        <v>324</v>
      </c>
    </row>
    <row r="262" spans="1:1" x14ac:dyDescent="0.25">
      <c r="A262" s="29" t="s">
        <v>325</v>
      </c>
    </row>
    <row r="263" spans="1:1" x14ac:dyDescent="0.25">
      <c r="A263" s="29" t="s">
        <v>326</v>
      </c>
    </row>
    <row r="264" spans="1:1" x14ac:dyDescent="0.25">
      <c r="A264" s="29" t="s">
        <v>327</v>
      </c>
    </row>
    <row r="265" spans="1:1" x14ac:dyDescent="0.25">
      <c r="A265" s="29" t="s">
        <v>328</v>
      </c>
    </row>
    <row r="266" spans="1:1" x14ac:dyDescent="0.25">
      <c r="A266" s="29" t="s">
        <v>329</v>
      </c>
    </row>
    <row r="267" spans="1:1" x14ac:dyDescent="0.25">
      <c r="A267" s="29" t="s">
        <v>330</v>
      </c>
    </row>
    <row r="268" spans="1:1" x14ac:dyDescent="0.25">
      <c r="A268" s="29" t="s">
        <v>331</v>
      </c>
    </row>
    <row r="269" spans="1:1" x14ac:dyDescent="0.25">
      <c r="A269" s="29" t="s">
        <v>332</v>
      </c>
    </row>
    <row r="270" spans="1:1" x14ac:dyDescent="0.25">
      <c r="A270" s="29" t="s">
        <v>333</v>
      </c>
    </row>
    <row r="271" spans="1:1" x14ac:dyDescent="0.25">
      <c r="A271" s="29" t="s">
        <v>334</v>
      </c>
    </row>
    <row r="272" spans="1:1" x14ac:dyDescent="0.25">
      <c r="A272" s="29" t="s">
        <v>335</v>
      </c>
    </row>
    <row r="273" spans="1:1" x14ac:dyDescent="0.25">
      <c r="A273" s="29" t="s">
        <v>336</v>
      </c>
    </row>
    <row r="274" spans="1:1" x14ac:dyDescent="0.25">
      <c r="A274" s="29" t="s">
        <v>337</v>
      </c>
    </row>
    <row r="275" spans="1:1" x14ac:dyDescent="0.25">
      <c r="A275" s="29" t="s">
        <v>338</v>
      </c>
    </row>
    <row r="276" spans="1:1" x14ac:dyDescent="0.25">
      <c r="A276" s="29" t="s">
        <v>339</v>
      </c>
    </row>
    <row r="277" spans="1:1" x14ac:dyDescent="0.25">
      <c r="A277" s="29" t="s">
        <v>340</v>
      </c>
    </row>
    <row r="278" spans="1:1" x14ac:dyDescent="0.25">
      <c r="A278" s="29" t="s">
        <v>341</v>
      </c>
    </row>
    <row r="279" spans="1:1" x14ac:dyDescent="0.25">
      <c r="A279" s="29" t="s">
        <v>342</v>
      </c>
    </row>
    <row r="280" spans="1:1" x14ac:dyDescent="0.25">
      <c r="A280" s="29" t="s">
        <v>343</v>
      </c>
    </row>
    <row r="281" spans="1:1" x14ac:dyDescent="0.25">
      <c r="A281" s="29" t="s">
        <v>344</v>
      </c>
    </row>
    <row r="282" spans="1:1" x14ac:dyDescent="0.25">
      <c r="A282" s="29" t="s">
        <v>345</v>
      </c>
    </row>
    <row r="283" spans="1:1" x14ac:dyDescent="0.25">
      <c r="A283" s="29" t="s">
        <v>346</v>
      </c>
    </row>
    <row r="284" spans="1:1" x14ac:dyDescent="0.25">
      <c r="A284" s="29" t="s">
        <v>347</v>
      </c>
    </row>
    <row r="285" spans="1:1" x14ac:dyDescent="0.25">
      <c r="A285" s="29" t="s">
        <v>348</v>
      </c>
    </row>
    <row r="286" spans="1:1" x14ac:dyDescent="0.25">
      <c r="A286" s="29" t="s">
        <v>349</v>
      </c>
    </row>
    <row r="287" spans="1:1" x14ac:dyDescent="0.25">
      <c r="A287" s="29" t="s">
        <v>350</v>
      </c>
    </row>
    <row r="288" spans="1:1" x14ac:dyDescent="0.25">
      <c r="A288" s="29" t="s">
        <v>351</v>
      </c>
    </row>
    <row r="289" spans="1:1" x14ac:dyDescent="0.25">
      <c r="A289" s="29" t="s">
        <v>352</v>
      </c>
    </row>
    <row r="290" spans="1:1" x14ac:dyDescent="0.25">
      <c r="A290" s="29" t="s">
        <v>353</v>
      </c>
    </row>
    <row r="291" spans="1:1" x14ac:dyDescent="0.25">
      <c r="A291" s="29" t="s">
        <v>354</v>
      </c>
    </row>
    <row r="292" spans="1:1" x14ac:dyDescent="0.25">
      <c r="A292" s="29" t="s">
        <v>355</v>
      </c>
    </row>
    <row r="293" spans="1:1" x14ac:dyDescent="0.25">
      <c r="A293" s="29" t="s">
        <v>356</v>
      </c>
    </row>
    <row r="294" spans="1:1" x14ac:dyDescent="0.25">
      <c r="A294" s="29" t="s">
        <v>357</v>
      </c>
    </row>
    <row r="295" spans="1:1" x14ac:dyDescent="0.25">
      <c r="A295" s="29" t="s">
        <v>358</v>
      </c>
    </row>
    <row r="296" spans="1:1" x14ac:dyDescent="0.25">
      <c r="A296" s="29" t="s">
        <v>359</v>
      </c>
    </row>
    <row r="297" spans="1:1" x14ac:dyDescent="0.25">
      <c r="A297" s="29" t="s">
        <v>360</v>
      </c>
    </row>
    <row r="298" spans="1:1" x14ac:dyDescent="0.25">
      <c r="A298" s="29" t="s">
        <v>361</v>
      </c>
    </row>
    <row r="299" spans="1:1" x14ac:dyDescent="0.25">
      <c r="A299" s="29" t="s">
        <v>362</v>
      </c>
    </row>
    <row r="300" spans="1:1" x14ac:dyDescent="0.25">
      <c r="A300" s="29" t="s">
        <v>363</v>
      </c>
    </row>
    <row r="301" spans="1:1" x14ac:dyDescent="0.25">
      <c r="A301" s="29" t="s">
        <v>364</v>
      </c>
    </row>
    <row r="302" spans="1:1" x14ac:dyDescent="0.25">
      <c r="A302" s="29" t="s">
        <v>365</v>
      </c>
    </row>
    <row r="303" spans="1:1" x14ac:dyDescent="0.25">
      <c r="A303" s="29" t="s">
        <v>366</v>
      </c>
    </row>
    <row r="304" spans="1:1" x14ac:dyDescent="0.25">
      <c r="A304" s="29" t="s">
        <v>367</v>
      </c>
    </row>
    <row r="305" spans="1:1" x14ac:dyDescent="0.25">
      <c r="A305" s="29" t="s">
        <v>368</v>
      </c>
    </row>
    <row r="306" spans="1:1" x14ac:dyDescent="0.25">
      <c r="A306" s="29" t="s">
        <v>369</v>
      </c>
    </row>
    <row r="307" spans="1:1" x14ac:dyDescent="0.25">
      <c r="A307" s="29" t="s">
        <v>370</v>
      </c>
    </row>
    <row r="308" spans="1:1" x14ac:dyDescent="0.25">
      <c r="A308" s="29" t="s">
        <v>371</v>
      </c>
    </row>
    <row r="309" spans="1:1" x14ac:dyDescent="0.25">
      <c r="A309" s="29" t="s">
        <v>372</v>
      </c>
    </row>
    <row r="310" spans="1:1" x14ac:dyDescent="0.25">
      <c r="A310" s="29" t="s">
        <v>373</v>
      </c>
    </row>
    <row r="311" spans="1:1" x14ac:dyDescent="0.25">
      <c r="A311" s="29" t="s">
        <v>374</v>
      </c>
    </row>
    <row r="312" spans="1:1" x14ac:dyDescent="0.25">
      <c r="A312" s="29" t="s">
        <v>375</v>
      </c>
    </row>
    <row r="313" spans="1:1" x14ac:dyDescent="0.25">
      <c r="A313" s="29" t="s">
        <v>376</v>
      </c>
    </row>
    <row r="314" spans="1:1" x14ac:dyDescent="0.25">
      <c r="A314" s="29" t="s">
        <v>377</v>
      </c>
    </row>
    <row r="315" spans="1:1" x14ac:dyDescent="0.25">
      <c r="A315" s="29" t="s">
        <v>378</v>
      </c>
    </row>
    <row r="316" spans="1:1" x14ac:dyDescent="0.25">
      <c r="A316" s="29" t="s">
        <v>379</v>
      </c>
    </row>
    <row r="317" spans="1:1" x14ac:dyDescent="0.25">
      <c r="A317" s="29" t="s">
        <v>380</v>
      </c>
    </row>
    <row r="318" spans="1:1" x14ac:dyDescent="0.25">
      <c r="A318" s="29" t="s">
        <v>381</v>
      </c>
    </row>
    <row r="319" spans="1:1" x14ac:dyDescent="0.25">
      <c r="A319" s="29" t="s">
        <v>382</v>
      </c>
    </row>
    <row r="320" spans="1:1" x14ac:dyDescent="0.25">
      <c r="A320" s="29" t="s">
        <v>383</v>
      </c>
    </row>
    <row r="321" spans="1:1" x14ac:dyDescent="0.25">
      <c r="A321" s="29" t="s">
        <v>384</v>
      </c>
    </row>
    <row r="322" spans="1:1" x14ac:dyDescent="0.25">
      <c r="A322" s="29" t="s">
        <v>385</v>
      </c>
    </row>
    <row r="323" spans="1:1" x14ac:dyDescent="0.25">
      <c r="A323" s="29" t="s">
        <v>386</v>
      </c>
    </row>
    <row r="324" spans="1:1" x14ac:dyDescent="0.25">
      <c r="A324" s="29" t="s">
        <v>387</v>
      </c>
    </row>
    <row r="325" spans="1:1" x14ac:dyDescent="0.25">
      <c r="A325" s="29" t="s">
        <v>388</v>
      </c>
    </row>
    <row r="326" spans="1:1" x14ac:dyDescent="0.25">
      <c r="A326" s="29" t="s">
        <v>389</v>
      </c>
    </row>
    <row r="327" spans="1:1" x14ac:dyDescent="0.25">
      <c r="A327" s="29" t="s">
        <v>390</v>
      </c>
    </row>
    <row r="328" spans="1:1" x14ac:dyDescent="0.25">
      <c r="A328" s="29" t="s">
        <v>391</v>
      </c>
    </row>
    <row r="329" spans="1:1" x14ac:dyDescent="0.25">
      <c r="A329" s="29" t="s">
        <v>392</v>
      </c>
    </row>
    <row r="330" spans="1:1" x14ac:dyDescent="0.25">
      <c r="A330" s="29" t="s">
        <v>393</v>
      </c>
    </row>
    <row r="331" spans="1:1" x14ac:dyDescent="0.25">
      <c r="A331" s="29" t="s">
        <v>394</v>
      </c>
    </row>
    <row r="332" spans="1:1" x14ac:dyDescent="0.25">
      <c r="A332" s="29" t="s">
        <v>395</v>
      </c>
    </row>
    <row r="333" spans="1:1" x14ac:dyDescent="0.25">
      <c r="A333" s="29" t="s">
        <v>396</v>
      </c>
    </row>
    <row r="334" spans="1:1" x14ac:dyDescent="0.25">
      <c r="A334" s="29" t="s">
        <v>397</v>
      </c>
    </row>
    <row r="335" spans="1:1" x14ac:dyDescent="0.25">
      <c r="A335" s="29" t="s">
        <v>398</v>
      </c>
    </row>
    <row r="336" spans="1:1" x14ac:dyDescent="0.25">
      <c r="A336" s="29" t="s">
        <v>399</v>
      </c>
    </row>
    <row r="337" spans="1:1" x14ac:dyDescent="0.25">
      <c r="A337" s="29" t="s">
        <v>400</v>
      </c>
    </row>
    <row r="338" spans="1:1" x14ac:dyDescent="0.25">
      <c r="A338" s="29" t="s">
        <v>401</v>
      </c>
    </row>
    <row r="339" spans="1:1" x14ac:dyDescent="0.25">
      <c r="A339" s="29" t="s">
        <v>402</v>
      </c>
    </row>
    <row r="340" spans="1:1" x14ac:dyDescent="0.25">
      <c r="A340" s="29" t="s">
        <v>403</v>
      </c>
    </row>
    <row r="341" spans="1:1" x14ac:dyDescent="0.25">
      <c r="A341" s="29" t="s">
        <v>404</v>
      </c>
    </row>
    <row r="342" spans="1:1" x14ac:dyDescent="0.25">
      <c r="A342" s="29" t="s">
        <v>405</v>
      </c>
    </row>
    <row r="343" spans="1:1" x14ac:dyDescent="0.25">
      <c r="A343" s="29" t="s">
        <v>406</v>
      </c>
    </row>
    <row r="344" spans="1:1" x14ac:dyDescent="0.25">
      <c r="A344" s="29" t="s">
        <v>407</v>
      </c>
    </row>
    <row r="345" spans="1:1" x14ac:dyDescent="0.25">
      <c r="A345" s="29" t="s">
        <v>408</v>
      </c>
    </row>
    <row r="346" spans="1:1" x14ac:dyDescent="0.25">
      <c r="A346" s="29" t="s">
        <v>409</v>
      </c>
    </row>
    <row r="347" spans="1:1" x14ac:dyDescent="0.25">
      <c r="A347" s="29" t="s">
        <v>410</v>
      </c>
    </row>
    <row r="348" spans="1:1" x14ac:dyDescent="0.25">
      <c r="A348" s="29" t="s">
        <v>411</v>
      </c>
    </row>
    <row r="349" spans="1:1" x14ac:dyDescent="0.25">
      <c r="A349" s="29" t="s">
        <v>412</v>
      </c>
    </row>
    <row r="350" spans="1:1" x14ac:dyDescent="0.25">
      <c r="A350" s="29" t="s">
        <v>413</v>
      </c>
    </row>
    <row r="351" spans="1:1" x14ac:dyDescent="0.25">
      <c r="A351" s="29" t="s">
        <v>414</v>
      </c>
    </row>
    <row r="352" spans="1:1" x14ac:dyDescent="0.25">
      <c r="A352" s="29" t="s">
        <v>415</v>
      </c>
    </row>
    <row r="353" spans="1:1" x14ac:dyDescent="0.25">
      <c r="A353" s="29" t="s">
        <v>416</v>
      </c>
    </row>
    <row r="354" spans="1:1" x14ac:dyDescent="0.25">
      <c r="A354" s="29" t="s">
        <v>417</v>
      </c>
    </row>
    <row r="355" spans="1:1" x14ac:dyDescent="0.25">
      <c r="A355" s="29" t="s">
        <v>418</v>
      </c>
    </row>
    <row r="356" spans="1:1" x14ac:dyDescent="0.25">
      <c r="A356" s="29" t="s">
        <v>419</v>
      </c>
    </row>
    <row r="357" spans="1:1" x14ac:dyDescent="0.25">
      <c r="A357" s="29" t="s">
        <v>420</v>
      </c>
    </row>
    <row r="358" spans="1:1" x14ac:dyDescent="0.25">
      <c r="A358" s="29" t="s">
        <v>421</v>
      </c>
    </row>
    <row r="359" spans="1:1" x14ac:dyDescent="0.25">
      <c r="A359" s="29" t="s">
        <v>422</v>
      </c>
    </row>
    <row r="360" spans="1:1" x14ac:dyDescent="0.25">
      <c r="A360" s="29" t="s">
        <v>423</v>
      </c>
    </row>
    <row r="361" spans="1:1" x14ac:dyDescent="0.25">
      <c r="A361" s="29" t="s">
        <v>424</v>
      </c>
    </row>
    <row r="362" spans="1:1" x14ac:dyDescent="0.25">
      <c r="A362" s="29" t="s">
        <v>425</v>
      </c>
    </row>
    <row r="363" spans="1:1" x14ac:dyDescent="0.25">
      <c r="A363" s="29" t="s">
        <v>426</v>
      </c>
    </row>
    <row r="364" spans="1:1" x14ac:dyDescent="0.25">
      <c r="A364" s="29" t="s">
        <v>427</v>
      </c>
    </row>
    <row r="365" spans="1:1" x14ac:dyDescent="0.25">
      <c r="A365" s="29" t="s">
        <v>428</v>
      </c>
    </row>
    <row r="366" spans="1:1" x14ac:dyDescent="0.25">
      <c r="A366" s="29" t="s">
        <v>429</v>
      </c>
    </row>
    <row r="367" spans="1:1" x14ac:dyDescent="0.25">
      <c r="A367" s="29" t="s">
        <v>430</v>
      </c>
    </row>
    <row r="368" spans="1:1" x14ac:dyDescent="0.25">
      <c r="A368" s="29" t="s">
        <v>431</v>
      </c>
    </row>
    <row r="369" spans="1:1" x14ac:dyDescent="0.25">
      <c r="A369" s="29" t="s">
        <v>432</v>
      </c>
    </row>
    <row r="370" spans="1:1" x14ac:dyDescent="0.25">
      <c r="A370" s="29" t="s">
        <v>433</v>
      </c>
    </row>
    <row r="371" spans="1:1" x14ac:dyDescent="0.25">
      <c r="A371" s="29" t="s">
        <v>434</v>
      </c>
    </row>
    <row r="372" spans="1:1" x14ac:dyDescent="0.25">
      <c r="A372" s="29" t="s">
        <v>435</v>
      </c>
    </row>
    <row r="373" spans="1:1" x14ac:dyDescent="0.25">
      <c r="A373" s="29" t="s">
        <v>436</v>
      </c>
    </row>
    <row r="374" spans="1:1" x14ac:dyDescent="0.25">
      <c r="A374" s="29" t="s">
        <v>437</v>
      </c>
    </row>
    <row r="375" spans="1:1" x14ac:dyDescent="0.25">
      <c r="A375" s="29" t="s">
        <v>438</v>
      </c>
    </row>
    <row r="376" spans="1:1" x14ac:dyDescent="0.25">
      <c r="A376" s="29" t="s">
        <v>439</v>
      </c>
    </row>
    <row r="377" spans="1:1" x14ac:dyDescent="0.25">
      <c r="A377" s="29" t="s">
        <v>440</v>
      </c>
    </row>
    <row r="378" spans="1:1" x14ac:dyDescent="0.25">
      <c r="A378" s="29" t="s">
        <v>441</v>
      </c>
    </row>
    <row r="379" spans="1:1" x14ac:dyDescent="0.25">
      <c r="A379" s="29" t="s">
        <v>442</v>
      </c>
    </row>
    <row r="380" spans="1:1" x14ac:dyDescent="0.25">
      <c r="A380" s="29" t="s">
        <v>443</v>
      </c>
    </row>
    <row r="381" spans="1:1" x14ac:dyDescent="0.25">
      <c r="A381" s="29" t="s">
        <v>444</v>
      </c>
    </row>
    <row r="382" spans="1:1" x14ac:dyDescent="0.25">
      <c r="A382" s="29" t="s">
        <v>445</v>
      </c>
    </row>
    <row r="383" spans="1:1" x14ac:dyDescent="0.25">
      <c r="A383" s="29" t="s">
        <v>446</v>
      </c>
    </row>
    <row r="384" spans="1:1" x14ac:dyDescent="0.25">
      <c r="A384" s="29" t="s">
        <v>447</v>
      </c>
    </row>
    <row r="385" spans="1:1" x14ac:dyDescent="0.25">
      <c r="A385" s="29" t="s">
        <v>448</v>
      </c>
    </row>
    <row r="386" spans="1:1" x14ac:dyDescent="0.25">
      <c r="A386" s="29" t="s">
        <v>449</v>
      </c>
    </row>
    <row r="387" spans="1:1" x14ac:dyDescent="0.25">
      <c r="A387" s="29" t="s">
        <v>450</v>
      </c>
    </row>
    <row r="388" spans="1:1" x14ac:dyDescent="0.25">
      <c r="A388" s="29" t="s">
        <v>451</v>
      </c>
    </row>
    <row r="389" spans="1:1" x14ac:dyDescent="0.25">
      <c r="A389" s="29" t="s">
        <v>452</v>
      </c>
    </row>
    <row r="390" spans="1:1" x14ac:dyDescent="0.25">
      <c r="A390" s="29" t="s">
        <v>453</v>
      </c>
    </row>
    <row r="391" spans="1:1" x14ac:dyDescent="0.25">
      <c r="A391" s="29" t="s">
        <v>454</v>
      </c>
    </row>
    <row r="392" spans="1:1" x14ac:dyDescent="0.25">
      <c r="A392" s="29" t="s">
        <v>455</v>
      </c>
    </row>
    <row r="393" spans="1:1" x14ac:dyDescent="0.25">
      <c r="A393" s="29" t="s">
        <v>456</v>
      </c>
    </row>
    <row r="394" spans="1:1" x14ac:dyDescent="0.25">
      <c r="A394" s="29" t="s">
        <v>457</v>
      </c>
    </row>
    <row r="395" spans="1:1" x14ac:dyDescent="0.25">
      <c r="A395" s="29" t="s">
        <v>458</v>
      </c>
    </row>
    <row r="396" spans="1:1" x14ac:dyDescent="0.25">
      <c r="A396" s="29" t="s">
        <v>459</v>
      </c>
    </row>
    <row r="397" spans="1:1" x14ac:dyDescent="0.25">
      <c r="A397" s="29" t="s">
        <v>460</v>
      </c>
    </row>
    <row r="398" spans="1:1" x14ac:dyDescent="0.25">
      <c r="A398" s="29" t="s">
        <v>461</v>
      </c>
    </row>
    <row r="399" spans="1:1" x14ac:dyDescent="0.25">
      <c r="A399" s="29" t="s">
        <v>462</v>
      </c>
    </row>
    <row r="400" spans="1:1" x14ac:dyDescent="0.25">
      <c r="A400" s="29" t="s">
        <v>463</v>
      </c>
    </row>
    <row r="401" spans="1:1" x14ac:dyDescent="0.25">
      <c r="A401" s="29" t="s">
        <v>464</v>
      </c>
    </row>
    <row r="402" spans="1:1" x14ac:dyDescent="0.25">
      <c r="A402" s="29" t="s">
        <v>465</v>
      </c>
    </row>
    <row r="403" spans="1:1" x14ac:dyDescent="0.25">
      <c r="A403" s="29" t="s">
        <v>466</v>
      </c>
    </row>
    <row r="404" spans="1:1" x14ac:dyDescent="0.25">
      <c r="A404" s="29" t="s">
        <v>467</v>
      </c>
    </row>
    <row r="405" spans="1:1" x14ac:dyDescent="0.25">
      <c r="A405" s="29" t="s">
        <v>468</v>
      </c>
    </row>
    <row r="406" spans="1:1" x14ac:dyDescent="0.25">
      <c r="A406" s="29" t="s">
        <v>469</v>
      </c>
    </row>
    <row r="407" spans="1:1" x14ac:dyDescent="0.25">
      <c r="A407" s="29" t="s">
        <v>470</v>
      </c>
    </row>
    <row r="408" spans="1:1" x14ac:dyDescent="0.25">
      <c r="A408" s="29" t="s">
        <v>471</v>
      </c>
    </row>
    <row r="409" spans="1:1" x14ac:dyDescent="0.25">
      <c r="A409" s="29" t="s">
        <v>472</v>
      </c>
    </row>
    <row r="410" spans="1:1" x14ac:dyDescent="0.25">
      <c r="A410" s="29" t="s">
        <v>473</v>
      </c>
    </row>
    <row r="411" spans="1:1" x14ac:dyDescent="0.25">
      <c r="A411" s="29" t="s">
        <v>474</v>
      </c>
    </row>
    <row r="412" spans="1:1" x14ac:dyDescent="0.25">
      <c r="A412" s="29" t="s">
        <v>475</v>
      </c>
    </row>
    <row r="413" spans="1:1" x14ac:dyDescent="0.25">
      <c r="A413" s="29" t="s">
        <v>476</v>
      </c>
    </row>
    <row r="414" spans="1:1" x14ac:dyDescent="0.25">
      <c r="A414" s="29" t="s">
        <v>477</v>
      </c>
    </row>
    <row r="415" spans="1:1" x14ac:dyDescent="0.25">
      <c r="A415" s="29" t="s">
        <v>478</v>
      </c>
    </row>
    <row r="416" spans="1:1" x14ac:dyDescent="0.25">
      <c r="A416" s="29" t="s">
        <v>479</v>
      </c>
    </row>
    <row r="417" spans="1:1" x14ac:dyDescent="0.25">
      <c r="A417" s="29" t="s">
        <v>480</v>
      </c>
    </row>
    <row r="418" spans="1:1" x14ac:dyDescent="0.25">
      <c r="A418" s="29" t="s">
        <v>481</v>
      </c>
    </row>
    <row r="419" spans="1:1" x14ac:dyDescent="0.25">
      <c r="A419" s="29" t="s">
        <v>482</v>
      </c>
    </row>
    <row r="420" spans="1:1" x14ac:dyDescent="0.25">
      <c r="A420" s="29" t="s">
        <v>483</v>
      </c>
    </row>
    <row r="421" spans="1:1" x14ac:dyDescent="0.25">
      <c r="A421" s="29" t="s">
        <v>484</v>
      </c>
    </row>
    <row r="422" spans="1:1" x14ac:dyDescent="0.25">
      <c r="A422" s="29" t="s">
        <v>485</v>
      </c>
    </row>
    <row r="423" spans="1:1" x14ac:dyDescent="0.25">
      <c r="A423" s="29" t="s">
        <v>486</v>
      </c>
    </row>
    <row r="424" spans="1:1" x14ac:dyDescent="0.25">
      <c r="A424" s="29" t="s">
        <v>487</v>
      </c>
    </row>
    <row r="425" spans="1:1" x14ac:dyDescent="0.25">
      <c r="A425" s="29" t="s">
        <v>488</v>
      </c>
    </row>
    <row r="426" spans="1:1" x14ac:dyDescent="0.25">
      <c r="A426" s="29" t="s">
        <v>489</v>
      </c>
    </row>
    <row r="427" spans="1:1" x14ac:dyDescent="0.25">
      <c r="A427" s="29" t="s">
        <v>490</v>
      </c>
    </row>
    <row r="428" spans="1:1" x14ac:dyDescent="0.25">
      <c r="A428" s="29" t="s">
        <v>491</v>
      </c>
    </row>
    <row r="429" spans="1:1" x14ac:dyDescent="0.25">
      <c r="A429" s="29" t="s">
        <v>492</v>
      </c>
    </row>
    <row r="430" spans="1:1" x14ac:dyDescent="0.25">
      <c r="A430" s="29" t="s">
        <v>493</v>
      </c>
    </row>
    <row r="431" spans="1:1" x14ac:dyDescent="0.25">
      <c r="A431" s="29" t="s">
        <v>494</v>
      </c>
    </row>
    <row r="432" spans="1:1" x14ac:dyDescent="0.25">
      <c r="A432" s="29" t="s">
        <v>495</v>
      </c>
    </row>
    <row r="433" spans="1:1" x14ac:dyDescent="0.25">
      <c r="A433" s="29" t="s">
        <v>496</v>
      </c>
    </row>
    <row r="434" spans="1:1" x14ac:dyDescent="0.25">
      <c r="A434" s="29" t="s">
        <v>497</v>
      </c>
    </row>
    <row r="435" spans="1:1" x14ac:dyDescent="0.25">
      <c r="A435" s="29" t="s">
        <v>498</v>
      </c>
    </row>
    <row r="436" spans="1:1" x14ac:dyDescent="0.25">
      <c r="A436" s="29" t="s">
        <v>499</v>
      </c>
    </row>
    <row r="437" spans="1:1" x14ac:dyDescent="0.25">
      <c r="A437" s="29" t="s">
        <v>500</v>
      </c>
    </row>
    <row r="438" spans="1:1" x14ac:dyDescent="0.25">
      <c r="A438" s="29" t="s">
        <v>501</v>
      </c>
    </row>
    <row r="439" spans="1:1" x14ac:dyDescent="0.25">
      <c r="A439" s="29" t="s">
        <v>502</v>
      </c>
    </row>
    <row r="440" spans="1:1" x14ac:dyDescent="0.25">
      <c r="A440" s="29" t="s">
        <v>503</v>
      </c>
    </row>
    <row r="441" spans="1:1" x14ac:dyDescent="0.25">
      <c r="A441" s="29" t="s">
        <v>504</v>
      </c>
    </row>
    <row r="442" spans="1:1" x14ac:dyDescent="0.25">
      <c r="A442" s="29" t="s">
        <v>505</v>
      </c>
    </row>
    <row r="443" spans="1:1" x14ac:dyDescent="0.25">
      <c r="A443" s="29" t="s">
        <v>506</v>
      </c>
    </row>
    <row r="444" spans="1:1" x14ac:dyDescent="0.25">
      <c r="A444" s="29" t="s">
        <v>507</v>
      </c>
    </row>
    <row r="445" spans="1:1" x14ac:dyDescent="0.25">
      <c r="A445" s="29" t="s">
        <v>508</v>
      </c>
    </row>
    <row r="446" spans="1:1" x14ac:dyDescent="0.25">
      <c r="A446" s="29" t="s">
        <v>509</v>
      </c>
    </row>
    <row r="447" spans="1:1" x14ac:dyDescent="0.25">
      <c r="A447" s="29" t="s">
        <v>510</v>
      </c>
    </row>
    <row r="448" spans="1:1" x14ac:dyDescent="0.25">
      <c r="A448" s="29" t="s">
        <v>511</v>
      </c>
    </row>
    <row r="449" spans="1:1" x14ac:dyDescent="0.25">
      <c r="A449" s="29" t="s">
        <v>512</v>
      </c>
    </row>
    <row r="450" spans="1:1" x14ac:dyDescent="0.25">
      <c r="A450" s="29" t="s">
        <v>513</v>
      </c>
    </row>
    <row r="451" spans="1:1" x14ac:dyDescent="0.25">
      <c r="A451" s="29" t="s">
        <v>514</v>
      </c>
    </row>
    <row r="452" spans="1:1" x14ac:dyDescent="0.25">
      <c r="A452" s="29" t="s">
        <v>515</v>
      </c>
    </row>
    <row r="453" spans="1:1" x14ac:dyDescent="0.25">
      <c r="A453" s="29" t="s">
        <v>516</v>
      </c>
    </row>
    <row r="454" spans="1:1" x14ac:dyDescent="0.25">
      <c r="A454" s="29" t="s">
        <v>517</v>
      </c>
    </row>
    <row r="455" spans="1:1" x14ac:dyDescent="0.25">
      <c r="A455" s="29" t="s">
        <v>518</v>
      </c>
    </row>
    <row r="456" spans="1:1" x14ac:dyDescent="0.25">
      <c r="A456" s="29" t="s">
        <v>519</v>
      </c>
    </row>
    <row r="457" spans="1:1" x14ac:dyDescent="0.25">
      <c r="A457" s="29" t="s">
        <v>520</v>
      </c>
    </row>
    <row r="458" spans="1:1" x14ac:dyDescent="0.25">
      <c r="A458" s="29" t="s">
        <v>521</v>
      </c>
    </row>
    <row r="459" spans="1:1" x14ac:dyDescent="0.25">
      <c r="A459" s="29" t="s">
        <v>522</v>
      </c>
    </row>
    <row r="460" spans="1:1" x14ac:dyDescent="0.25">
      <c r="A460" s="29" t="s">
        <v>523</v>
      </c>
    </row>
    <row r="461" spans="1:1" x14ac:dyDescent="0.25">
      <c r="A461" s="29" t="s">
        <v>524</v>
      </c>
    </row>
    <row r="462" spans="1:1" x14ac:dyDescent="0.25">
      <c r="A462" s="29" t="s">
        <v>525</v>
      </c>
    </row>
    <row r="463" spans="1:1" x14ac:dyDescent="0.25">
      <c r="A463" s="29" t="s">
        <v>526</v>
      </c>
    </row>
    <row r="464" spans="1:1" x14ac:dyDescent="0.25">
      <c r="A464" s="29" t="s">
        <v>527</v>
      </c>
    </row>
    <row r="465" spans="1:1" x14ac:dyDescent="0.25">
      <c r="A465" s="29" t="s">
        <v>528</v>
      </c>
    </row>
    <row r="466" spans="1:1" x14ac:dyDescent="0.25">
      <c r="A466" s="29" t="s">
        <v>529</v>
      </c>
    </row>
    <row r="467" spans="1:1" x14ac:dyDescent="0.25">
      <c r="A467" s="29" t="s">
        <v>530</v>
      </c>
    </row>
    <row r="468" spans="1:1" x14ac:dyDescent="0.25">
      <c r="A468" s="29" t="s">
        <v>531</v>
      </c>
    </row>
    <row r="469" spans="1:1" x14ac:dyDescent="0.25">
      <c r="A469" s="29" t="s">
        <v>532</v>
      </c>
    </row>
    <row r="470" spans="1:1" x14ac:dyDescent="0.25">
      <c r="A470" s="29" t="s">
        <v>533</v>
      </c>
    </row>
    <row r="471" spans="1:1" x14ac:dyDescent="0.25">
      <c r="A471" s="29" t="s">
        <v>534</v>
      </c>
    </row>
    <row r="472" spans="1:1" x14ac:dyDescent="0.25">
      <c r="A472" s="29" t="s">
        <v>535</v>
      </c>
    </row>
    <row r="473" spans="1:1" x14ac:dyDescent="0.25">
      <c r="A473" s="29" t="s">
        <v>536</v>
      </c>
    </row>
    <row r="474" spans="1:1" x14ac:dyDescent="0.25">
      <c r="A474" s="29" t="s">
        <v>537</v>
      </c>
    </row>
    <row r="475" spans="1:1" x14ac:dyDescent="0.25">
      <c r="A475" s="29" t="s">
        <v>538</v>
      </c>
    </row>
    <row r="476" spans="1:1" x14ac:dyDescent="0.25">
      <c r="A476" s="29" t="s">
        <v>539</v>
      </c>
    </row>
    <row r="477" spans="1:1" x14ac:dyDescent="0.25">
      <c r="A477" s="29" t="s">
        <v>540</v>
      </c>
    </row>
    <row r="478" spans="1:1" x14ac:dyDescent="0.25">
      <c r="A478" s="29" t="s">
        <v>541</v>
      </c>
    </row>
    <row r="479" spans="1:1" x14ac:dyDescent="0.25">
      <c r="A479" s="29" t="s">
        <v>542</v>
      </c>
    </row>
    <row r="480" spans="1:1" x14ac:dyDescent="0.25">
      <c r="A480" s="29" t="s">
        <v>543</v>
      </c>
    </row>
    <row r="481" spans="1:1" x14ac:dyDescent="0.25">
      <c r="A481" s="29" t="s">
        <v>544</v>
      </c>
    </row>
    <row r="482" spans="1:1" x14ac:dyDescent="0.25">
      <c r="A482" s="29" t="s">
        <v>545</v>
      </c>
    </row>
    <row r="483" spans="1:1" x14ac:dyDescent="0.25">
      <c r="A483" s="29" t="s">
        <v>546</v>
      </c>
    </row>
    <row r="484" spans="1:1" x14ac:dyDescent="0.25">
      <c r="A484" s="29" t="s">
        <v>547</v>
      </c>
    </row>
    <row r="485" spans="1:1" x14ac:dyDescent="0.25">
      <c r="A485" s="29" t="s">
        <v>548</v>
      </c>
    </row>
    <row r="486" spans="1:1" x14ac:dyDescent="0.25">
      <c r="A486" s="29" t="s">
        <v>549</v>
      </c>
    </row>
    <row r="487" spans="1:1" x14ac:dyDescent="0.25">
      <c r="A487" s="29" t="s">
        <v>550</v>
      </c>
    </row>
    <row r="488" spans="1:1" x14ac:dyDescent="0.25">
      <c r="A488" s="29" t="s">
        <v>551</v>
      </c>
    </row>
    <row r="489" spans="1:1" x14ac:dyDescent="0.25">
      <c r="A489" s="29" t="s">
        <v>552</v>
      </c>
    </row>
    <row r="490" spans="1:1" x14ac:dyDescent="0.25">
      <c r="A490" s="29" t="s">
        <v>553</v>
      </c>
    </row>
    <row r="491" spans="1:1" x14ac:dyDescent="0.25">
      <c r="A491" s="29" t="s">
        <v>554</v>
      </c>
    </row>
    <row r="492" spans="1:1" x14ac:dyDescent="0.25">
      <c r="A492" s="29" t="s">
        <v>555</v>
      </c>
    </row>
    <row r="493" spans="1:1" x14ac:dyDescent="0.25">
      <c r="A493" s="29" t="s">
        <v>556</v>
      </c>
    </row>
    <row r="494" spans="1:1" x14ac:dyDescent="0.25">
      <c r="A494" s="29" t="s">
        <v>557</v>
      </c>
    </row>
    <row r="495" spans="1:1" x14ac:dyDescent="0.25">
      <c r="A495" s="29" t="s">
        <v>558</v>
      </c>
    </row>
    <row r="496" spans="1:1" x14ac:dyDescent="0.25">
      <c r="A496" s="29" t="s">
        <v>559</v>
      </c>
    </row>
    <row r="497" spans="1:1" x14ac:dyDescent="0.25">
      <c r="A497" s="29" t="s">
        <v>560</v>
      </c>
    </row>
    <row r="498" spans="1:1" x14ac:dyDescent="0.25">
      <c r="A498" s="29" t="s">
        <v>561</v>
      </c>
    </row>
    <row r="499" spans="1:1" x14ac:dyDescent="0.25">
      <c r="A499" s="29" t="s">
        <v>562</v>
      </c>
    </row>
    <row r="500" spans="1:1" x14ac:dyDescent="0.25">
      <c r="A500" s="29" t="s">
        <v>563</v>
      </c>
    </row>
    <row r="501" spans="1:1" x14ac:dyDescent="0.25">
      <c r="A501" s="29" t="s">
        <v>564</v>
      </c>
    </row>
    <row r="502" spans="1:1" x14ac:dyDescent="0.25">
      <c r="A502" s="29" t="s">
        <v>565</v>
      </c>
    </row>
    <row r="503" spans="1:1" x14ac:dyDescent="0.25">
      <c r="A503" s="29" t="s">
        <v>566</v>
      </c>
    </row>
    <row r="504" spans="1:1" x14ac:dyDescent="0.25">
      <c r="A504" s="29" t="s">
        <v>567</v>
      </c>
    </row>
    <row r="505" spans="1:1" x14ac:dyDescent="0.25">
      <c r="A505" s="29" t="s">
        <v>568</v>
      </c>
    </row>
    <row r="506" spans="1:1" x14ac:dyDescent="0.25">
      <c r="A506" s="29" t="s">
        <v>569</v>
      </c>
    </row>
    <row r="507" spans="1:1" x14ac:dyDescent="0.25">
      <c r="A507" s="29" t="s">
        <v>570</v>
      </c>
    </row>
    <row r="508" spans="1:1" x14ac:dyDescent="0.25">
      <c r="A508" s="29" t="s">
        <v>571</v>
      </c>
    </row>
    <row r="509" spans="1:1" x14ac:dyDescent="0.25">
      <c r="A509" s="29" t="s">
        <v>572</v>
      </c>
    </row>
    <row r="510" spans="1:1" x14ac:dyDescent="0.25">
      <c r="A510" s="29" t="s">
        <v>573</v>
      </c>
    </row>
    <row r="511" spans="1:1" x14ac:dyDescent="0.25">
      <c r="A511" s="29" t="s">
        <v>574</v>
      </c>
    </row>
    <row r="512" spans="1:1" x14ac:dyDescent="0.25">
      <c r="A512" s="29" t="s">
        <v>575</v>
      </c>
    </row>
    <row r="513" spans="1:1" x14ac:dyDescent="0.25">
      <c r="A513" s="29" t="s">
        <v>576</v>
      </c>
    </row>
    <row r="514" spans="1:1" x14ac:dyDescent="0.25">
      <c r="A514" s="29" t="s">
        <v>577</v>
      </c>
    </row>
    <row r="515" spans="1:1" x14ac:dyDescent="0.25">
      <c r="A515" s="29" t="s">
        <v>578</v>
      </c>
    </row>
    <row r="516" spans="1:1" x14ac:dyDescent="0.25">
      <c r="A516" s="29" t="s">
        <v>579</v>
      </c>
    </row>
    <row r="517" spans="1:1" x14ac:dyDescent="0.25">
      <c r="A517" s="29" t="s">
        <v>580</v>
      </c>
    </row>
    <row r="518" spans="1:1" x14ac:dyDescent="0.25">
      <c r="A518" s="29" t="s">
        <v>581</v>
      </c>
    </row>
    <row r="519" spans="1:1" x14ac:dyDescent="0.25">
      <c r="A519" s="29" t="s">
        <v>582</v>
      </c>
    </row>
    <row r="520" spans="1:1" x14ac:dyDescent="0.25">
      <c r="A520" s="29" t="s">
        <v>583</v>
      </c>
    </row>
    <row r="521" spans="1:1" x14ac:dyDescent="0.25">
      <c r="A521" s="29" t="s">
        <v>584</v>
      </c>
    </row>
    <row r="522" spans="1:1" x14ac:dyDescent="0.25">
      <c r="A522" s="29" t="s">
        <v>585</v>
      </c>
    </row>
    <row r="523" spans="1:1" x14ac:dyDescent="0.25">
      <c r="A523" s="29" t="s">
        <v>586</v>
      </c>
    </row>
    <row r="524" spans="1:1" x14ac:dyDescent="0.25">
      <c r="A524" s="29" t="s">
        <v>587</v>
      </c>
    </row>
    <row r="525" spans="1:1" x14ac:dyDescent="0.25">
      <c r="A525" s="29" t="s">
        <v>588</v>
      </c>
    </row>
    <row r="526" spans="1:1" ht="30" x14ac:dyDescent="0.25">
      <c r="A526" s="29" t="s">
        <v>589</v>
      </c>
    </row>
    <row r="527" spans="1:1" x14ac:dyDescent="0.25">
      <c r="A527" s="29" t="s">
        <v>590</v>
      </c>
    </row>
    <row r="528" spans="1:1" ht="30" x14ac:dyDescent="0.25">
      <c r="A528" s="29" t="s">
        <v>591</v>
      </c>
    </row>
    <row r="529" spans="1:1" x14ac:dyDescent="0.25">
      <c r="A529" s="29" t="s">
        <v>592</v>
      </c>
    </row>
    <row r="530" spans="1:1" x14ac:dyDescent="0.25">
      <c r="A530" s="29" t="s">
        <v>593</v>
      </c>
    </row>
    <row r="531" spans="1:1" x14ac:dyDescent="0.25">
      <c r="A531" s="29" t="s">
        <v>594</v>
      </c>
    </row>
    <row r="532" spans="1:1" x14ac:dyDescent="0.25">
      <c r="A532" s="29" t="s">
        <v>595</v>
      </c>
    </row>
    <row r="533" spans="1:1" x14ac:dyDescent="0.25">
      <c r="A533" s="29" t="s">
        <v>596</v>
      </c>
    </row>
    <row r="534" spans="1:1" x14ac:dyDescent="0.25">
      <c r="A534" s="29" t="s">
        <v>597</v>
      </c>
    </row>
    <row r="535" spans="1:1" x14ac:dyDescent="0.25">
      <c r="A535" s="29" t="s">
        <v>598</v>
      </c>
    </row>
    <row r="536" spans="1:1" x14ac:dyDescent="0.25">
      <c r="A536" s="29" t="s">
        <v>599</v>
      </c>
    </row>
    <row r="537" spans="1:1" x14ac:dyDescent="0.25">
      <c r="A537" s="29" t="s">
        <v>600</v>
      </c>
    </row>
    <row r="538" spans="1:1" ht="30" x14ac:dyDescent="0.25">
      <c r="A538" s="29" t="s">
        <v>601</v>
      </c>
    </row>
    <row r="539" spans="1:1" x14ac:dyDescent="0.25">
      <c r="A539" s="29" t="s">
        <v>602</v>
      </c>
    </row>
    <row r="540" spans="1:1" x14ac:dyDescent="0.25">
      <c r="A540" s="29" t="s">
        <v>603</v>
      </c>
    </row>
    <row r="541" spans="1:1" x14ac:dyDescent="0.25">
      <c r="A541" s="29" t="s">
        <v>604</v>
      </c>
    </row>
    <row r="542" spans="1:1" x14ac:dyDescent="0.25">
      <c r="A542" s="29" t="s">
        <v>605</v>
      </c>
    </row>
    <row r="543" spans="1:1" x14ac:dyDescent="0.25">
      <c r="A543" s="29" t="s">
        <v>606</v>
      </c>
    </row>
    <row r="544" spans="1:1" x14ac:dyDescent="0.25">
      <c r="A544" s="29" t="s">
        <v>607</v>
      </c>
    </row>
    <row r="545" spans="1:1" x14ac:dyDescent="0.25">
      <c r="A545" s="29" t="s">
        <v>608</v>
      </c>
    </row>
    <row r="546" spans="1:1" x14ac:dyDescent="0.25">
      <c r="A546" s="29" t="s">
        <v>609</v>
      </c>
    </row>
    <row r="547" spans="1:1" x14ac:dyDescent="0.25">
      <c r="A547" s="29" t="s">
        <v>610</v>
      </c>
    </row>
    <row r="548" spans="1:1" x14ac:dyDescent="0.25">
      <c r="A548" s="29" t="s">
        <v>611</v>
      </c>
    </row>
    <row r="549" spans="1:1" x14ac:dyDescent="0.25">
      <c r="A549" s="29" t="s">
        <v>612</v>
      </c>
    </row>
    <row r="550" spans="1:1" x14ac:dyDescent="0.25">
      <c r="A550" s="29" t="s">
        <v>613</v>
      </c>
    </row>
    <row r="551" spans="1:1" x14ac:dyDescent="0.25">
      <c r="A551" s="29" t="s">
        <v>614</v>
      </c>
    </row>
    <row r="552" spans="1:1" x14ac:dyDescent="0.25">
      <c r="A552" s="29" t="s">
        <v>615</v>
      </c>
    </row>
    <row r="553" spans="1:1" x14ac:dyDescent="0.25">
      <c r="A553" s="29" t="s">
        <v>616</v>
      </c>
    </row>
    <row r="554" spans="1:1" x14ac:dyDescent="0.25">
      <c r="A554" s="29" t="s">
        <v>617</v>
      </c>
    </row>
    <row r="555" spans="1:1" x14ac:dyDescent="0.25">
      <c r="A555" s="29" t="s">
        <v>618</v>
      </c>
    </row>
    <row r="556" spans="1:1" x14ac:dyDescent="0.25">
      <c r="A556" s="29" t="s">
        <v>619</v>
      </c>
    </row>
    <row r="557" spans="1:1" x14ac:dyDescent="0.25">
      <c r="A557" s="29" t="s">
        <v>620</v>
      </c>
    </row>
    <row r="558" spans="1:1" x14ac:dyDescent="0.25">
      <c r="A558" s="29" t="s">
        <v>621</v>
      </c>
    </row>
    <row r="559" spans="1:1" x14ac:dyDescent="0.25">
      <c r="A559" s="29" t="s">
        <v>622</v>
      </c>
    </row>
    <row r="560" spans="1:1" x14ac:dyDescent="0.25">
      <c r="A560" s="29" t="s">
        <v>623</v>
      </c>
    </row>
    <row r="561" spans="1:1" x14ac:dyDescent="0.25">
      <c r="A561" s="29" t="s">
        <v>624</v>
      </c>
    </row>
    <row r="562" spans="1:1" x14ac:dyDescent="0.25">
      <c r="A562" s="29" t="s">
        <v>625</v>
      </c>
    </row>
    <row r="563" spans="1:1" x14ac:dyDescent="0.25">
      <c r="A563" s="29" t="s">
        <v>626</v>
      </c>
    </row>
    <row r="564" spans="1:1" x14ac:dyDescent="0.25">
      <c r="A564" s="29" t="s">
        <v>627</v>
      </c>
    </row>
    <row r="565" spans="1:1" x14ac:dyDescent="0.25">
      <c r="A565" s="29" t="s">
        <v>628</v>
      </c>
    </row>
    <row r="566" spans="1:1" x14ac:dyDescent="0.25">
      <c r="A566" s="29" t="s">
        <v>629</v>
      </c>
    </row>
    <row r="567" spans="1:1" x14ac:dyDescent="0.25">
      <c r="A567" s="29" t="s">
        <v>630</v>
      </c>
    </row>
    <row r="568" spans="1:1" x14ac:dyDescent="0.25">
      <c r="A568" s="29" t="s">
        <v>631</v>
      </c>
    </row>
    <row r="569" spans="1:1" x14ac:dyDescent="0.25">
      <c r="A569" s="29" t="s">
        <v>632</v>
      </c>
    </row>
    <row r="570" spans="1:1" x14ac:dyDescent="0.25">
      <c r="A570" s="29" t="s">
        <v>633</v>
      </c>
    </row>
    <row r="571" spans="1:1" x14ac:dyDescent="0.25">
      <c r="A571" s="29" t="s">
        <v>634</v>
      </c>
    </row>
    <row r="572" spans="1:1" x14ac:dyDescent="0.25">
      <c r="A572" s="29" t="s">
        <v>635</v>
      </c>
    </row>
    <row r="573" spans="1:1" x14ac:dyDescent="0.25">
      <c r="A573" s="29" t="s">
        <v>636</v>
      </c>
    </row>
    <row r="574" spans="1:1" x14ac:dyDescent="0.25">
      <c r="A574" s="29" t="s">
        <v>637</v>
      </c>
    </row>
    <row r="575" spans="1:1" ht="30" x14ac:dyDescent="0.25">
      <c r="A575" s="29" t="s">
        <v>638</v>
      </c>
    </row>
    <row r="576" spans="1:1" x14ac:dyDescent="0.25">
      <c r="A576" s="29" t="s">
        <v>639</v>
      </c>
    </row>
    <row r="577" spans="1:1" x14ac:dyDescent="0.25">
      <c r="A577" s="29" t="s">
        <v>640</v>
      </c>
    </row>
    <row r="578" spans="1:1" x14ac:dyDescent="0.25">
      <c r="A578" s="29" t="s">
        <v>641</v>
      </c>
    </row>
    <row r="579" spans="1:1" x14ac:dyDescent="0.25">
      <c r="A579" s="29" t="s">
        <v>642</v>
      </c>
    </row>
    <row r="580" spans="1:1" x14ac:dyDescent="0.25">
      <c r="A580" s="29" t="s">
        <v>643</v>
      </c>
    </row>
    <row r="581" spans="1:1" x14ac:dyDescent="0.25">
      <c r="A581" s="29" t="s">
        <v>644</v>
      </c>
    </row>
    <row r="582" spans="1:1" x14ac:dyDescent="0.25">
      <c r="A582" s="29" t="s">
        <v>645</v>
      </c>
    </row>
    <row r="583" spans="1:1" x14ac:dyDescent="0.25">
      <c r="A583" s="29" t="s">
        <v>646</v>
      </c>
    </row>
    <row r="584" spans="1:1" x14ac:dyDescent="0.25">
      <c r="A584" s="29" t="s">
        <v>647</v>
      </c>
    </row>
    <row r="585" spans="1:1" x14ac:dyDescent="0.25">
      <c r="A585" s="29" t="s">
        <v>648</v>
      </c>
    </row>
    <row r="586" spans="1:1" x14ac:dyDescent="0.25">
      <c r="A586" s="29" t="s">
        <v>649</v>
      </c>
    </row>
    <row r="587" spans="1:1" x14ac:dyDescent="0.25">
      <c r="A587" s="29" t="s">
        <v>650</v>
      </c>
    </row>
    <row r="588" spans="1:1" x14ac:dyDescent="0.25">
      <c r="A588" s="29" t="s">
        <v>651</v>
      </c>
    </row>
    <row r="589" spans="1:1" x14ac:dyDescent="0.25">
      <c r="A589" s="29" t="s">
        <v>652</v>
      </c>
    </row>
    <row r="590" spans="1:1" x14ac:dyDescent="0.25">
      <c r="A590" s="29" t="s">
        <v>653</v>
      </c>
    </row>
    <row r="591" spans="1:1" x14ac:dyDescent="0.25">
      <c r="A591" s="29" t="s">
        <v>654</v>
      </c>
    </row>
    <row r="592" spans="1:1" x14ac:dyDescent="0.25">
      <c r="A592" s="29" t="s">
        <v>655</v>
      </c>
    </row>
    <row r="593" spans="1:1" x14ac:dyDescent="0.25">
      <c r="A593" s="29" t="s">
        <v>656</v>
      </c>
    </row>
    <row r="594" spans="1:1" x14ac:dyDescent="0.25">
      <c r="A594" s="29" t="s">
        <v>657</v>
      </c>
    </row>
    <row r="595" spans="1:1" x14ac:dyDescent="0.25">
      <c r="A595" s="29" t="s">
        <v>658</v>
      </c>
    </row>
    <row r="596" spans="1:1" x14ac:dyDescent="0.25">
      <c r="A596" s="29" t="s">
        <v>659</v>
      </c>
    </row>
    <row r="597" spans="1:1" x14ac:dyDescent="0.25">
      <c r="A597" s="29" t="s">
        <v>660</v>
      </c>
    </row>
    <row r="598" spans="1:1" x14ac:dyDescent="0.25">
      <c r="A598" s="29" t="s">
        <v>661</v>
      </c>
    </row>
    <row r="599" spans="1:1" x14ac:dyDescent="0.25">
      <c r="A599" s="29" t="s">
        <v>662</v>
      </c>
    </row>
    <row r="600" spans="1:1" x14ac:dyDescent="0.25">
      <c r="A600" s="29" t="s">
        <v>663</v>
      </c>
    </row>
    <row r="601" spans="1:1" x14ac:dyDescent="0.25">
      <c r="A601" s="29" t="s">
        <v>664</v>
      </c>
    </row>
    <row r="602" spans="1:1" x14ac:dyDescent="0.25">
      <c r="A602" s="29" t="s">
        <v>665</v>
      </c>
    </row>
    <row r="603" spans="1:1" x14ac:dyDescent="0.25">
      <c r="A603" s="29" t="s">
        <v>666</v>
      </c>
    </row>
    <row r="604" spans="1:1" x14ac:dyDescent="0.25">
      <c r="A604" s="29" t="s">
        <v>667</v>
      </c>
    </row>
    <row r="605" spans="1:1" x14ac:dyDescent="0.25">
      <c r="A605" s="29" t="s">
        <v>668</v>
      </c>
    </row>
    <row r="606" spans="1:1" x14ac:dyDescent="0.25">
      <c r="A606" s="29" t="s">
        <v>669</v>
      </c>
    </row>
    <row r="607" spans="1:1" x14ac:dyDescent="0.25">
      <c r="A607" s="29" t="s">
        <v>670</v>
      </c>
    </row>
    <row r="608" spans="1:1" x14ac:dyDescent="0.25">
      <c r="A608" s="29" t="s">
        <v>671</v>
      </c>
    </row>
    <row r="609" spans="1:1" x14ac:dyDescent="0.25">
      <c r="A609" s="29" t="s">
        <v>672</v>
      </c>
    </row>
    <row r="610" spans="1:1" x14ac:dyDescent="0.25">
      <c r="A610" s="29" t="s">
        <v>673</v>
      </c>
    </row>
    <row r="611" spans="1:1" x14ac:dyDescent="0.25">
      <c r="A611" s="29" t="s">
        <v>674</v>
      </c>
    </row>
    <row r="612" spans="1:1" x14ac:dyDescent="0.25">
      <c r="A612" s="29" t="s">
        <v>675</v>
      </c>
    </row>
    <row r="613" spans="1:1" x14ac:dyDescent="0.25">
      <c r="A613" s="29" t="s">
        <v>676</v>
      </c>
    </row>
    <row r="614" spans="1:1" x14ac:dyDescent="0.25">
      <c r="A614" s="29" t="s">
        <v>677</v>
      </c>
    </row>
    <row r="615" spans="1:1" x14ac:dyDescent="0.25">
      <c r="A615" s="29" t="s">
        <v>678</v>
      </c>
    </row>
    <row r="616" spans="1:1" ht="30" x14ac:dyDescent="0.25">
      <c r="A616" s="29" t="s">
        <v>679</v>
      </c>
    </row>
    <row r="617" spans="1:1" ht="30" x14ac:dyDescent="0.25">
      <c r="A617" s="29" t="s">
        <v>680</v>
      </c>
    </row>
    <row r="618" spans="1:1" x14ac:dyDescent="0.25">
      <c r="A618" s="29" t="s">
        <v>681</v>
      </c>
    </row>
    <row r="619" spans="1:1" x14ac:dyDescent="0.25">
      <c r="A619" s="29" t="s">
        <v>682</v>
      </c>
    </row>
    <row r="620" spans="1:1" x14ac:dyDescent="0.25">
      <c r="A620" s="29" t="s">
        <v>683</v>
      </c>
    </row>
    <row r="621" spans="1:1" x14ac:dyDescent="0.25">
      <c r="A621" s="29" t="s">
        <v>684</v>
      </c>
    </row>
    <row r="622" spans="1:1" x14ac:dyDescent="0.25">
      <c r="A622" s="29" t="s">
        <v>685</v>
      </c>
    </row>
    <row r="623" spans="1:1" x14ac:dyDescent="0.25">
      <c r="A623" s="29" t="s">
        <v>686</v>
      </c>
    </row>
    <row r="624" spans="1:1" x14ac:dyDescent="0.25">
      <c r="A624" s="29" t="s">
        <v>687</v>
      </c>
    </row>
    <row r="625" spans="1:1" x14ac:dyDescent="0.25">
      <c r="A625" s="29" t="s">
        <v>688</v>
      </c>
    </row>
    <row r="626" spans="1:1" x14ac:dyDescent="0.25">
      <c r="A626" s="29" t="s">
        <v>689</v>
      </c>
    </row>
    <row r="627" spans="1:1" x14ac:dyDescent="0.25">
      <c r="A627" s="29" t="s">
        <v>690</v>
      </c>
    </row>
    <row r="628" spans="1:1" x14ac:dyDescent="0.25">
      <c r="A628" s="29" t="s">
        <v>691</v>
      </c>
    </row>
    <row r="629" spans="1:1" x14ac:dyDescent="0.25">
      <c r="A629" s="29" t="s">
        <v>692</v>
      </c>
    </row>
    <row r="630" spans="1:1" x14ac:dyDescent="0.25">
      <c r="A630" s="29" t="s">
        <v>693</v>
      </c>
    </row>
    <row r="631" spans="1:1" x14ac:dyDescent="0.25">
      <c r="A631" s="29" t="s">
        <v>694</v>
      </c>
    </row>
    <row r="632" spans="1:1" x14ac:dyDescent="0.25">
      <c r="A632" s="29" t="s">
        <v>695</v>
      </c>
    </row>
    <row r="633" spans="1:1" x14ac:dyDescent="0.25">
      <c r="A633" s="29" t="s">
        <v>696</v>
      </c>
    </row>
    <row r="634" spans="1:1" x14ac:dyDescent="0.25">
      <c r="A634" s="29" t="s">
        <v>697</v>
      </c>
    </row>
    <row r="635" spans="1:1" x14ac:dyDescent="0.25">
      <c r="A635" s="29" t="s">
        <v>698</v>
      </c>
    </row>
    <row r="636" spans="1:1" x14ac:dyDescent="0.25">
      <c r="A636" s="29" t="s">
        <v>699</v>
      </c>
    </row>
    <row r="637" spans="1:1" x14ac:dyDescent="0.25">
      <c r="A637" s="29" t="s">
        <v>700</v>
      </c>
    </row>
    <row r="638" spans="1:1" x14ac:dyDescent="0.25">
      <c r="A638" s="29" t="s">
        <v>701</v>
      </c>
    </row>
    <row r="639" spans="1:1" x14ac:dyDescent="0.25">
      <c r="A639" s="29" t="s">
        <v>702</v>
      </c>
    </row>
    <row r="640" spans="1:1" x14ac:dyDescent="0.25">
      <c r="A640" s="29" t="s">
        <v>703</v>
      </c>
    </row>
    <row r="641" spans="1:1" x14ac:dyDescent="0.25">
      <c r="A641" s="29" t="s">
        <v>704</v>
      </c>
    </row>
    <row r="642" spans="1:1" x14ac:dyDescent="0.25">
      <c r="A642" s="29" t="s">
        <v>705</v>
      </c>
    </row>
    <row r="643" spans="1:1" x14ac:dyDescent="0.25">
      <c r="A643" s="29" t="s">
        <v>706</v>
      </c>
    </row>
    <row r="644" spans="1:1" x14ac:dyDescent="0.25">
      <c r="A644" s="29" t="s">
        <v>707</v>
      </c>
    </row>
    <row r="645" spans="1:1" x14ac:dyDescent="0.25">
      <c r="A645" s="29" t="s">
        <v>708</v>
      </c>
    </row>
    <row r="646" spans="1:1" x14ac:dyDescent="0.25">
      <c r="A646" s="29" t="s">
        <v>709</v>
      </c>
    </row>
    <row r="647" spans="1:1" x14ac:dyDescent="0.25">
      <c r="A647" s="29" t="s">
        <v>710</v>
      </c>
    </row>
    <row r="648" spans="1:1" x14ac:dyDescent="0.25">
      <c r="A648" s="29" t="s">
        <v>711</v>
      </c>
    </row>
    <row r="649" spans="1:1" x14ac:dyDescent="0.25">
      <c r="A649" s="29" t="s">
        <v>712</v>
      </c>
    </row>
    <row r="650" spans="1:1" x14ac:dyDescent="0.25">
      <c r="A650" s="29" t="s">
        <v>713</v>
      </c>
    </row>
    <row r="651" spans="1:1" x14ac:dyDescent="0.25">
      <c r="A651" s="29" t="s">
        <v>714</v>
      </c>
    </row>
    <row r="652" spans="1:1" x14ac:dyDescent="0.25">
      <c r="A652" s="29" t="s">
        <v>715</v>
      </c>
    </row>
    <row r="653" spans="1:1" x14ac:dyDescent="0.25">
      <c r="A653" s="29" t="s">
        <v>716</v>
      </c>
    </row>
    <row r="654" spans="1:1" x14ac:dyDescent="0.25">
      <c r="A654" s="29" t="s">
        <v>717</v>
      </c>
    </row>
    <row r="655" spans="1:1" x14ac:dyDescent="0.25">
      <c r="A655" s="29" t="s">
        <v>718</v>
      </c>
    </row>
    <row r="656" spans="1:1" x14ac:dyDescent="0.25">
      <c r="A656" s="29" t="s">
        <v>719</v>
      </c>
    </row>
    <row r="657" spans="1:1" x14ac:dyDescent="0.25">
      <c r="A657" s="29" t="s">
        <v>720</v>
      </c>
    </row>
    <row r="658" spans="1:1" x14ac:dyDescent="0.25">
      <c r="A658" s="29" t="s">
        <v>721</v>
      </c>
    </row>
    <row r="659" spans="1:1" x14ac:dyDescent="0.25">
      <c r="A659" s="29" t="s">
        <v>722</v>
      </c>
    </row>
    <row r="660" spans="1:1" x14ac:dyDescent="0.25">
      <c r="A660" s="29" t="s">
        <v>723</v>
      </c>
    </row>
    <row r="661" spans="1:1" x14ac:dyDescent="0.25">
      <c r="A661" s="29" t="s">
        <v>724</v>
      </c>
    </row>
    <row r="662" spans="1:1" x14ac:dyDescent="0.25">
      <c r="A662" s="29" t="s">
        <v>725</v>
      </c>
    </row>
    <row r="663" spans="1:1" x14ac:dyDescent="0.25">
      <c r="A663" s="29" t="s">
        <v>726</v>
      </c>
    </row>
    <row r="664" spans="1:1" x14ac:dyDescent="0.25">
      <c r="A664" s="29" t="s">
        <v>727</v>
      </c>
    </row>
    <row r="665" spans="1:1" x14ac:dyDescent="0.25">
      <c r="A665" s="29" t="s">
        <v>728</v>
      </c>
    </row>
    <row r="666" spans="1:1" x14ac:dyDescent="0.25">
      <c r="A666" s="29" t="s">
        <v>729</v>
      </c>
    </row>
    <row r="667" spans="1:1" x14ac:dyDescent="0.25">
      <c r="A667" s="29" t="s">
        <v>730</v>
      </c>
    </row>
    <row r="668" spans="1:1" x14ac:dyDescent="0.25">
      <c r="A668" s="29" t="s">
        <v>731</v>
      </c>
    </row>
    <row r="669" spans="1:1" x14ac:dyDescent="0.25">
      <c r="A669" s="29" t="s">
        <v>732</v>
      </c>
    </row>
    <row r="670" spans="1:1" x14ac:dyDescent="0.25">
      <c r="A670" s="29" t="s">
        <v>733</v>
      </c>
    </row>
    <row r="671" spans="1:1" x14ac:dyDescent="0.25">
      <c r="A671" s="29" t="s">
        <v>734</v>
      </c>
    </row>
    <row r="672" spans="1:1" x14ac:dyDescent="0.25">
      <c r="A672" s="29" t="s">
        <v>735</v>
      </c>
    </row>
    <row r="673" spans="1:1" x14ac:dyDescent="0.25">
      <c r="A673" s="29" t="s">
        <v>736</v>
      </c>
    </row>
    <row r="674" spans="1:1" x14ac:dyDescent="0.25">
      <c r="A674" s="29" t="s">
        <v>737</v>
      </c>
    </row>
    <row r="675" spans="1:1" x14ac:dyDescent="0.25">
      <c r="A675" s="29" t="s">
        <v>738</v>
      </c>
    </row>
    <row r="676" spans="1:1" x14ac:dyDescent="0.25">
      <c r="A676" s="29" t="s">
        <v>739</v>
      </c>
    </row>
    <row r="677" spans="1:1" x14ac:dyDescent="0.25">
      <c r="A677" s="29" t="s">
        <v>740</v>
      </c>
    </row>
    <row r="678" spans="1:1" x14ac:dyDescent="0.25">
      <c r="A678" s="29" t="s">
        <v>741</v>
      </c>
    </row>
    <row r="679" spans="1:1" x14ac:dyDescent="0.25">
      <c r="A679" s="29" t="s">
        <v>742</v>
      </c>
    </row>
    <row r="680" spans="1:1" x14ac:dyDescent="0.25">
      <c r="A680" s="29" t="s">
        <v>743</v>
      </c>
    </row>
    <row r="681" spans="1:1" x14ac:dyDescent="0.25">
      <c r="A681" s="29" t="s">
        <v>744</v>
      </c>
    </row>
    <row r="682" spans="1:1" x14ac:dyDescent="0.25">
      <c r="A682" s="29" t="s">
        <v>745</v>
      </c>
    </row>
    <row r="683" spans="1:1" x14ac:dyDescent="0.25">
      <c r="A683" s="29" t="s">
        <v>746</v>
      </c>
    </row>
    <row r="684" spans="1:1" x14ac:dyDescent="0.25">
      <c r="A684" s="29" t="s">
        <v>747</v>
      </c>
    </row>
    <row r="685" spans="1:1" x14ac:dyDescent="0.25">
      <c r="A685" s="29" t="s">
        <v>748</v>
      </c>
    </row>
    <row r="686" spans="1:1" x14ac:dyDescent="0.25">
      <c r="A686" s="29" t="s">
        <v>749</v>
      </c>
    </row>
    <row r="687" spans="1:1" x14ac:dyDescent="0.25">
      <c r="A687" s="29" t="s">
        <v>750</v>
      </c>
    </row>
    <row r="688" spans="1:1" x14ac:dyDescent="0.25">
      <c r="A688" s="29" t="s">
        <v>751</v>
      </c>
    </row>
    <row r="689" spans="1:1" x14ac:dyDescent="0.25">
      <c r="A689" s="29" t="s">
        <v>752</v>
      </c>
    </row>
    <row r="690" spans="1:1" x14ac:dyDescent="0.25">
      <c r="A690" s="29" t="s">
        <v>753</v>
      </c>
    </row>
    <row r="691" spans="1:1" x14ac:dyDescent="0.25">
      <c r="A691" s="29" t="s">
        <v>754</v>
      </c>
    </row>
    <row r="692" spans="1:1" x14ac:dyDescent="0.25">
      <c r="A692" s="29" t="s">
        <v>755</v>
      </c>
    </row>
    <row r="693" spans="1:1" ht="30" x14ac:dyDescent="0.25">
      <c r="A693" s="29" t="s">
        <v>756</v>
      </c>
    </row>
    <row r="694" spans="1:1" ht="30" x14ac:dyDescent="0.25">
      <c r="A694" s="29" t="s">
        <v>757</v>
      </c>
    </row>
    <row r="695" spans="1:1" x14ac:dyDescent="0.25">
      <c r="A695" s="29" t="s">
        <v>758</v>
      </c>
    </row>
    <row r="696" spans="1:1" x14ac:dyDescent="0.25">
      <c r="A696" s="29" t="s">
        <v>759</v>
      </c>
    </row>
    <row r="697" spans="1:1" x14ac:dyDescent="0.25">
      <c r="A697" s="29" t="s">
        <v>760</v>
      </c>
    </row>
    <row r="698" spans="1:1" x14ac:dyDescent="0.25">
      <c r="A698" s="29" t="s">
        <v>761</v>
      </c>
    </row>
    <row r="699" spans="1:1" x14ac:dyDescent="0.25">
      <c r="A699" s="29" t="s">
        <v>762</v>
      </c>
    </row>
    <row r="700" spans="1:1" x14ac:dyDescent="0.25">
      <c r="A700" s="29" t="s">
        <v>763</v>
      </c>
    </row>
    <row r="701" spans="1:1" x14ac:dyDescent="0.25">
      <c r="A701" s="29" t="s">
        <v>764</v>
      </c>
    </row>
    <row r="702" spans="1:1" x14ac:dyDescent="0.25">
      <c r="A702" s="29" t="s">
        <v>765</v>
      </c>
    </row>
    <row r="703" spans="1:1" x14ac:dyDescent="0.25">
      <c r="A703" s="29" t="s">
        <v>766</v>
      </c>
    </row>
    <row r="704" spans="1:1" x14ac:dyDescent="0.25">
      <c r="A704" s="29" t="s">
        <v>767</v>
      </c>
    </row>
    <row r="705" spans="1:1" x14ac:dyDescent="0.25">
      <c r="A705" s="29" t="s">
        <v>768</v>
      </c>
    </row>
    <row r="706" spans="1:1" x14ac:dyDescent="0.25">
      <c r="A706" s="29" t="s">
        <v>769</v>
      </c>
    </row>
    <row r="707" spans="1:1" x14ac:dyDescent="0.25">
      <c r="A707" s="29" t="s">
        <v>770</v>
      </c>
    </row>
    <row r="708" spans="1:1" x14ac:dyDescent="0.25">
      <c r="A708" s="29" t="s">
        <v>771</v>
      </c>
    </row>
    <row r="709" spans="1:1" x14ac:dyDescent="0.25">
      <c r="A709" s="29" t="s">
        <v>772</v>
      </c>
    </row>
    <row r="710" spans="1:1" x14ac:dyDescent="0.25">
      <c r="A710" s="29" t="s">
        <v>773</v>
      </c>
    </row>
    <row r="711" spans="1:1" x14ac:dyDescent="0.25">
      <c r="A711" s="29" t="s">
        <v>774</v>
      </c>
    </row>
    <row r="712" spans="1:1" x14ac:dyDescent="0.25">
      <c r="A712" s="29" t="s">
        <v>775</v>
      </c>
    </row>
    <row r="713" spans="1:1" x14ac:dyDescent="0.25">
      <c r="A713" s="29" t="s">
        <v>776</v>
      </c>
    </row>
    <row r="714" spans="1:1" x14ac:dyDescent="0.25">
      <c r="A714" s="29" t="s">
        <v>777</v>
      </c>
    </row>
    <row r="715" spans="1:1" x14ac:dyDescent="0.25">
      <c r="A715" s="29" t="s">
        <v>778</v>
      </c>
    </row>
    <row r="716" spans="1:1" x14ac:dyDescent="0.25">
      <c r="A716" s="29" t="s">
        <v>779</v>
      </c>
    </row>
    <row r="717" spans="1:1" x14ac:dyDescent="0.25">
      <c r="A717" s="29" t="s">
        <v>780</v>
      </c>
    </row>
    <row r="718" spans="1:1" x14ac:dyDescent="0.25">
      <c r="A718" s="29" t="s">
        <v>781</v>
      </c>
    </row>
    <row r="719" spans="1:1" x14ac:dyDescent="0.25">
      <c r="A719" s="29" t="s">
        <v>782</v>
      </c>
    </row>
    <row r="720" spans="1:1" x14ac:dyDescent="0.25">
      <c r="A720" s="29" t="s">
        <v>783</v>
      </c>
    </row>
    <row r="721" spans="1:1" x14ac:dyDescent="0.25">
      <c r="A721" s="29" t="s">
        <v>784</v>
      </c>
    </row>
    <row r="722" spans="1:1" x14ac:dyDescent="0.25">
      <c r="A722" s="29" t="s">
        <v>785</v>
      </c>
    </row>
    <row r="723" spans="1:1" x14ac:dyDescent="0.25">
      <c r="A723" s="29" t="s">
        <v>786</v>
      </c>
    </row>
    <row r="724" spans="1:1" x14ac:dyDescent="0.25">
      <c r="A724" s="29" t="s">
        <v>787</v>
      </c>
    </row>
    <row r="725" spans="1:1" x14ac:dyDescent="0.25">
      <c r="A725" s="29" t="s">
        <v>788</v>
      </c>
    </row>
    <row r="726" spans="1:1" x14ac:dyDescent="0.25">
      <c r="A726" s="29" t="s">
        <v>789</v>
      </c>
    </row>
    <row r="727" spans="1:1" x14ac:dyDescent="0.25">
      <c r="A727" s="29" t="s">
        <v>790</v>
      </c>
    </row>
    <row r="728" spans="1:1" x14ac:dyDescent="0.25">
      <c r="A728" s="29" t="s">
        <v>791</v>
      </c>
    </row>
    <row r="729" spans="1:1" x14ac:dyDescent="0.25">
      <c r="A729" s="29" t="s">
        <v>792</v>
      </c>
    </row>
    <row r="730" spans="1:1" x14ac:dyDescent="0.25">
      <c r="A730" s="29" t="s">
        <v>793</v>
      </c>
    </row>
    <row r="731" spans="1:1" x14ac:dyDescent="0.25">
      <c r="A731" s="29" t="s">
        <v>794</v>
      </c>
    </row>
    <row r="732" spans="1:1" x14ac:dyDescent="0.25">
      <c r="A732" s="29" t="s">
        <v>795</v>
      </c>
    </row>
    <row r="733" spans="1:1" x14ac:dyDescent="0.25">
      <c r="A733" s="29" t="s">
        <v>796</v>
      </c>
    </row>
    <row r="734" spans="1:1" x14ac:dyDescent="0.25">
      <c r="A734" s="29" t="s">
        <v>797</v>
      </c>
    </row>
    <row r="735" spans="1:1" x14ac:dyDescent="0.25">
      <c r="A735" s="29" t="s">
        <v>798</v>
      </c>
    </row>
    <row r="736" spans="1:1" x14ac:dyDescent="0.25">
      <c r="A736" s="29" t="s">
        <v>799</v>
      </c>
    </row>
    <row r="737" spans="1:1" x14ac:dyDescent="0.25">
      <c r="A737" s="29" t="s">
        <v>800</v>
      </c>
    </row>
    <row r="738" spans="1:1" x14ac:dyDescent="0.25">
      <c r="A738" s="29" t="s">
        <v>801</v>
      </c>
    </row>
    <row r="739" spans="1:1" x14ac:dyDescent="0.25">
      <c r="A739" s="29" t="s">
        <v>802</v>
      </c>
    </row>
    <row r="740" spans="1:1" x14ac:dyDescent="0.25">
      <c r="A740" s="29" t="s">
        <v>803</v>
      </c>
    </row>
    <row r="741" spans="1:1" x14ac:dyDescent="0.25">
      <c r="A741" s="29" t="s">
        <v>804</v>
      </c>
    </row>
    <row r="742" spans="1:1" x14ac:dyDescent="0.25">
      <c r="A742" s="29" t="s">
        <v>805</v>
      </c>
    </row>
    <row r="743" spans="1:1" x14ac:dyDescent="0.25">
      <c r="A743" s="29" t="s">
        <v>806</v>
      </c>
    </row>
    <row r="744" spans="1:1" x14ac:dyDescent="0.25">
      <c r="A744" s="29" t="s">
        <v>807</v>
      </c>
    </row>
    <row r="745" spans="1:1" x14ac:dyDescent="0.25">
      <c r="A745" s="29" t="s">
        <v>808</v>
      </c>
    </row>
    <row r="746" spans="1:1" x14ac:dyDescent="0.25">
      <c r="A746" s="29" t="s">
        <v>809</v>
      </c>
    </row>
    <row r="747" spans="1:1" x14ac:dyDescent="0.25">
      <c r="A747" s="29" t="s">
        <v>810</v>
      </c>
    </row>
    <row r="748" spans="1:1" x14ac:dyDescent="0.25">
      <c r="A748" s="29" t="s">
        <v>811</v>
      </c>
    </row>
    <row r="749" spans="1:1" x14ac:dyDescent="0.25">
      <c r="A749" s="29" t="s">
        <v>812</v>
      </c>
    </row>
    <row r="750" spans="1:1" x14ac:dyDescent="0.25">
      <c r="A750" s="29" t="s">
        <v>813</v>
      </c>
    </row>
    <row r="751" spans="1:1" x14ac:dyDescent="0.25">
      <c r="A751" s="29" t="s">
        <v>814</v>
      </c>
    </row>
    <row r="752" spans="1:1" x14ac:dyDescent="0.25">
      <c r="A752" s="29" t="s">
        <v>815</v>
      </c>
    </row>
    <row r="753" spans="1:1" x14ac:dyDescent="0.25">
      <c r="A753" s="29" t="s">
        <v>816</v>
      </c>
    </row>
    <row r="754" spans="1:1" x14ac:dyDescent="0.25">
      <c r="A754" s="29" t="s">
        <v>817</v>
      </c>
    </row>
    <row r="755" spans="1:1" x14ac:dyDescent="0.25">
      <c r="A755" s="29" t="s">
        <v>818</v>
      </c>
    </row>
    <row r="756" spans="1:1" x14ac:dyDescent="0.25">
      <c r="A756" s="29" t="s">
        <v>819</v>
      </c>
    </row>
    <row r="757" spans="1:1" x14ac:dyDescent="0.25">
      <c r="A757" s="29" t="s">
        <v>820</v>
      </c>
    </row>
    <row r="758" spans="1:1" x14ac:dyDescent="0.25">
      <c r="A758" s="29" t="s">
        <v>821</v>
      </c>
    </row>
    <row r="759" spans="1:1" x14ac:dyDescent="0.25">
      <c r="A759" s="29" t="s">
        <v>822</v>
      </c>
    </row>
    <row r="760" spans="1:1" x14ac:dyDescent="0.25">
      <c r="A760" s="29" t="s">
        <v>823</v>
      </c>
    </row>
    <row r="761" spans="1:1" x14ac:dyDescent="0.25">
      <c r="A761" s="29" t="s">
        <v>824</v>
      </c>
    </row>
    <row r="762" spans="1:1" x14ac:dyDescent="0.25">
      <c r="A762" s="29" t="s">
        <v>825</v>
      </c>
    </row>
    <row r="763" spans="1:1" x14ac:dyDescent="0.25">
      <c r="A763" s="29" t="s">
        <v>826</v>
      </c>
    </row>
    <row r="764" spans="1:1" x14ac:dyDescent="0.25">
      <c r="A764" s="29" t="s">
        <v>827</v>
      </c>
    </row>
    <row r="765" spans="1:1" x14ac:dyDescent="0.25">
      <c r="A765" s="29" t="s">
        <v>828</v>
      </c>
    </row>
    <row r="766" spans="1:1" x14ac:dyDescent="0.25">
      <c r="A766" s="29" t="s">
        <v>829</v>
      </c>
    </row>
    <row r="767" spans="1:1" x14ac:dyDescent="0.25">
      <c r="A767" s="29" t="s">
        <v>830</v>
      </c>
    </row>
    <row r="768" spans="1:1" x14ac:dyDescent="0.25">
      <c r="A768" s="29" t="s">
        <v>831</v>
      </c>
    </row>
    <row r="769" spans="1:1" x14ac:dyDescent="0.25">
      <c r="A769" s="29" t="s">
        <v>832</v>
      </c>
    </row>
    <row r="770" spans="1:1" x14ac:dyDescent="0.25">
      <c r="A770" s="29" t="s">
        <v>833</v>
      </c>
    </row>
    <row r="771" spans="1:1" x14ac:dyDescent="0.25">
      <c r="A771" s="29" t="s">
        <v>834</v>
      </c>
    </row>
    <row r="772" spans="1:1" x14ac:dyDescent="0.25">
      <c r="A772" s="29" t="s">
        <v>835</v>
      </c>
    </row>
    <row r="773" spans="1:1" x14ac:dyDescent="0.25">
      <c r="A773" s="29" t="s">
        <v>836</v>
      </c>
    </row>
    <row r="774" spans="1:1" x14ac:dyDescent="0.25">
      <c r="A774" s="29" t="s">
        <v>837</v>
      </c>
    </row>
    <row r="775" spans="1:1" x14ac:dyDescent="0.25">
      <c r="A775" s="29" t="s">
        <v>838</v>
      </c>
    </row>
    <row r="776" spans="1:1" x14ac:dyDescent="0.25">
      <c r="A776" s="29" t="s">
        <v>839</v>
      </c>
    </row>
    <row r="777" spans="1:1" x14ac:dyDescent="0.25">
      <c r="A777" s="29" t="s">
        <v>840</v>
      </c>
    </row>
    <row r="778" spans="1:1" x14ac:dyDescent="0.25">
      <c r="A778" s="29" t="s">
        <v>841</v>
      </c>
    </row>
    <row r="779" spans="1:1" x14ac:dyDescent="0.25">
      <c r="A779" s="29" t="s">
        <v>842</v>
      </c>
    </row>
    <row r="780" spans="1:1" x14ac:dyDescent="0.25">
      <c r="A780" s="29" t="s">
        <v>843</v>
      </c>
    </row>
    <row r="781" spans="1:1" x14ac:dyDescent="0.25">
      <c r="A781" s="29" t="s">
        <v>844</v>
      </c>
    </row>
    <row r="782" spans="1:1" x14ac:dyDescent="0.25">
      <c r="A782" s="29" t="s">
        <v>845</v>
      </c>
    </row>
    <row r="783" spans="1:1" x14ac:dyDescent="0.25">
      <c r="A783" s="29" t="s">
        <v>846</v>
      </c>
    </row>
    <row r="784" spans="1:1" x14ac:dyDescent="0.25">
      <c r="A784" s="29" t="s">
        <v>847</v>
      </c>
    </row>
    <row r="785" spans="1:1" x14ac:dyDescent="0.25">
      <c r="A785" s="29" t="s">
        <v>848</v>
      </c>
    </row>
    <row r="786" spans="1:1" x14ac:dyDescent="0.25">
      <c r="A786" s="29" t="s">
        <v>849</v>
      </c>
    </row>
    <row r="787" spans="1:1" x14ac:dyDescent="0.25">
      <c r="A787" s="29" t="s">
        <v>850</v>
      </c>
    </row>
    <row r="788" spans="1:1" x14ac:dyDescent="0.25">
      <c r="A788" s="29" t="s">
        <v>851</v>
      </c>
    </row>
    <row r="789" spans="1:1" x14ac:dyDescent="0.25">
      <c r="A789" s="29" t="s">
        <v>852</v>
      </c>
    </row>
    <row r="790" spans="1:1" x14ac:dyDescent="0.25">
      <c r="A790" s="29" t="s">
        <v>853</v>
      </c>
    </row>
    <row r="791" spans="1:1" x14ac:dyDescent="0.25">
      <c r="A791" s="29" t="s">
        <v>854</v>
      </c>
    </row>
    <row r="792" spans="1:1" ht="30" x14ac:dyDescent="0.25">
      <c r="A792" s="29" t="s">
        <v>855</v>
      </c>
    </row>
    <row r="793" spans="1:1" ht="30" x14ac:dyDescent="0.25">
      <c r="A793" s="29" t="s">
        <v>856</v>
      </c>
    </row>
    <row r="794" spans="1:1" x14ac:dyDescent="0.25">
      <c r="A794" s="29" t="s">
        <v>857</v>
      </c>
    </row>
    <row r="795" spans="1:1" x14ac:dyDescent="0.25">
      <c r="A795" s="29" t="s">
        <v>858</v>
      </c>
    </row>
    <row r="796" spans="1:1" x14ac:dyDescent="0.25">
      <c r="A796" s="29" t="s">
        <v>859</v>
      </c>
    </row>
    <row r="797" spans="1:1" x14ac:dyDescent="0.25">
      <c r="A797" s="29" t="s">
        <v>860</v>
      </c>
    </row>
    <row r="798" spans="1:1" x14ac:dyDescent="0.25">
      <c r="A798" s="29" t="s">
        <v>861</v>
      </c>
    </row>
    <row r="799" spans="1:1" x14ac:dyDescent="0.25">
      <c r="A799" s="29" t="s">
        <v>862</v>
      </c>
    </row>
    <row r="800" spans="1:1" x14ac:dyDescent="0.25">
      <c r="A800" s="29" t="s">
        <v>863</v>
      </c>
    </row>
    <row r="801" spans="1:1" x14ac:dyDescent="0.25">
      <c r="A801" s="29" t="s">
        <v>864</v>
      </c>
    </row>
    <row r="802" spans="1:1" x14ac:dyDescent="0.25">
      <c r="A802" s="29" t="s">
        <v>865</v>
      </c>
    </row>
    <row r="803" spans="1:1" x14ac:dyDescent="0.25">
      <c r="A803" s="29" t="s">
        <v>866</v>
      </c>
    </row>
    <row r="804" spans="1:1" x14ac:dyDescent="0.25">
      <c r="A804" s="29" t="s">
        <v>867</v>
      </c>
    </row>
    <row r="805" spans="1:1" x14ac:dyDescent="0.25">
      <c r="A805" s="29" t="s">
        <v>868</v>
      </c>
    </row>
    <row r="806" spans="1:1" x14ac:dyDescent="0.25">
      <c r="A806" s="29" t="s">
        <v>869</v>
      </c>
    </row>
    <row r="807" spans="1:1" x14ac:dyDescent="0.25">
      <c r="A807" s="29" t="s">
        <v>870</v>
      </c>
    </row>
    <row r="808" spans="1:1" x14ac:dyDescent="0.25">
      <c r="A808" s="29" t="s">
        <v>871</v>
      </c>
    </row>
    <row r="809" spans="1:1" x14ac:dyDescent="0.25">
      <c r="A809" s="29" t="s">
        <v>872</v>
      </c>
    </row>
    <row r="810" spans="1:1" x14ac:dyDescent="0.25">
      <c r="A810" s="29" t="s">
        <v>873</v>
      </c>
    </row>
    <row r="811" spans="1:1" x14ac:dyDescent="0.25">
      <c r="A811" s="29" t="s">
        <v>874</v>
      </c>
    </row>
    <row r="812" spans="1:1" x14ac:dyDescent="0.25">
      <c r="A812" s="29" t="s">
        <v>875</v>
      </c>
    </row>
    <row r="813" spans="1:1" x14ac:dyDescent="0.25">
      <c r="A813" s="29" t="s">
        <v>876</v>
      </c>
    </row>
    <row r="814" spans="1:1" x14ac:dyDescent="0.25">
      <c r="A814" s="29" t="s">
        <v>877</v>
      </c>
    </row>
    <row r="815" spans="1:1" x14ac:dyDescent="0.25">
      <c r="A815" s="29" t="s">
        <v>878</v>
      </c>
    </row>
    <row r="816" spans="1:1" x14ac:dyDescent="0.25">
      <c r="A816" s="29" t="s">
        <v>879</v>
      </c>
    </row>
    <row r="817" spans="1:1" x14ac:dyDescent="0.25">
      <c r="A817" s="29" t="s">
        <v>880</v>
      </c>
    </row>
    <row r="818" spans="1:1" x14ac:dyDescent="0.25">
      <c r="A818" s="29" t="s">
        <v>881</v>
      </c>
    </row>
    <row r="819" spans="1:1" x14ac:dyDescent="0.25">
      <c r="A819" s="29" t="s">
        <v>882</v>
      </c>
    </row>
    <row r="820" spans="1:1" x14ac:dyDescent="0.25">
      <c r="A820" s="29" t="s">
        <v>883</v>
      </c>
    </row>
    <row r="821" spans="1:1" x14ac:dyDescent="0.25">
      <c r="A821" s="29" t="s">
        <v>884</v>
      </c>
    </row>
    <row r="822" spans="1:1" x14ac:dyDescent="0.25">
      <c r="A822" s="29" t="s">
        <v>885</v>
      </c>
    </row>
    <row r="823" spans="1:1" x14ac:dyDescent="0.25">
      <c r="A823" s="29" t="s">
        <v>886</v>
      </c>
    </row>
    <row r="824" spans="1:1" x14ac:dyDescent="0.25">
      <c r="A824" s="29" t="s">
        <v>887</v>
      </c>
    </row>
    <row r="825" spans="1:1" x14ac:dyDescent="0.25">
      <c r="A825" s="29" t="s">
        <v>888</v>
      </c>
    </row>
    <row r="826" spans="1:1" x14ac:dyDescent="0.25">
      <c r="A826" s="29" t="s">
        <v>889</v>
      </c>
    </row>
    <row r="827" spans="1:1" x14ac:dyDescent="0.25">
      <c r="A827" s="29" t="s">
        <v>890</v>
      </c>
    </row>
    <row r="828" spans="1:1" x14ac:dyDescent="0.25">
      <c r="A828" s="29" t="s">
        <v>891</v>
      </c>
    </row>
    <row r="829" spans="1:1" x14ac:dyDescent="0.25">
      <c r="A829" s="29" t="s">
        <v>892</v>
      </c>
    </row>
    <row r="830" spans="1:1" x14ac:dyDescent="0.25">
      <c r="A830" s="29" t="s">
        <v>893</v>
      </c>
    </row>
    <row r="831" spans="1:1" x14ac:dyDescent="0.25">
      <c r="A831" s="29" t="s">
        <v>894</v>
      </c>
    </row>
    <row r="832" spans="1:1" x14ac:dyDescent="0.25">
      <c r="A832" s="29" t="s">
        <v>895</v>
      </c>
    </row>
    <row r="833" spans="1:1" x14ac:dyDescent="0.25">
      <c r="A833" s="29" t="s">
        <v>896</v>
      </c>
    </row>
    <row r="834" spans="1:1" x14ac:dyDescent="0.25">
      <c r="A834" s="29" t="s">
        <v>897</v>
      </c>
    </row>
    <row r="835" spans="1:1" x14ac:dyDescent="0.25">
      <c r="A835" s="29" t="s">
        <v>898</v>
      </c>
    </row>
    <row r="836" spans="1:1" x14ac:dyDescent="0.25">
      <c r="A836" s="29" t="s">
        <v>899</v>
      </c>
    </row>
    <row r="837" spans="1:1" x14ac:dyDescent="0.25">
      <c r="A837" s="29" t="s">
        <v>900</v>
      </c>
    </row>
    <row r="838" spans="1:1" x14ac:dyDescent="0.25">
      <c r="A838" s="29" t="s">
        <v>901</v>
      </c>
    </row>
    <row r="839" spans="1:1" x14ac:dyDescent="0.25">
      <c r="A839" s="29" t="s">
        <v>902</v>
      </c>
    </row>
    <row r="840" spans="1:1" x14ac:dyDescent="0.25">
      <c r="A840" s="29" t="s">
        <v>903</v>
      </c>
    </row>
    <row r="841" spans="1:1" x14ac:dyDescent="0.25">
      <c r="A841" s="29" t="s">
        <v>904</v>
      </c>
    </row>
    <row r="842" spans="1:1" x14ac:dyDescent="0.25">
      <c r="A842" s="29" t="s">
        <v>905</v>
      </c>
    </row>
    <row r="843" spans="1:1" x14ac:dyDescent="0.25">
      <c r="A843" s="29" t="s">
        <v>906</v>
      </c>
    </row>
    <row r="844" spans="1:1" x14ac:dyDescent="0.25">
      <c r="A844" s="29" t="s">
        <v>907</v>
      </c>
    </row>
    <row r="845" spans="1:1" x14ac:dyDescent="0.25">
      <c r="A845" s="29" t="s">
        <v>908</v>
      </c>
    </row>
    <row r="846" spans="1:1" x14ac:dyDescent="0.25">
      <c r="A846" s="29" t="s">
        <v>909</v>
      </c>
    </row>
    <row r="847" spans="1:1" x14ac:dyDescent="0.25">
      <c r="A847" s="29" t="s">
        <v>910</v>
      </c>
    </row>
    <row r="848" spans="1:1" x14ac:dyDescent="0.25">
      <c r="A848" s="29" t="s">
        <v>911</v>
      </c>
    </row>
    <row r="849" spans="1:1" x14ac:dyDescent="0.25">
      <c r="A849" s="29" t="s">
        <v>912</v>
      </c>
    </row>
    <row r="850" spans="1:1" x14ac:dyDescent="0.25">
      <c r="A850" s="29" t="s">
        <v>913</v>
      </c>
    </row>
    <row r="851" spans="1:1" x14ac:dyDescent="0.25">
      <c r="A851" s="29" t="s">
        <v>914</v>
      </c>
    </row>
    <row r="852" spans="1:1" x14ac:dyDescent="0.25">
      <c r="A852" s="29" t="s">
        <v>915</v>
      </c>
    </row>
    <row r="853" spans="1:1" x14ac:dyDescent="0.25">
      <c r="A853" s="29" t="s">
        <v>916</v>
      </c>
    </row>
    <row r="854" spans="1:1" x14ac:dyDescent="0.25">
      <c r="A854" s="29" t="s">
        <v>917</v>
      </c>
    </row>
    <row r="855" spans="1:1" x14ac:dyDescent="0.25">
      <c r="A855" s="29" t="s">
        <v>918</v>
      </c>
    </row>
    <row r="856" spans="1:1" ht="30" x14ac:dyDescent="0.25">
      <c r="A856" s="29" t="s">
        <v>919</v>
      </c>
    </row>
    <row r="857" spans="1:1" x14ac:dyDescent="0.25">
      <c r="A857" s="29" t="s">
        <v>920</v>
      </c>
    </row>
    <row r="858" spans="1:1" x14ac:dyDescent="0.25">
      <c r="A858" s="29" t="s">
        <v>921</v>
      </c>
    </row>
    <row r="859" spans="1:1" x14ac:dyDescent="0.25">
      <c r="A859" s="29" t="s">
        <v>922</v>
      </c>
    </row>
    <row r="860" spans="1:1" ht="30" x14ac:dyDescent="0.25">
      <c r="A860" s="29" t="s">
        <v>923</v>
      </c>
    </row>
    <row r="861" spans="1:1" ht="30" x14ac:dyDescent="0.25">
      <c r="A861" s="29" t="s">
        <v>924</v>
      </c>
    </row>
    <row r="862" spans="1:1" x14ac:dyDescent="0.25">
      <c r="A862" s="29" t="s">
        <v>925</v>
      </c>
    </row>
    <row r="863" spans="1:1" x14ac:dyDescent="0.25">
      <c r="A863" s="29" t="s">
        <v>926</v>
      </c>
    </row>
    <row r="864" spans="1:1" x14ac:dyDescent="0.25">
      <c r="A864" s="29" t="s">
        <v>927</v>
      </c>
    </row>
    <row r="865" spans="1:1" x14ac:dyDescent="0.25">
      <c r="A865" s="29" t="s">
        <v>928</v>
      </c>
    </row>
    <row r="866" spans="1:1" ht="30" x14ac:dyDescent="0.25">
      <c r="A866" s="29" t="s">
        <v>929</v>
      </c>
    </row>
    <row r="867" spans="1:1" x14ac:dyDescent="0.25">
      <c r="A867" s="29" t="s">
        <v>930</v>
      </c>
    </row>
    <row r="868" spans="1:1" x14ac:dyDescent="0.25">
      <c r="A868" s="29" t="s">
        <v>931</v>
      </c>
    </row>
    <row r="869" spans="1:1" x14ac:dyDescent="0.25">
      <c r="A869" s="29" t="s">
        <v>932</v>
      </c>
    </row>
    <row r="870" spans="1:1" x14ac:dyDescent="0.25">
      <c r="A870" s="29" t="s">
        <v>933</v>
      </c>
    </row>
    <row r="871" spans="1:1" x14ac:dyDescent="0.25">
      <c r="A871" s="29" t="s">
        <v>934</v>
      </c>
    </row>
    <row r="872" spans="1:1" x14ac:dyDescent="0.25">
      <c r="A872" s="29" t="s">
        <v>935</v>
      </c>
    </row>
    <row r="873" spans="1:1" x14ac:dyDescent="0.25">
      <c r="A873" s="29" t="s">
        <v>936</v>
      </c>
    </row>
    <row r="874" spans="1:1" x14ac:dyDescent="0.25">
      <c r="A874" s="29" t="s">
        <v>937</v>
      </c>
    </row>
    <row r="875" spans="1:1" x14ac:dyDescent="0.25">
      <c r="A875" s="29" t="s">
        <v>938</v>
      </c>
    </row>
    <row r="876" spans="1:1" x14ac:dyDescent="0.25">
      <c r="A876" s="29" t="s">
        <v>939</v>
      </c>
    </row>
    <row r="877" spans="1:1" x14ac:dyDescent="0.25">
      <c r="A877" s="29" t="s">
        <v>940</v>
      </c>
    </row>
    <row r="878" spans="1:1" x14ac:dyDescent="0.25">
      <c r="A878" s="29" t="s">
        <v>941</v>
      </c>
    </row>
    <row r="879" spans="1:1" x14ac:dyDescent="0.25">
      <c r="A879" s="29" t="s">
        <v>942</v>
      </c>
    </row>
    <row r="880" spans="1:1" x14ac:dyDescent="0.25">
      <c r="A880" s="29" t="s">
        <v>943</v>
      </c>
    </row>
    <row r="881" spans="1:1" x14ac:dyDescent="0.25">
      <c r="A881" s="29" t="s">
        <v>944</v>
      </c>
    </row>
    <row r="882" spans="1:1" x14ac:dyDescent="0.25">
      <c r="A882" s="29" t="s">
        <v>945</v>
      </c>
    </row>
    <row r="883" spans="1:1" x14ac:dyDescent="0.25">
      <c r="A883" s="29" t="s">
        <v>946</v>
      </c>
    </row>
    <row r="884" spans="1:1" x14ac:dyDescent="0.25">
      <c r="A884" s="29" t="s">
        <v>947</v>
      </c>
    </row>
    <row r="885" spans="1:1" x14ac:dyDescent="0.25">
      <c r="A885" s="29" t="s">
        <v>948</v>
      </c>
    </row>
    <row r="886" spans="1:1" x14ac:dyDescent="0.25">
      <c r="A886" s="29" t="s">
        <v>949</v>
      </c>
    </row>
    <row r="887" spans="1:1" x14ac:dyDescent="0.25">
      <c r="A887" s="29" t="s">
        <v>950</v>
      </c>
    </row>
    <row r="888" spans="1:1" x14ac:dyDescent="0.25">
      <c r="A888" s="29" t="s">
        <v>951</v>
      </c>
    </row>
    <row r="889" spans="1:1" ht="30" x14ac:dyDescent="0.25">
      <c r="A889" s="29" t="s">
        <v>952</v>
      </c>
    </row>
    <row r="890" spans="1:1" x14ac:dyDescent="0.25">
      <c r="A890" s="29" t="s">
        <v>953</v>
      </c>
    </row>
    <row r="891" spans="1:1" ht="30" x14ac:dyDescent="0.25">
      <c r="A891" s="29" t="s">
        <v>954</v>
      </c>
    </row>
    <row r="892" spans="1:1" ht="30" x14ac:dyDescent="0.25">
      <c r="A892" s="29" t="s">
        <v>955</v>
      </c>
    </row>
    <row r="893" spans="1:1" ht="30" x14ac:dyDescent="0.25">
      <c r="A893" s="29" t="s">
        <v>956</v>
      </c>
    </row>
    <row r="894" spans="1:1" x14ac:dyDescent="0.25">
      <c r="A894" s="29" t="s">
        <v>957</v>
      </c>
    </row>
    <row r="895" spans="1:1" x14ac:dyDescent="0.25">
      <c r="A895" s="29" t="s">
        <v>958</v>
      </c>
    </row>
    <row r="896" spans="1:1" x14ac:dyDescent="0.25">
      <c r="A896" s="29" t="s">
        <v>959</v>
      </c>
    </row>
    <row r="897" spans="1:1" x14ac:dyDescent="0.25">
      <c r="A897" s="29" t="s">
        <v>960</v>
      </c>
    </row>
    <row r="898" spans="1:1" x14ac:dyDescent="0.25">
      <c r="A898" s="29" t="s">
        <v>961</v>
      </c>
    </row>
    <row r="899" spans="1:1" x14ac:dyDescent="0.25">
      <c r="A899" s="29" t="s">
        <v>962</v>
      </c>
    </row>
    <row r="900" spans="1:1" x14ac:dyDescent="0.25">
      <c r="A900" s="29" t="s">
        <v>963</v>
      </c>
    </row>
    <row r="901" spans="1:1" x14ac:dyDescent="0.25">
      <c r="A901" s="29" t="s">
        <v>964</v>
      </c>
    </row>
    <row r="902" spans="1:1" x14ac:dyDescent="0.25">
      <c r="A902" s="29" t="s">
        <v>965</v>
      </c>
    </row>
    <row r="903" spans="1:1" x14ac:dyDescent="0.25">
      <c r="A903" s="29" t="s">
        <v>966</v>
      </c>
    </row>
    <row r="904" spans="1:1" x14ac:dyDescent="0.25">
      <c r="A904" s="29" t="s">
        <v>967</v>
      </c>
    </row>
    <row r="905" spans="1:1" ht="30" x14ac:dyDescent="0.25">
      <c r="A905" s="29" t="s">
        <v>968</v>
      </c>
    </row>
    <row r="906" spans="1:1" x14ac:dyDescent="0.25">
      <c r="A906" s="29" t="s">
        <v>969</v>
      </c>
    </row>
    <row r="907" spans="1:1" x14ac:dyDescent="0.25">
      <c r="A907" s="29" t="s">
        <v>970</v>
      </c>
    </row>
    <row r="908" spans="1:1" x14ac:dyDescent="0.25">
      <c r="A908" s="29" t="s">
        <v>971</v>
      </c>
    </row>
    <row r="909" spans="1:1" x14ac:dyDescent="0.25">
      <c r="A909" s="29" t="s">
        <v>972</v>
      </c>
    </row>
    <row r="910" spans="1:1" x14ac:dyDescent="0.25">
      <c r="A910" s="29" t="s">
        <v>973</v>
      </c>
    </row>
    <row r="911" spans="1:1" x14ac:dyDescent="0.25">
      <c r="A911" s="29" t="s">
        <v>974</v>
      </c>
    </row>
    <row r="912" spans="1:1" x14ac:dyDescent="0.25">
      <c r="A912" s="29" t="s">
        <v>975</v>
      </c>
    </row>
    <row r="913" spans="1:1" x14ac:dyDescent="0.25">
      <c r="A913" s="29" t="s">
        <v>976</v>
      </c>
    </row>
    <row r="914" spans="1:1" x14ac:dyDescent="0.25">
      <c r="A914" s="29" t="s">
        <v>977</v>
      </c>
    </row>
    <row r="915" spans="1:1" x14ac:dyDescent="0.25">
      <c r="A915" s="29" t="s">
        <v>978</v>
      </c>
    </row>
    <row r="916" spans="1:1" x14ac:dyDescent="0.25">
      <c r="A916" s="29" t="s">
        <v>979</v>
      </c>
    </row>
    <row r="917" spans="1:1" x14ac:dyDescent="0.25">
      <c r="A917" s="29" t="s">
        <v>980</v>
      </c>
    </row>
    <row r="918" spans="1:1" x14ac:dyDescent="0.25">
      <c r="A918" s="29" t="s">
        <v>981</v>
      </c>
    </row>
    <row r="919" spans="1:1" x14ac:dyDescent="0.25">
      <c r="A919" s="29" t="s">
        <v>982</v>
      </c>
    </row>
    <row r="920" spans="1:1" x14ac:dyDescent="0.25">
      <c r="A920" s="29" t="s">
        <v>983</v>
      </c>
    </row>
    <row r="921" spans="1:1" x14ac:dyDescent="0.25">
      <c r="A921" s="29" t="s">
        <v>984</v>
      </c>
    </row>
    <row r="922" spans="1:1" x14ac:dyDescent="0.25">
      <c r="A922" s="29" t="s">
        <v>985</v>
      </c>
    </row>
    <row r="923" spans="1:1" x14ac:dyDescent="0.25">
      <c r="A923" s="29" t="s">
        <v>986</v>
      </c>
    </row>
    <row r="924" spans="1:1" x14ac:dyDescent="0.25">
      <c r="A924" s="29" t="s">
        <v>987</v>
      </c>
    </row>
    <row r="925" spans="1:1" x14ac:dyDescent="0.25">
      <c r="A925" s="29" t="s">
        <v>988</v>
      </c>
    </row>
    <row r="926" spans="1:1" x14ac:dyDescent="0.25">
      <c r="A926" s="29" t="s">
        <v>989</v>
      </c>
    </row>
    <row r="927" spans="1:1" x14ac:dyDescent="0.25">
      <c r="A927" s="29" t="s">
        <v>990</v>
      </c>
    </row>
    <row r="928" spans="1:1" x14ac:dyDescent="0.25">
      <c r="A928" s="29" t="s">
        <v>991</v>
      </c>
    </row>
    <row r="929" spans="1:1" x14ac:dyDescent="0.25">
      <c r="A929" s="29" t="s">
        <v>992</v>
      </c>
    </row>
    <row r="930" spans="1:1" x14ac:dyDescent="0.25">
      <c r="A930" s="29" t="s">
        <v>993</v>
      </c>
    </row>
    <row r="931" spans="1:1" x14ac:dyDescent="0.25">
      <c r="A931" s="29" t="s">
        <v>994</v>
      </c>
    </row>
    <row r="932" spans="1:1" x14ac:dyDescent="0.25">
      <c r="A932" s="29" t="s">
        <v>995</v>
      </c>
    </row>
    <row r="933" spans="1:1" x14ac:dyDescent="0.25">
      <c r="A933" s="29" t="s">
        <v>996</v>
      </c>
    </row>
    <row r="934" spans="1:1" x14ac:dyDescent="0.25">
      <c r="A934" s="29" t="s">
        <v>997</v>
      </c>
    </row>
    <row r="935" spans="1:1" x14ac:dyDescent="0.25">
      <c r="A935" s="29" t="s">
        <v>998</v>
      </c>
    </row>
    <row r="936" spans="1:1" x14ac:dyDescent="0.25">
      <c r="A936" s="29" t="s">
        <v>999</v>
      </c>
    </row>
    <row r="937" spans="1:1" x14ac:dyDescent="0.25">
      <c r="A937" s="29" t="s">
        <v>1000</v>
      </c>
    </row>
    <row r="938" spans="1:1" x14ac:dyDescent="0.25">
      <c r="A938" s="29" t="s">
        <v>1001</v>
      </c>
    </row>
    <row r="939" spans="1:1" x14ac:dyDescent="0.25">
      <c r="A939" s="29" t="s">
        <v>1002</v>
      </c>
    </row>
    <row r="940" spans="1:1" x14ac:dyDescent="0.25">
      <c r="A940" s="29" t="s">
        <v>1003</v>
      </c>
    </row>
    <row r="941" spans="1:1" x14ac:dyDescent="0.25">
      <c r="A941" s="29" t="s">
        <v>1004</v>
      </c>
    </row>
    <row r="942" spans="1:1" x14ac:dyDescent="0.25">
      <c r="A942" s="29" t="s">
        <v>1005</v>
      </c>
    </row>
    <row r="943" spans="1:1" x14ac:dyDescent="0.25">
      <c r="A943" s="29" t="s">
        <v>1006</v>
      </c>
    </row>
    <row r="944" spans="1:1" x14ac:dyDescent="0.25">
      <c r="A944" s="29" t="s">
        <v>1007</v>
      </c>
    </row>
    <row r="945" spans="1:1" x14ac:dyDescent="0.25">
      <c r="A945" s="29" t="s">
        <v>1008</v>
      </c>
    </row>
    <row r="946" spans="1:1" x14ac:dyDescent="0.25">
      <c r="A946" s="29" t="s">
        <v>1009</v>
      </c>
    </row>
    <row r="947" spans="1:1" x14ac:dyDescent="0.25">
      <c r="A947" s="29" t="s">
        <v>1010</v>
      </c>
    </row>
    <row r="948" spans="1:1" x14ac:dyDescent="0.25">
      <c r="A948" s="29" t="s">
        <v>1011</v>
      </c>
    </row>
    <row r="949" spans="1:1" x14ac:dyDescent="0.25">
      <c r="A949" s="29" t="s">
        <v>1012</v>
      </c>
    </row>
    <row r="950" spans="1:1" x14ac:dyDescent="0.25">
      <c r="A950" s="29" t="s">
        <v>1013</v>
      </c>
    </row>
    <row r="951" spans="1:1" x14ac:dyDescent="0.25">
      <c r="A951" s="29" t="s">
        <v>1014</v>
      </c>
    </row>
    <row r="952" spans="1:1" x14ac:dyDescent="0.25">
      <c r="A952" s="29" t="s">
        <v>1015</v>
      </c>
    </row>
    <row r="953" spans="1:1" x14ac:dyDescent="0.25">
      <c r="A953" s="29" t="s">
        <v>1016</v>
      </c>
    </row>
    <row r="954" spans="1:1" x14ac:dyDescent="0.25">
      <c r="A954" s="29" t="s">
        <v>1017</v>
      </c>
    </row>
    <row r="955" spans="1:1" x14ac:dyDescent="0.25">
      <c r="A955" s="29" t="s">
        <v>1018</v>
      </c>
    </row>
    <row r="956" spans="1:1" x14ac:dyDescent="0.25">
      <c r="A956" s="29" t="s">
        <v>1019</v>
      </c>
    </row>
    <row r="957" spans="1:1" x14ac:dyDescent="0.25">
      <c r="A957" s="29" t="s">
        <v>1020</v>
      </c>
    </row>
    <row r="958" spans="1:1" x14ac:dyDescent="0.25">
      <c r="A958" s="29" t="s">
        <v>1021</v>
      </c>
    </row>
    <row r="959" spans="1:1" x14ac:dyDescent="0.25">
      <c r="A959" s="29" t="s">
        <v>1022</v>
      </c>
    </row>
    <row r="960" spans="1:1" x14ac:dyDescent="0.25">
      <c r="A960" s="29" t="s">
        <v>1023</v>
      </c>
    </row>
    <row r="961" spans="1:1" x14ac:dyDescent="0.25">
      <c r="A961" s="29" t="s">
        <v>1024</v>
      </c>
    </row>
    <row r="962" spans="1:1" x14ac:dyDescent="0.25">
      <c r="A962" s="29" t="s">
        <v>1025</v>
      </c>
    </row>
    <row r="963" spans="1:1" x14ac:dyDescent="0.25">
      <c r="A963" s="29" t="s">
        <v>1026</v>
      </c>
    </row>
    <row r="964" spans="1:1" x14ac:dyDescent="0.25">
      <c r="A964" s="29" t="s">
        <v>1027</v>
      </c>
    </row>
    <row r="965" spans="1:1" x14ac:dyDescent="0.25">
      <c r="A965" s="29" t="s">
        <v>1028</v>
      </c>
    </row>
    <row r="966" spans="1:1" x14ac:dyDescent="0.25">
      <c r="A966" s="29" t="s">
        <v>1029</v>
      </c>
    </row>
    <row r="967" spans="1:1" x14ac:dyDescent="0.25">
      <c r="A967" s="29" t="s">
        <v>1030</v>
      </c>
    </row>
    <row r="968" spans="1:1" x14ac:dyDescent="0.25">
      <c r="A968" s="29" t="s">
        <v>1031</v>
      </c>
    </row>
    <row r="969" spans="1:1" x14ac:dyDescent="0.25">
      <c r="A969" s="29" t="s">
        <v>1032</v>
      </c>
    </row>
    <row r="970" spans="1:1" x14ac:dyDescent="0.25">
      <c r="A970" s="29" t="s">
        <v>1033</v>
      </c>
    </row>
    <row r="971" spans="1:1" x14ac:dyDescent="0.25">
      <c r="A971" s="29" t="s">
        <v>1034</v>
      </c>
    </row>
    <row r="972" spans="1:1" x14ac:dyDescent="0.25">
      <c r="A972" s="29" t="s">
        <v>1035</v>
      </c>
    </row>
    <row r="973" spans="1:1" x14ac:dyDescent="0.25">
      <c r="A973" s="29" t="s">
        <v>1036</v>
      </c>
    </row>
    <row r="974" spans="1:1" x14ac:dyDescent="0.25">
      <c r="A974" s="29" t="s">
        <v>1037</v>
      </c>
    </row>
    <row r="975" spans="1:1" x14ac:dyDescent="0.25">
      <c r="A975" s="29" t="s">
        <v>1038</v>
      </c>
    </row>
    <row r="976" spans="1:1" x14ac:dyDescent="0.25">
      <c r="A976" s="29" t="s">
        <v>1039</v>
      </c>
    </row>
    <row r="977" spans="1:1" x14ac:dyDescent="0.25">
      <c r="A977" s="29" t="s">
        <v>1040</v>
      </c>
    </row>
    <row r="978" spans="1:1" x14ac:dyDescent="0.25">
      <c r="A978" s="29" t="s">
        <v>1041</v>
      </c>
    </row>
    <row r="979" spans="1:1" x14ac:dyDescent="0.25">
      <c r="A979" s="29" t="s">
        <v>1042</v>
      </c>
    </row>
    <row r="980" spans="1:1" x14ac:dyDescent="0.25">
      <c r="A980" s="29" t="s">
        <v>1043</v>
      </c>
    </row>
    <row r="981" spans="1:1" x14ac:dyDescent="0.25">
      <c r="A981" s="29" t="s">
        <v>1044</v>
      </c>
    </row>
    <row r="982" spans="1:1" x14ac:dyDescent="0.25">
      <c r="A982" s="29" t="s">
        <v>1045</v>
      </c>
    </row>
    <row r="983" spans="1:1" x14ac:dyDescent="0.25">
      <c r="A983" s="29" t="s">
        <v>1046</v>
      </c>
    </row>
    <row r="984" spans="1:1" x14ac:dyDescent="0.25">
      <c r="A984" s="29" t="s">
        <v>1047</v>
      </c>
    </row>
    <row r="985" spans="1:1" x14ac:dyDescent="0.25">
      <c r="A985" s="29" t="s">
        <v>1048</v>
      </c>
    </row>
    <row r="986" spans="1:1" x14ac:dyDescent="0.25">
      <c r="A986" s="29" t="s">
        <v>1049</v>
      </c>
    </row>
    <row r="987" spans="1:1" x14ac:dyDescent="0.25">
      <c r="A987" s="29" t="s">
        <v>1050</v>
      </c>
    </row>
    <row r="988" spans="1:1" x14ac:dyDescent="0.25">
      <c r="A988" s="29" t="s">
        <v>1051</v>
      </c>
    </row>
    <row r="989" spans="1:1" x14ac:dyDescent="0.25">
      <c r="A989" s="29" t="s">
        <v>1052</v>
      </c>
    </row>
    <row r="990" spans="1:1" x14ac:dyDescent="0.25">
      <c r="A990" s="29" t="s">
        <v>1053</v>
      </c>
    </row>
    <row r="991" spans="1:1" x14ac:dyDescent="0.25">
      <c r="A991" s="29" t="s">
        <v>1054</v>
      </c>
    </row>
    <row r="992" spans="1:1" x14ac:dyDescent="0.25">
      <c r="A992" s="29" t="s">
        <v>1055</v>
      </c>
    </row>
    <row r="993" spans="1:1" x14ac:dyDescent="0.25">
      <c r="A993" s="29" t="s">
        <v>1056</v>
      </c>
    </row>
    <row r="994" spans="1:1" x14ac:dyDescent="0.25">
      <c r="A994" s="29" t="s">
        <v>1057</v>
      </c>
    </row>
    <row r="995" spans="1:1" x14ac:dyDescent="0.25">
      <c r="A995" s="29" t="s">
        <v>1058</v>
      </c>
    </row>
    <row r="996" spans="1:1" x14ac:dyDescent="0.25">
      <c r="A996" s="29" t="s">
        <v>1059</v>
      </c>
    </row>
    <row r="997" spans="1:1" x14ac:dyDescent="0.25">
      <c r="A997" s="29" t="s">
        <v>1060</v>
      </c>
    </row>
    <row r="998" spans="1:1" x14ac:dyDescent="0.25">
      <c r="A998" s="29" t="s">
        <v>1061</v>
      </c>
    </row>
    <row r="999" spans="1:1" x14ac:dyDescent="0.25">
      <c r="A999" s="29" t="s">
        <v>1062</v>
      </c>
    </row>
    <row r="1000" spans="1:1" x14ac:dyDescent="0.25">
      <c r="A1000" s="29" t="s">
        <v>1063</v>
      </c>
    </row>
    <row r="1001" spans="1:1" x14ac:dyDescent="0.25">
      <c r="A1001" s="29" t="s">
        <v>1064</v>
      </c>
    </row>
    <row r="1002" spans="1:1" x14ac:dyDescent="0.25">
      <c r="A1002" s="29" t="s">
        <v>1065</v>
      </c>
    </row>
    <row r="1003" spans="1:1" x14ac:dyDescent="0.25">
      <c r="A1003" s="29" t="s">
        <v>1066</v>
      </c>
    </row>
    <row r="1004" spans="1:1" x14ac:dyDescent="0.25">
      <c r="A1004" s="29" t="s">
        <v>1067</v>
      </c>
    </row>
    <row r="1005" spans="1:1" x14ac:dyDescent="0.25">
      <c r="A1005" s="29" t="s">
        <v>1068</v>
      </c>
    </row>
    <row r="1006" spans="1:1" x14ac:dyDescent="0.25">
      <c r="A1006" s="29" t="s">
        <v>1069</v>
      </c>
    </row>
    <row r="1007" spans="1:1" x14ac:dyDescent="0.25">
      <c r="A1007" s="29" t="s">
        <v>1070</v>
      </c>
    </row>
    <row r="1008" spans="1:1" x14ac:dyDescent="0.25">
      <c r="A1008" s="29" t="s">
        <v>1071</v>
      </c>
    </row>
    <row r="1009" spans="1:1" x14ac:dyDescent="0.25">
      <c r="A1009" s="29" t="s">
        <v>1072</v>
      </c>
    </row>
    <row r="1010" spans="1:1" x14ac:dyDescent="0.25">
      <c r="A1010" s="29" t="s">
        <v>1073</v>
      </c>
    </row>
    <row r="1011" spans="1:1" x14ac:dyDescent="0.25">
      <c r="A1011" s="29" t="s">
        <v>1074</v>
      </c>
    </row>
    <row r="1012" spans="1:1" x14ac:dyDescent="0.25">
      <c r="A1012" s="29" t="s">
        <v>1075</v>
      </c>
    </row>
    <row r="1013" spans="1:1" x14ac:dyDescent="0.25">
      <c r="A1013" s="29" t="s">
        <v>1076</v>
      </c>
    </row>
    <row r="1014" spans="1:1" x14ac:dyDescent="0.25">
      <c r="A1014" s="29" t="s">
        <v>1077</v>
      </c>
    </row>
    <row r="1015" spans="1:1" x14ac:dyDescent="0.25">
      <c r="A1015" s="29" t="s">
        <v>1078</v>
      </c>
    </row>
    <row r="1016" spans="1:1" x14ac:dyDescent="0.25">
      <c r="A1016" s="29" t="s">
        <v>1079</v>
      </c>
    </row>
    <row r="1017" spans="1:1" x14ac:dyDescent="0.25">
      <c r="A1017" s="29" t="s">
        <v>1080</v>
      </c>
    </row>
    <row r="1018" spans="1:1" x14ac:dyDescent="0.25">
      <c r="A1018" s="29" t="s">
        <v>1081</v>
      </c>
    </row>
    <row r="1019" spans="1:1" x14ac:dyDescent="0.25">
      <c r="A1019" s="29" t="s">
        <v>1082</v>
      </c>
    </row>
    <row r="1020" spans="1:1" x14ac:dyDescent="0.25">
      <c r="A1020" s="29" t="s">
        <v>1083</v>
      </c>
    </row>
    <row r="1021" spans="1:1" x14ac:dyDescent="0.25">
      <c r="A1021" s="29" t="s">
        <v>1084</v>
      </c>
    </row>
    <row r="1022" spans="1:1" x14ac:dyDescent="0.25">
      <c r="A1022" s="29" t="s">
        <v>1085</v>
      </c>
    </row>
    <row r="1023" spans="1:1" x14ac:dyDescent="0.25">
      <c r="A1023" s="29" t="s">
        <v>1086</v>
      </c>
    </row>
    <row r="1024" spans="1:1" x14ac:dyDescent="0.25">
      <c r="A1024" s="29" t="s">
        <v>1087</v>
      </c>
    </row>
    <row r="1025" spans="1:1" x14ac:dyDescent="0.25">
      <c r="A1025" s="29" t="s">
        <v>1088</v>
      </c>
    </row>
    <row r="1026" spans="1:1" x14ac:dyDescent="0.25">
      <c r="A1026" s="29" t="s">
        <v>1089</v>
      </c>
    </row>
    <row r="1027" spans="1:1" x14ac:dyDescent="0.25">
      <c r="A1027" s="29" t="s">
        <v>1090</v>
      </c>
    </row>
    <row r="1028" spans="1:1" x14ac:dyDescent="0.25">
      <c r="A1028" s="29" t="s">
        <v>1091</v>
      </c>
    </row>
    <row r="1029" spans="1:1" x14ac:dyDescent="0.25">
      <c r="A1029" s="29" t="s">
        <v>1092</v>
      </c>
    </row>
    <row r="1030" spans="1:1" x14ac:dyDescent="0.25">
      <c r="A1030" s="29" t="s">
        <v>1093</v>
      </c>
    </row>
    <row r="1031" spans="1:1" x14ac:dyDescent="0.25">
      <c r="A1031" s="29" t="s">
        <v>1094</v>
      </c>
    </row>
    <row r="1032" spans="1:1" x14ac:dyDescent="0.25">
      <c r="A1032" s="29" t="s">
        <v>1095</v>
      </c>
    </row>
    <row r="1033" spans="1:1" x14ac:dyDescent="0.25">
      <c r="A1033" s="29" t="s">
        <v>1096</v>
      </c>
    </row>
    <row r="1034" spans="1:1" x14ac:dyDescent="0.25">
      <c r="A1034" s="29" t="s">
        <v>1097</v>
      </c>
    </row>
    <row r="1035" spans="1:1" x14ac:dyDescent="0.25">
      <c r="A1035" s="29" t="s">
        <v>1098</v>
      </c>
    </row>
    <row r="1036" spans="1:1" x14ac:dyDescent="0.25">
      <c r="A1036" s="29" t="s">
        <v>1099</v>
      </c>
    </row>
    <row r="1037" spans="1:1" x14ac:dyDescent="0.25">
      <c r="A1037" s="29" t="s">
        <v>1100</v>
      </c>
    </row>
    <row r="1038" spans="1:1" x14ac:dyDescent="0.25">
      <c r="A1038" s="29" t="s">
        <v>1101</v>
      </c>
    </row>
    <row r="1039" spans="1:1" x14ac:dyDescent="0.25">
      <c r="A1039" s="29" t="s">
        <v>1102</v>
      </c>
    </row>
    <row r="1040" spans="1:1" x14ac:dyDescent="0.25">
      <c r="A1040" s="29" t="s">
        <v>1103</v>
      </c>
    </row>
    <row r="1041" spans="1:1" x14ac:dyDescent="0.25">
      <c r="A1041" s="29" t="s">
        <v>1104</v>
      </c>
    </row>
    <row r="1042" spans="1:1" x14ac:dyDescent="0.25">
      <c r="A1042" s="29" t="s">
        <v>1105</v>
      </c>
    </row>
    <row r="1043" spans="1:1" x14ac:dyDescent="0.25">
      <c r="A1043" s="29" t="s">
        <v>1106</v>
      </c>
    </row>
    <row r="1044" spans="1:1" x14ac:dyDescent="0.25">
      <c r="A1044" s="29" t="s">
        <v>1107</v>
      </c>
    </row>
    <row r="1045" spans="1:1" x14ac:dyDescent="0.25">
      <c r="A1045" s="29" t="s">
        <v>1108</v>
      </c>
    </row>
    <row r="1046" spans="1:1" x14ac:dyDescent="0.25">
      <c r="A1046" s="29" t="s">
        <v>1109</v>
      </c>
    </row>
    <row r="1047" spans="1:1" x14ac:dyDescent="0.25">
      <c r="A1047" s="29" t="s">
        <v>1110</v>
      </c>
    </row>
    <row r="1048" spans="1:1" x14ac:dyDescent="0.25">
      <c r="A1048" s="29" t="s">
        <v>1111</v>
      </c>
    </row>
    <row r="1049" spans="1:1" x14ac:dyDescent="0.25">
      <c r="A1049" s="29" t="s">
        <v>1112</v>
      </c>
    </row>
    <row r="1050" spans="1:1" x14ac:dyDescent="0.25">
      <c r="A1050" s="29" t="s">
        <v>1113</v>
      </c>
    </row>
    <row r="1051" spans="1:1" x14ac:dyDescent="0.25">
      <c r="A1051" s="29" t="s">
        <v>1114</v>
      </c>
    </row>
    <row r="1052" spans="1:1" x14ac:dyDescent="0.25">
      <c r="A1052" s="29" t="s">
        <v>1115</v>
      </c>
    </row>
    <row r="1053" spans="1:1" x14ac:dyDescent="0.25">
      <c r="A1053" s="29" t="s">
        <v>1116</v>
      </c>
    </row>
    <row r="1054" spans="1:1" x14ac:dyDescent="0.25">
      <c r="A1054" s="29" t="s">
        <v>1117</v>
      </c>
    </row>
    <row r="1055" spans="1:1" x14ac:dyDescent="0.25">
      <c r="A1055" s="29" t="s">
        <v>1118</v>
      </c>
    </row>
    <row r="1056" spans="1:1" x14ac:dyDescent="0.25">
      <c r="A1056" s="29" t="s">
        <v>1119</v>
      </c>
    </row>
    <row r="1057" spans="1:1" x14ac:dyDescent="0.25">
      <c r="A1057" s="29" t="s">
        <v>1120</v>
      </c>
    </row>
    <row r="1058" spans="1:1" x14ac:dyDescent="0.25">
      <c r="A1058" s="29" t="s">
        <v>1121</v>
      </c>
    </row>
    <row r="1059" spans="1:1" x14ac:dyDescent="0.25">
      <c r="A1059" s="29" t="s">
        <v>1122</v>
      </c>
    </row>
    <row r="1060" spans="1:1" x14ac:dyDescent="0.25">
      <c r="A1060" s="29" t="s">
        <v>1123</v>
      </c>
    </row>
    <row r="1061" spans="1:1" x14ac:dyDescent="0.25">
      <c r="A1061" s="29" t="s">
        <v>1124</v>
      </c>
    </row>
    <row r="1062" spans="1:1" x14ac:dyDescent="0.25">
      <c r="A1062" s="29" t="s">
        <v>1125</v>
      </c>
    </row>
    <row r="1063" spans="1:1" x14ac:dyDescent="0.25">
      <c r="A1063" s="29" t="s">
        <v>1126</v>
      </c>
    </row>
    <row r="1064" spans="1:1" x14ac:dyDescent="0.25">
      <c r="A1064" s="29" t="s">
        <v>1127</v>
      </c>
    </row>
    <row r="1065" spans="1:1" x14ac:dyDescent="0.25">
      <c r="A1065" s="29" t="s">
        <v>1128</v>
      </c>
    </row>
    <row r="1066" spans="1:1" x14ac:dyDescent="0.25">
      <c r="A1066" s="29" t="s">
        <v>1129</v>
      </c>
    </row>
    <row r="1067" spans="1:1" x14ac:dyDescent="0.25">
      <c r="A1067" s="29" t="s">
        <v>1130</v>
      </c>
    </row>
    <row r="1068" spans="1:1" x14ac:dyDescent="0.25">
      <c r="A1068" s="29" t="s">
        <v>1131</v>
      </c>
    </row>
    <row r="1069" spans="1:1" x14ac:dyDescent="0.25">
      <c r="A1069" s="29" t="s">
        <v>1132</v>
      </c>
    </row>
    <row r="1070" spans="1:1" x14ac:dyDescent="0.25">
      <c r="A1070" s="29" t="s">
        <v>1133</v>
      </c>
    </row>
    <row r="1071" spans="1:1" x14ac:dyDescent="0.25">
      <c r="A1071" s="29" t="s">
        <v>1134</v>
      </c>
    </row>
    <row r="1072" spans="1:1" x14ac:dyDescent="0.25">
      <c r="A1072" s="29" t="s">
        <v>1135</v>
      </c>
    </row>
    <row r="1073" spans="1:1" x14ac:dyDescent="0.25">
      <c r="A1073" s="29" t="s">
        <v>1136</v>
      </c>
    </row>
    <row r="1074" spans="1:1" x14ac:dyDescent="0.25">
      <c r="A1074" s="29" t="s">
        <v>1137</v>
      </c>
    </row>
    <row r="1075" spans="1:1" x14ac:dyDescent="0.25">
      <c r="A1075" s="29" t="s">
        <v>1138</v>
      </c>
    </row>
    <row r="1076" spans="1:1" x14ac:dyDescent="0.25">
      <c r="A1076" s="29" t="s">
        <v>1139</v>
      </c>
    </row>
    <row r="1077" spans="1:1" x14ac:dyDescent="0.25">
      <c r="A1077" s="29" t="s">
        <v>1140</v>
      </c>
    </row>
    <row r="1078" spans="1:1" x14ac:dyDescent="0.25">
      <c r="A1078" s="29" t="s">
        <v>1141</v>
      </c>
    </row>
    <row r="1079" spans="1:1" x14ac:dyDescent="0.25">
      <c r="A1079" s="29" t="s">
        <v>1142</v>
      </c>
    </row>
    <row r="1080" spans="1:1" x14ac:dyDescent="0.25">
      <c r="A1080" s="29" t="s">
        <v>1143</v>
      </c>
    </row>
    <row r="1081" spans="1:1" x14ac:dyDescent="0.25">
      <c r="A1081" s="29" t="s">
        <v>1144</v>
      </c>
    </row>
    <row r="1082" spans="1:1" x14ac:dyDescent="0.25">
      <c r="A1082" s="29" t="s">
        <v>1145</v>
      </c>
    </row>
    <row r="1083" spans="1:1" x14ac:dyDescent="0.25">
      <c r="A1083" s="29" t="s">
        <v>1146</v>
      </c>
    </row>
    <row r="1084" spans="1:1" x14ac:dyDescent="0.25">
      <c r="A1084" s="29" t="s">
        <v>1147</v>
      </c>
    </row>
    <row r="1085" spans="1:1" x14ac:dyDescent="0.25">
      <c r="A1085" s="29" t="s">
        <v>1148</v>
      </c>
    </row>
    <row r="1086" spans="1:1" x14ac:dyDescent="0.25">
      <c r="A1086" s="29" t="s">
        <v>1149</v>
      </c>
    </row>
    <row r="1087" spans="1:1" x14ac:dyDescent="0.25">
      <c r="A1087" s="29" t="s">
        <v>1150</v>
      </c>
    </row>
    <row r="1088" spans="1:1" x14ac:dyDescent="0.25">
      <c r="A1088" s="29" t="s">
        <v>1151</v>
      </c>
    </row>
    <row r="1089" spans="1:1" x14ac:dyDescent="0.25">
      <c r="A1089" s="29" t="s">
        <v>1152</v>
      </c>
    </row>
    <row r="1090" spans="1:1" x14ac:dyDescent="0.25">
      <c r="A1090" s="29" t="s">
        <v>1153</v>
      </c>
    </row>
    <row r="1091" spans="1:1" x14ac:dyDescent="0.25">
      <c r="A1091" s="29" t="s">
        <v>1154</v>
      </c>
    </row>
    <row r="1092" spans="1:1" x14ac:dyDescent="0.25">
      <c r="A1092" s="29" t="s">
        <v>1155</v>
      </c>
    </row>
    <row r="1093" spans="1:1" x14ac:dyDescent="0.25">
      <c r="A1093" s="29" t="s">
        <v>1156</v>
      </c>
    </row>
    <row r="1094" spans="1:1" x14ac:dyDescent="0.25">
      <c r="A1094" s="29" t="s">
        <v>1157</v>
      </c>
    </row>
    <row r="1095" spans="1:1" x14ac:dyDescent="0.25">
      <c r="A1095" s="29" t="s">
        <v>1158</v>
      </c>
    </row>
    <row r="1096" spans="1:1" x14ac:dyDescent="0.25">
      <c r="A1096" s="29" t="s">
        <v>1159</v>
      </c>
    </row>
    <row r="1097" spans="1:1" x14ac:dyDescent="0.25">
      <c r="A1097" s="29" t="s">
        <v>1160</v>
      </c>
    </row>
    <row r="1098" spans="1:1" x14ac:dyDescent="0.25">
      <c r="A1098" s="29" t="s">
        <v>1161</v>
      </c>
    </row>
    <row r="1099" spans="1:1" x14ac:dyDescent="0.25">
      <c r="A1099" s="29" t="s">
        <v>1162</v>
      </c>
    </row>
    <row r="1100" spans="1:1" x14ac:dyDescent="0.25">
      <c r="A1100" s="29" t="s">
        <v>1163</v>
      </c>
    </row>
    <row r="1101" spans="1:1" x14ac:dyDescent="0.25">
      <c r="A1101" s="29" t="s">
        <v>1164</v>
      </c>
    </row>
    <row r="1102" spans="1:1" ht="30" x14ac:dyDescent="0.25">
      <c r="A1102" s="29" t="s">
        <v>1165</v>
      </c>
    </row>
    <row r="1103" spans="1:1" x14ac:dyDescent="0.25">
      <c r="A1103" s="29" t="s">
        <v>1166</v>
      </c>
    </row>
    <row r="1104" spans="1:1" x14ac:dyDescent="0.25">
      <c r="A1104" s="29" t="s">
        <v>1167</v>
      </c>
    </row>
    <row r="1105" spans="1:1" x14ac:dyDescent="0.25">
      <c r="A1105" s="29" t="s">
        <v>1168</v>
      </c>
    </row>
    <row r="1106" spans="1:1" x14ac:dyDescent="0.25">
      <c r="A1106" s="29" t="s">
        <v>1169</v>
      </c>
    </row>
    <row r="1107" spans="1:1" x14ac:dyDescent="0.25">
      <c r="A1107" s="29" t="s">
        <v>1170</v>
      </c>
    </row>
    <row r="1108" spans="1:1" x14ac:dyDescent="0.25">
      <c r="A1108" s="29" t="s">
        <v>1171</v>
      </c>
    </row>
    <row r="1109" spans="1:1" x14ac:dyDescent="0.25">
      <c r="A1109" s="29" t="s">
        <v>1172</v>
      </c>
    </row>
    <row r="1110" spans="1:1" x14ac:dyDescent="0.25">
      <c r="A1110" s="29" t="s">
        <v>1173</v>
      </c>
    </row>
    <row r="1111" spans="1:1" x14ac:dyDescent="0.25">
      <c r="A1111" s="29" t="s">
        <v>1174</v>
      </c>
    </row>
    <row r="1112" spans="1:1" x14ac:dyDescent="0.25">
      <c r="A1112" s="29" t="s">
        <v>1175</v>
      </c>
    </row>
    <row r="1113" spans="1:1" x14ac:dyDescent="0.25">
      <c r="A1113" s="29" t="s">
        <v>1176</v>
      </c>
    </row>
    <row r="1114" spans="1:1" x14ac:dyDescent="0.25">
      <c r="A1114" s="29" t="s">
        <v>1177</v>
      </c>
    </row>
    <row r="1115" spans="1:1" x14ac:dyDescent="0.25">
      <c r="A1115" s="29" t="s">
        <v>1178</v>
      </c>
    </row>
    <row r="1116" spans="1:1" x14ac:dyDescent="0.25">
      <c r="A1116" s="29" t="s">
        <v>1179</v>
      </c>
    </row>
    <row r="1117" spans="1:1" x14ac:dyDescent="0.25">
      <c r="A1117" s="29" t="s">
        <v>1180</v>
      </c>
    </row>
    <row r="1118" spans="1:1" x14ac:dyDescent="0.25">
      <c r="A1118" s="29" t="s">
        <v>1181</v>
      </c>
    </row>
    <row r="1119" spans="1:1" x14ac:dyDescent="0.25">
      <c r="A1119" s="29" t="s">
        <v>1182</v>
      </c>
    </row>
    <row r="1120" spans="1:1" x14ac:dyDescent="0.25">
      <c r="A1120" s="29" t="s">
        <v>1183</v>
      </c>
    </row>
    <row r="1121" spans="1:1" x14ac:dyDescent="0.25">
      <c r="A1121" s="29" t="s">
        <v>1184</v>
      </c>
    </row>
    <row r="1122" spans="1:1" x14ac:dyDescent="0.25">
      <c r="A1122" s="29" t="s">
        <v>1185</v>
      </c>
    </row>
    <row r="1123" spans="1:1" x14ac:dyDescent="0.25">
      <c r="A1123" s="29" t="s">
        <v>1186</v>
      </c>
    </row>
    <row r="1124" spans="1:1" x14ac:dyDescent="0.25">
      <c r="A1124" s="29" t="s">
        <v>1187</v>
      </c>
    </row>
    <row r="1125" spans="1:1" x14ac:dyDescent="0.25">
      <c r="A1125" s="29" t="s">
        <v>1188</v>
      </c>
    </row>
    <row r="1126" spans="1:1" x14ac:dyDescent="0.25">
      <c r="A1126" s="29" t="s">
        <v>1189</v>
      </c>
    </row>
    <row r="1127" spans="1:1" x14ac:dyDescent="0.25">
      <c r="A1127" s="29" t="s">
        <v>1190</v>
      </c>
    </row>
    <row r="1128" spans="1:1" x14ac:dyDescent="0.25">
      <c r="A1128" s="29" t="s">
        <v>1191</v>
      </c>
    </row>
    <row r="1129" spans="1:1" x14ac:dyDescent="0.25">
      <c r="A1129" s="29" t="s">
        <v>1192</v>
      </c>
    </row>
    <row r="1130" spans="1:1" x14ac:dyDescent="0.25">
      <c r="A1130" s="29" t="s">
        <v>1193</v>
      </c>
    </row>
    <row r="1131" spans="1:1" x14ac:dyDescent="0.25">
      <c r="A1131" s="29" t="s">
        <v>1194</v>
      </c>
    </row>
    <row r="1132" spans="1:1" x14ac:dyDescent="0.25">
      <c r="A1132" s="29" t="s">
        <v>1195</v>
      </c>
    </row>
    <row r="1133" spans="1:1" x14ac:dyDescent="0.25">
      <c r="A1133" s="29" t="s">
        <v>1196</v>
      </c>
    </row>
    <row r="1134" spans="1:1" x14ac:dyDescent="0.25">
      <c r="A1134" s="29" t="s">
        <v>1197</v>
      </c>
    </row>
    <row r="1135" spans="1:1" x14ac:dyDescent="0.25">
      <c r="A1135" s="29" t="s">
        <v>1198</v>
      </c>
    </row>
    <row r="1136" spans="1:1" x14ac:dyDescent="0.25">
      <c r="A1136" s="29" t="s">
        <v>1199</v>
      </c>
    </row>
    <row r="1137" spans="1:1" x14ac:dyDescent="0.25">
      <c r="A1137" s="29" t="s">
        <v>1200</v>
      </c>
    </row>
    <row r="1138" spans="1:1" x14ac:dyDescent="0.25">
      <c r="A1138" s="29" t="s">
        <v>1201</v>
      </c>
    </row>
    <row r="1139" spans="1:1" x14ac:dyDescent="0.25">
      <c r="A1139" s="29" t="s">
        <v>1202</v>
      </c>
    </row>
    <row r="1140" spans="1:1" x14ac:dyDescent="0.25">
      <c r="A1140" s="29" t="s">
        <v>1203</v>
      </c>
    </row>
    <row r="1141" spans="1:1" x14ac:dyDescent="0.25">
      <c r="A1141" s="29" t="s">
        <v>1204</v>
      </c>
    </row>
    <row r="1142" spans="1:1" x14ac:dyDescent="0.25">
      <c r="A1142" s="29" t="s">
        <v>1205</v>
      </c>
    </row>
    <row r="1143" spans="1:1" x14ac:dyDescent="0.25">
      <c r="A1143" s="29" t="s">
        <v>1206</v>
      </c>
    </row>
    <row r="1144" spans="1:1" x14ac:dyDescent="0.25">
      <c r="A1144" s="29" t="s">
        <v>1207</v>
      </c>
    </row>
    <row r="1145" spans="1:1" x14ac:dyDescent="0.25">
      <c r="A1145" s="29" t="s">
        <v>1208</v>
      </c>
    </row>
    <row r="1146" spans="1:1" x14ac:dyDescent="0.25">
      <c r="A1146" s="29" t="s">
        <v>1209</v>
      </c>
    </row>
    <row r="1147" spans="1:1" x14ac:dyDescent="0.25">
      <c r="A1147" s="29" t="s">
        <v>1210</v>
      </c>
    </row>
    <row r="1148" spans="1:1" x14ac:dyDescent="0.25">
      <c r="A1148" s="29" t="s">
        <v>1211</v>
      </c>
    </row>
    <row r="1149" spans="1:1" x14ac:dyDescent="0.25">
      <c r="A1149" s="29" t="s">
        <v>1212</v>
      </c>
    </row>
    <row r="1150" spans="1:1" x14ac:dyDescent="0.25">
      <c r="A1150" s="29" t="s">
        <v>1213</v>
      </c>
    </row>
    <row r="1151" spans="1:1" x14ac:dyDescent="0.25">
      <c r="A1151" s="29" t="s">
        <v>1214</v>
      </c>
    </row>
    <row r="1152" spans="1:1" x14ac:dyDescent="0.25">
      <c r="A1152" s="29" t="s">
        <v>1215</v>
      </c>
    </row>
    <row r="1153" spans="1:1" x14ac:dyDescent="0.25">
      <c r="A1153" s="29" t="s">
        <v>1216</v>
      </c>
    </row>
    <row r="1154" spans="1:1" x14ac:dyDescent="0.25">
      <c r="A1154" s="29" t="s">
        <v>1217</v>
      </c>
    </row>
    <row r="1155" spans="1:1" x14ac:dyDescent="0.25">
      <c r="A1155" s="29" t="s">
        <v>1218</v>
      </c>
    </row>
    <row r="1156" spans="1:1" x14ac:dyDescent="0.25">
      <c r="A1156" s="29" t="s">
        <v>1219</v>
      </c>
    </row>
    <row r="1157" spans="1:1" x14ac:dyDescent="0.25">
      <c r="A1157" s="29" t="s">
        <v>1220</v>
      </c>
    </row>
    <row r="1158" spans="1:1" x14ac:dyDescent="0.25">
      <c r="A1158" s="29" t="s">
        <v>1221</v>
      </c>
    </row>
    <row r="1159" spans="1:1" x14ac:dyDescent="0.25">
      <c r="A1159" s="29" t="s">
        <v>1222</v>
      </c>
    </row>
    <row r="1160" spans="1:1" x14ac:dyDescent="0.25">
      <c r="A1160" s="29" t="s">
        <v>1223</v>
      </c>
    </row>
    <row r="1161" spans="1:1" x14ac:dyDescent="0.25">
      <c r="A1161" s="29" t="s">
        <v>1224</v>
      </c>
    </row>
    <row r="1162" spans="1:1" x14ac:dyDescent="0.25">
      <c r="A1162" s="29" t="s">
        <v>1225</v>
      </c>
    </row>
    <row r="1163" spans="1:1" x14ac:dyDescent="0.25">
      <c r="A1163" s="29" t="s">
        <v>1226</v>
      </c>
    </row>
    <row r="1164" spans="1:1" x14ac:dyDescent="0.25">
      <c r="A1164" s="29" t="s">
        <v>1227</v>
      </c>
    </row>
    <row r="1165" spans="1:1" x14ac:dyDescent="0.25">
      <c r="A1165" s="29" t="s">
        <v>1228</v>
      </c>
    </row>
    <row r="1166" spans="1:1" x14ac:dyDescent="0.25">
      <c r="A1166" s="29" t="s">
        <v>1229</v>
      </c>
    </row>
    <row r="1167" spans="1:1" x14ac:dyDescent="0.25">
      <c r="A1167" s="29" t="s">
        <v>1230</v>
      </c>
    </row>
    <row r="1168" spans="1:1" x14ac:dyDescent="0.25">
      <c r="A1168" s="29" t="s">
        <v>1231</v>
      </c>
    </row>
    <row r="1169" spans="1:1" x14ac:dyDescent="0.25">
      <c r="A1169" s="29" t="s">
        <v>1232</v>
      </c>
    </row>
    <row r="1170" spans="1:1" x14ac:dyDescent="0.25">
      <c r="A1170" s="29" t="s">
        <v>1233</v>
      </c>
    </row>
    <row r="1171" spans="1:1" x14ac:dyDescent="0.25">
      <c r="A1171" s="29" t="s">
        <v>1234</v>
      </c>
    </row>
    <row r="1172" spans="1:1" x14ac:dyDescent="0.25">
      <c r="A1172" s="29" t="s">
        <v>1235</v>
      </c>
    </row>
    <row r="1173" spans="1:1" x14ac:dyDescent="0.25">
      <c r="A1173" s="29" t="s">
        <v>1236</v>
      </c>
    </row>
    <row r="1174" spans="1:1" x14ac:dyDescent="0.25">
      <c r="A1174" s="29" t="s">
        <v>1237</v>
      </c>
    </row>
    <row r="1175" spans="1:1" x14ac:dyDescent="0.25">
      <c r="A1175" s="29" t="s">
        <v>1238</v>
      </c>
    </row>
    <row r="1176" spans="1:1" x14ac:dyDescent="0.25">
      <c r="A1176" s="29" t="s">
        <v>1239</v>
      </c>
    </row>
    <row r="1177" spans="1:1" x14ac:dyDescent="0.25">
      <c r="A1177" s="29" t="s">
        <v>1240</v>
      </c>
    </row>
    <row r="1178" spans="1:1" x14ac:dyDescent="0.25">
      <c r="A1178" s="29" t="s">
        <v>1241</v>
      </c>
    </row>
    <row r="1179" spans="1:1" x14ac:dyDescent="0.25">
      <c r="A1179" s="29" t="s">
        <v>1242</v>
      </c>
    </row>
    <row r="1180" spans="1:1" x14ac:dyDescent="0.25">
      <c r="A1180" s="29" t="s">
        <v>1243</v>
      </c>
    </row>
    <row r="1181" spans="1:1" x14ac:dyDescent="0.25">
      <c r="A1181" s="29" t="s">
        <v>1244</v>
      </c>
    </row>
    <row r="1182" spans="1:1" x14ac:dyDescent="0.25">
      <c r="A1182" s="29" t="s">
        <v>1245</v>
      </c>
    </row>
    <row r="1183" spans="1:1" x14ac:dyDescent="0.25">
      <c r="A1183" s="29" t="s">
        <v>1246</v>
      </c>
    </row>
    <row r="1184" spans="1:1" x14ac:dyDescent="0.25">
      <c r="A1184" s="29" t="s">
        <v>1247</v>
      </c>
    </row>
    <row r="1185" spans="1:1" x14ac:dyDescent="0.25">
      <c r="A1185" s="29" t="s">
        <v>1248</v>
      </c>
    </row>
    <row r="1186" spans="1:1" x14ac:dyDescent="0.25">
      <c r="A1186" s="29" t="s">
        <v>1249</v>
      </c>
    </row>
    <row r="1187" spans="1:1" x14ac:dyDescent="0.25">
      <c r="A1187" s="29" t="s">
        <v>1250</v>
      </c>
    </row>
    <row r="1188" spans="1:1" x14ac:dyDescent="0.25">
      <c r="A1188" s="29" t="s">
        <v>1251</v>
      </c>
    </row>
    <row r="1189" spans="1:1" x14ac:dyDescent="0.25">
      <c r="A1189" s="29" t="s">
        <v>1252</v>
      </c>
    </row>
    <row r="1190" spans="1:1" x14ac:dyDescent="0.25">
      <c r="A1190" s="29" t="s">
        <v>1253</v>
      </c>
    </row>
    <row r="1191" spans="1:1" x14ac:dyDescent="0.25">
      <c r="A1191" s="29" t="s">
        <v>1254</v>
      </c>
    </row>
    <row r="1192" spans="1:1" x14ac:dyDescent="0.25">
      <c r="A1192" s="29" t="s">
        <v>1255</v>
      </c>
    </row>
    <row r="1193" spans="1:1" x14ac:dyDescent="0.25">
      <c r="A1193" s="29" t="s">
        <v>1256</v>
      </c>
    </row>
    <row r="1194" spans="1:1" x14ac:dyDescent="0.25">
      <c r="A1194" s="29" t="s">
        <v>1257</v>
      </c>
    </row>
    <row r="1195" spans="1:1" x14ac:dyDescent="0.25">
      <c r="A1195" s="29" t="s">
        <v>1258</v>
      </c>
    </row>
    <row r="1196" spans="1:1" x14ac:dyDescent="0.25">
      <c r="A1196" s="29" t="s">
        <v>1259</v>
      </c>
    </row>
    <row r="1197" spans="1:1" x14ac:dyDescent="0.25">
      <c r="A1197" s="29" t="s">
        <v>1260</v>
      </c>
    </row>
    <row r="1198" spans="1:1" x14ac:dyDescent="0.25">
      <c r="A1198" s="29" t="s">
        <v>1261</v>
      </c>
    </row>
    <row r="1199" spans="1:1" x14ac:dyDescent="0.25">
      <c r="A1199" s="29" t="s">
        <v>1262</v>
      </c>
    </row>
    <row r="1200" spans="1:1" x14ac:dyDescent="0.25">
      <c r="A1200" s="29" t="s">
        <v>1263</v>
      </c>
    </row>
    <row r="1201" spans="1:1" x14ac:dyDescent="0.25">
      <c r="A1201" s="29" t="s">
        <v>1264</v>
      </c>
    </row>
    <row r="1202" spans="1:1" x14ac:dyDescent="0.25">
      <c r="A1202" s="29" t="s">
        <v>1265</v>
      </c>
    </row>
    <row r="1203" spans="1:1" x14ac:dyDescent="0.25">
      <c r="A1203" s="29" t="s">
        <v>1266</v>
      </c>
    </row>
    <row r="1204" spans="1:1" x14ac:dyDescent="0.25">
      <c r="A1204" s="29" t="s">
        <v>1267</v>
      </c>
    </row>
    <row r="1205" spans="1:1" x14ac:dyDescent="0.25">
      <c r="A1205" s="29" t="s">
        <v>1268</v>
      </c>
    </row>
    <row r="1206" spans="1:1" x14ac:dyDescent="0.25">
      <c r="A1206" s="29" t="s">
        <v>1269</v>
      </c>
    </row>
    <row r="1207" spans="1:1" x14ac:dyDescent="0.25">
      <c r="A1207" s="29" t="s">
        <v>1270</v>
      </c>
    </row>
    <row r="1208" spans="1:1" x14ac:dyDescent="0.25">
      <c r="A1208" s="29" t="s">
        <v>1271</v>
      </c>
    </row>
    <row r="1209" spans="1:1" x14ac:dyDescent="0.25">
      <c r="A1209" s="29" t="s">
        <v>1272</v>
      </c>
    </row>
    <row r="1210" spans="1:1" x14ac:dyDescent="0.25">
      <c r="A1210" s="29" t="s">
        <v>1273</v>
      </c>
    </row>
    <row r="1211" spans="1:1" x14ac:dyDescent="0.25">
      <c r="A1211" s="29" t="s">
        <v>1274</v>
      </c>
    </row>
    <row r="1212" spans="1:1" x14ac:dyDescent="0.25">
      <c r="A1212" s="29" t="s">
        <v>1275</v>
      </c>
    </row>
    <row r="1213" spans="1:1" x14ac:dyDescent="0.25">
      <c r="A1213" s="29" t="s">
        <v>1276</v>
      </c>
    </row>
    <row r="1214" spans="1:1" x14ac:dyDescent="0.25">
      <c r="A1214" s="29" t="s">
        <v>1277</v>
      </c>
    </row>
    <row r="1215" spans="1:1" x14ac:dyDescent="0.25">
      <c r="A1215" s="29" t="s">
        <v>1278</v>
      </c>
    </row>
    <row r="1216" spans="1:1" x14ac:dyDescent="0.25">
      <c r="A1216" s="29" t="s">
        <v>1279</v>
      </c>
    </row>
    <row r="1217" spans="1:1" x14ac:dyDescent="0.25">
      <c r="A1217" s="29" t="s">
        <v>1280</v>
      </c>
    </row>
    <row r="1218" spans="1:1" x14ac:dyDescent="0.25">
      <c r="A1218" s="29" t="s">
        <v>1281</v>
      </c>
    </row>
    <row r="1219" spans="1:1" x14ac:dyDescent="0.25">
      <c r="A1219" s="29" t="s">
        <v>1282</v>
      </c>
    </row>
    <row r="1220" spans="1:1" x14ac:dyDescent="0.25">
      <c r="A1220" s="29" t="s">
        <v>1283</v>
      </c>
    </row>
    <row r="1221" spans="1:1" x14ac:dyDescent="0.25">
      <c r="A1221" s="29" t="s">
        <v>1284</v>
      </c>
    </row>
    <row r="1222" spans="1:1" x14ac:dyDescent="0.25">
      <c r="A1222" s="29" t="s">
        <v>1285</v>
      </c>
    </row>
    <row r="1223" spans="1:1" x14ac:dyDescent="0.25">
      <c r="A1223" s="29" t="s">
        <v>1286</v>
      </c>
    </row>
    <row r="1224" spans="1:1" x14ac:dyDescent="0.25">
      <c r="A1224" s="29" t="s">
        <v>1287</v>
      </c>
    </row>
    <row r="1225" spans="1:1" x14ac:dyDescent="0.25">
      <c r="A1225" s="29" t="s">
        <v>1288</v>
      </c>
    </row>
    <row r="1226" spans="1:1" x14ac:dyDescent="0.25">
      <c r="A1226" s="29" t="s">
        <v>1289</v>
      </c>
    </row>
    <row r="1227" spans="1:1" x14ac:dyDescent="0.25">
      <c r="A1227" s="29" t="s">
        <v>1290</v>
      </c>
    </row>
    <row r="1228" spans="1:1" x14ac:dyDescent="0.25">
      <c r="A1228" s="29" t="s">
        <v>1291</v>
      </c>
    </row>
    <row r="1229" spans="1:1" x14ac:dyDescent="0.25">
      <c r="A1229" s="29" t="s">
        <v>1292</v>
      </c>
    </row>
    <row r="1230" spans="1:1" x14ac:dyDescent="0.25">
      <c r="A1230" s="29" t="s">
        <v>1293</v>
      </c>
    </row>
    <row r="1231" spans="1:1" x14ac:dyDescent="0.25">
      <c r="A1231" s="29" t="s">
        <v>1294</v>
      </c>
    </row>
    <row r="1232" spans="1:1" x14ac:dyDescent="0.25">
      <c r="A1232" s="29" t="s">
        <v>1295</v>
      </c>
    </row>
    <row r="1233" spans="1:1" x14ac:dyDescent="0.25">
      <c r="A1233" s="29" t="s">
        <v>1296</v>
      </c>
    </row>
    <row r="1234" spans="1:1" x14ac:dyDescent="0.25">
      <c r="A1234" s="29" t="s">
        <v>1297</v>
      </c>
    </row>
    <row r="1235" spans="1:1" x14ac:dyDescent="0.25">
      <c r="A1235" s="29" t="s">
        <v>1298</v>
      </c>
    </row>
    <row r="1236" spans="1:1" x14ac:dyDescent="0.25">
      <c r="A1236" s="29" t="s">
        <v>1299</v>
      </c>
    </row>
    <row r="1237" spans="1:1" x14ac:dyDescent="0.25">
      <c r="A1237" s="29" t="s">
        <v>1300</v>
      </c>
    </row>
    <row r="1238" spans="1:1" x14ac:dyDescent="0.25">
      <c r="A1238" s="29" t="s">
        <v>1301</v>
      </c>
    </row>
    <row r="1239" spans="1:1" x14ac:dyDescent="0.25">
      <c r="A1239" s="29" t="s">
        <v>1302</v>
      </c>
    </row>
    <row r="1240" spans="1:1" x14ac:dyDescent="0.25">
      <c r="A1240" s="29" t="s">
        <v>1303</v>
      </c>
    </row>
    <row r="1241" spans="1:1" x14ac:dyDescent="0.25">
      <c r="A1241" s="29" t="s">
        <v>1304</v>
      </c>
    </row>
    <row r="1242" spans="1:1" x14ac:dyDescent="0.25">
      <c r="A1242" s="29" t="s">
        <v>1305</v>
      </c>
    </row>
    <row r="1243" spans="1:1" x14ac:dyDescent="0.25">
      <c r="A1243" s="29" t="s">
        <v>1306</v>
      </c>
    </row>
    <row r="1244" spans="1:1" x14ac:dyDescent="0.25">
      <c r="A1244" s="29" t="s">
        <v>1307</v>
      </c>
    </row>
    <row r="1245" spans="1:1" x14ac:dyDescent="0.25">
      <c r="A1245" s="29" t="s">
        <v>1308</v>
      </c>
    </row>
    <row r="1246" spans="1:1" x14ac:dyDescent="0.25">
      <c r="A1246" s="29" t="s">
        <v>1309</v>
      </c>
    </row>
    <row r="1247" spans="1:1" x14ac:dyDescent="0.25">
      <c r="A1247" s="29" t="s">
        <v>1310</v>
      </c>
    </row>
    <row r="1248" spans="1:1" x14ac:dyDescent="0.25">
      <c r="A1248" s="29" t="s">
        <v>1311</v>
      </c>
    </row>
    <row r="1249" spans="1:1" x14ac:dyDescent="0.25">
      <c r="A1249" s="29" t="s">
        <v>1312</v>
      </c>
    </row>
    <row r="1250" spans="1:1" x14ac:dyDescent="0.25">
      <c r="A1250" s="29" t="s">
        <v>1313</v>
      </c>
    </row>
    <row r="1251" spans="1:1" x14ac:dyDescent="0.25">
      <c r="A1251" s="29" t="s">
        <v>1314</v>
      </c>
    </row>
    <row r="1252" spans="1:1" x14ac:dyDescent="0.25">
      <c r="A1252" s="29" t="s">
        <v>1315</v>
      </c>
    </row>
    <row r="1253" spans="1:1" x14ac:dyDescent="0.25">
      <c r="A1253" s="29" t="s">
        <v>1316</v>
      </c>
    </row>
    <row r="1254" spans="1:1" x14ac:dyDescent="0.25">
      <c r="A1254" s="29" t="s">
        <v>1317</v>
      </c>
    </row>
    <row r="1255" spans="1:1" x14ac:dyDescent="0.25">
      <c r="A1255" s="29" t="s">
        <v>1318</v>
      </c>
    </row>
    <row r="1256" spans="1:1" x14ac:dyDescent="0.25">
      <c r="A1256" s="29" t="s">
        <v>1319</v>
      </c>
    </row>
    <row r="1257" spans="1:1" x14ac:dyDescent="0.25">
      <c r="A1257" s="29" t="s">
        <v>1320</v>
      </c>
    </row>
    <row r="1258" spans="1:1" x14ac:dyDescent="0.25">
      <c r="A1258" s="29" t="s">
        <v>1321</v>
      </c>
    </row>
    <row r="1259" spans="1:1" x14ac:dyDescent="0.25">
      <c r="A1259" s="29" t="s">
        <v>1322</v>
      </c>
    </row>
    <row r="1260" spans="1:1" x14ac:dyDescent="0.25">
      <c r="A1260" s="29" t="s">
        <v>1323</v>
      </c>
    </row>
    <row r="1261" spans="1:1" x14ac:dyDescent="0.25">
      <c r="A1261" s="29" t="s">
        <v>1324</v>
      </c>
    </row>
    <row r="1262" spans="1:1" x14ac:dyDescent="0.25">
      <c r="A1262" s="29" t="s">
        <v>1325</v>
      </c>
    </row>
    <row r="1263" spans="1:1" x14ac:dyDescent="0.25">
      <c r="A1263" s="29" t="s">
        <v>1326</v>
      </c>
    </row>
    <row r="1264" spans="1:1" x14ac:dyDescent="0.25">
      <c r="A1264" s="29" t="s">
        <v>1327</v>
      </c>
    </row>
    <row r="1265" spans="1:1" x14ac:dyDescent="0.25">
      <c r="A1265" s="29" t="s">
        <v>1328</v>
      </c>
    </row>
    <row r="1266" spans="1:1" x14ac:dyDescent="0.25">
      <c r="A1266" s="29" t="s">
        <v>1329</v>
      </c>
    </row>
    <row r="1267" spans="1:1" x14ac:dyDescent="0.25">
      <c r="A1267" s="29" t="s">
        <v>1330</v>
      </c>
    </row>
    <row r="1268" spans="1:1" x14ac:dyDescent="0.25">
      <c r="A1268" s="29" t="s">
        <v>1331</v>
      </c>
    </row>
    <row r="1269" spans="1:1" x14ac:dyDescent="0.25">
      <c r="A1269" s="29" t="s">
        <v>1332</v>
      </c>
    </row>
    <row r="1270" spans="1:1" ht="30" x14ac:dyDescent="0.25">
      <c r="A1270" s="29" t="s">
        <v>1333</v>
      </c>
    </row>
    <row r="1271" spans="1:1" x14ac:dyDescent="0.25">
      <c r="A1271" s="29" t="s">
        <v>1334</v>
      </c>
    </row>
    <row r="1272" spans="1:1" x14ac:dyDescent="0.25">
      <c r="A1272" s="29" t="s">
        <v>1335</v>
      </c>
    </row>
    <row r="1273" spans="1:1" x14ac:dyDescent="0.25">
      <c r="A1273" s="29" t="s">
        <v>1336</v>
      </c>
    </row>
    <row r="1274" spans="1:1" x14ac:dyDescent="0.25">
      <c r="A1274" s="29" t="s">
        <v>1337</v>
      </c>
    </row>
    <row r="1275" spans="1:1" ht="30" x14ac:dyDescent="0.25">
      <c r="A1275" s="29" t="s">
        <v>1338</v>
      </c>
    </row>
    <row r="1276" spans="1:1" ht="30" x14ac:dyDescent="0.25">
      <c r="A1276" s="29" t="s">
        <v>1339</v>
      </c>
    </row>
    <row r="1277" spans="1:1" x14ac:dyDescent="0.25">
      <c r="A1277" s="29" t="s">
        <v>1340</v>
      </c>
    </row>
    <row r="1278" spans="1:1" x14ac:dyDescent="0.25">
      <c r="A1278" s="29" t="s">
        <v>1341</v>
      </c>
    </row>
    <row r="1279" spans="1:1" x14ac:dyDescent="0.25">
      <c r="A1279" s="29" t="s">
        <v>1342</v>
      </c>
    </row>
    <row r="1280" spans="1:1" x14ac:dyDescent="0.25">
      <c r="A1280" s="29" t="s">
        <v>1343</v>
      </c>
    </row>
    <row r="1281" spans="1:1" x14ac:dyDescent="0.25">
      <c r="A1281" s="29" t="s">
        <v>1344</v>
      </c>
    </row>
    <row r="1282" spans="1:1" x14ac:dyDescent="0.25">
      <c r="A1282" s="29" t="s">
        <v>1345</v>
      </c>
    </row>
    <row r="1283" spans="1:1" x14ac:dyDescent="0.25">
      <c r="A1283" s="29" t="s">
        <v>1346</v>
      </c>
    </row>
    <row r="1284" spans="1:1" x14ac:dyDescent="0.25">
      <c r="A1284" s="29" t="s">
        <v>1347</v>
      </c>
    </row>
    <row r="1285" spans="1:1" x14ac:dyDescent="0.25">
      <c r="A1285" s="29" t="s">
        <v>1348</v>
      </c>
    </row>
    <row r="1286" spans="1:1" x14ac:dyDescent="0.25">
      <c r="A1286" s="29" t="s">
        <v>1349</v>
      </c>
    </row>
    <row r="1287" spans="1:1" x14ac:dyDescent="0.25">
      <c r="A1287" s="29" t="s">
        <v>1350</v>
      </c>
    </row>
    <row r="1288" spans="1:1" x14ac:dyDescent="0.25">
      <c r="A1288" s="29" t="s">
        <v>1351</v>
      </c>
    </row>
    <row r="1289" spans="1:1" x14ac:dyDescent="0.25">
      <c r="A1289" s="29" t="s">
        <v>1352</v>
      </c>
    </row>
    <row r="1290" spans="1:1" x14ac:dyDescent="0.25">
      <c r="A1290" s="29" t="s">
        <v>1353</v>
      </c>
    </row>
    <row r="1291" spans="1:1" x14ac:dyDescent="0.25">
      <c r="A1291" s="29" t="s">
        <v>1354</v>
      </c>
    </row>
    <row r="1292" spans="1:1" x14ac:dyDescent="0.25">
      <c r="A1292" s="29" t="s">
        <v>1355</v>
      </c>
    </row>
    <row r="1293" spans="1:1" x14ac:dyDescent="0.25">
      <c r="A1293" s="29" t="s">
        <v>1356</v>
      </c>
    </row>
    <row r="1294" spans="1:1" x14ac:dyDescent="0.25">
      <c r="A1294" s="29" t="s">
        <v>1357</v>
      </c>
    </row>
    <row r="1295" spans="1:1" x14ac:dyDescent="0.25">
      <c r="A1295" s="29" t="s">
        <v>1358</v>
      </c>
    </row>
    <row r="1296" spans="1:1" x14ac:dyDescent="0.25">
      <c r="A1296" s="29" t="s">
        <v>1359</v>
      </c>
    </row>
    <row r="1297" spans="1:1" x14ac:dyDescent="0.25">
      <c r="A1297" s="29" t="s">
        <v>1360</v>
      </c>
    </row>
    <row r="1298" spans="1:1" x14ac:dyDescent="0.25">
      <c r="A1298" s="29" t="s">
        <v>1361</v>
      </c>
    </row>
    <row r="1299" spans="1:1" x14ac:dyDescent="0.25">
      <c r="A1299" s="29" t="s">
        <v>1362</v>
      </c>
    </row>
    <row r="1300" spans="1:1" x14ac:dyDescent="0.25">
      <c r="A1300" s="29" t="s">
        <v>1363</v>
      </c>
    </row>
    <row r="1301" spans="1:1" x14ac:dyDescent="0.25">
      <c r="A1301" s="29" t="s">
        <v>1364</v>
      </c>
    </row>
    <row r="1302" spans="1:1" x14ac:dyDescent="0.25">
      <c r="A1302" s="29" t="s">
        <v>1365</v>
      </c>
    </row>
    <row r="1303" spans="1:1" x14ac:dyDescent="0.25">
      <c r="A1303" s="29" t="s">
        <v>1366</v>
      </c>
    </row>
    <row r="1304" spans="1:1" x14ac:dyDescent="0.25">
      <c r="A1304" s="29" t="s">
        <v>1367</v>
      </c>
    </row>
    <row r="1305" spans="1:1" x14ac:dyDescent="0.25">
      <c r="A1305" s="29" t="s">
        <v>1368</v>
      </c>
    </row>
    <row r="1306" spans="1:1" x14ac:dyDescent="0.25">
      <c r="A1306" s="29" t="s">
        <v>1369</v>
      </c>
    </row>
    <row r="1307" spans="1:1" ht="30" x14ac:dyDescent="0.25">
      <c r="A1307" s="29" t="s">
        <v>1370</v>
      </c>
    </row>
    <row r="1308" spans="1:1" x14ac:dyDescent="0.25">
      <c r="A1308" s="29" t="s">
        <v>1371</v>
      </c>
    </row>
    <row r="1309" spans="1:1" x14ac:dyDescent="0.25">
      <c r="A1309" s="29" t="s">
        <v>1372</v>
      </c>
    </row>
    <row r="1310" spans="1:1" x14ac:dyDescent="0.25">
      <c r="A1310" s="29" t="s">
        <v>1373</v>
      </c>
    </row>
    <row r="1311" spans="1:1" x14ac:dyDescent="0.25">
      <c r="A1311" s="29" t="s">
        <v>1374</v>
      </c>
    </row>
    <row r="1312" spans="1:1" x14ac:dyDescent="0.25">
      <c r="A1312" s="29" t="s">
        <v>1375</v>
      </c>
    </row>
    <row r="1313" spans="1:1" x14ac:dyDescent="0.25">
      <c r="A1313" s="29" t="s">
        <v>1376</v>
      </c>
    </row>
    <row r="1314" spans="1:1" x14ac:dyDescent="0.25">
      <c r="A1314" s="29" t="s">
        <v>1377</v>
      </c>
    </row>
    <row r="1315" spans="1:1" x14ac:dyDescent="0.25">
      <c r="A1315" s="29" t="s">
        <v>1378</v>
      </c>
    </row>
    <row r="1316" spans="1:1" x14ac:dyDescent="0.25">
      <c r="A1316" s="29" t="s">
        <v>1379</v>
      </c>
    </row>
    <row r="1317" spans="1:1" x14ac:dyDescent="0.25">
      <c r="A1317" s="29" t="s">
        <v>1380</v>
      </c>
    </row>
    <row r="1318" spans="1:1" x14ac:dyDescent="0.25">
      <c r="A1318" s="29" t="s">
        <v>1381</v>
      </c>
    </row>
    <row r="1319" spans="1:1" x14ac:dyDescent="0.25">
      <c r="A1319" s="29" t="s">
        <v>1382</v>
      </c>
    </row>
    <row r="1320" spans="1:1" x14ac:dyDescent="0.25">
      <c r="A1320" s="29" t="s">
        <v>1383</v>
      </c>
    </row>
    <row r="1321" spans="1:1" x14ac:dyDescent="0.25">
      <c r="A1321" s="29" t="s">
        <v>1384</v>
      </c>
    </row>
    <row r="1322" spans="1:1" x14ac:dyDescent="0.25">
      <c r="A1322" s="29" t="s">
        <v>1385</v>
      </c>
    </row>
    <row r="1323" spans="1:1" x14ac:dyDescent="0.25">
      <c r="A1323" s="29" t="s">
        <v>1386</v>
      </c>
    </row>
    <row r="1324" spans="1:1" x14ac:dyDescent="0.25">
      <c r="A1324" s="29" t="s">
        <v>1387</v>
      </c>
    </row>
    <row r="1325" spans="1:1" x14ac:dyDescent="0.25">
      <c r="A1325" s="29" t="s">
        <v>1388</v>
      </c>
    </row>
    <row r="1326" spans="1:1" x14ac:dyDescent="0.25">
      <c r="A1326" s="29" t="s">
        <v>1389</v>
      </c>
    </row>
    <row r="1327" spans="1:1" x14ac:dyDescent="0.25">
      <c r="A1327" s="29" t="s">
        <v>1390</v>
      </c>
    </row>
    <row r="1328" spans="1:1" x14ac:dyDescent="0.25">
      <c r="A1328" s="29" t="s">
        <v>1391</v>
      </c>
    </row>
    <row r="1329" spans="1:1" x14ac:dyDescent="0.25">
      <c r="A1329" s="29" t="s">
        <v>1392</v>
      </c>
    </row>
    <row r="1330" spans="1:1" x14ac:dyDescent="0.25">
      <c r="A1330" s="29" t="s">
        <v>1393</v>
      </c>
    </row>
    <row r="1331" spans="1:1" x14ac:dyDescent="0.25">
      <c r="A1331" s="29" t="s">
        <v>1394</v>
      </c>
    </row>
    <row r="1332" spans="1:1" x14ac:dyDescent="0.25">
      <c r="A1332" s="29" t="s">
        <v>1395</v>
      </c>
    </row>
    <row r="1333" spans="1:1" x14ac:dyDescent="0.25">
      <c r="A1333" s="29" t="s">
        <v>1396</v>
      </c>
    </row>
    <row r="1334" spans="1:1" x14ac:dyDescent="0.25">
      <c r="A1334" s="29" t="s">
        <v>1397</v>
      </c>
    </row>
    <row r="1335" spans="1:1" x14ac:dyDescent="0.25">
      <c r="A1335" s="29" t="s">
        <v>1398</v>
      </c>
    </row>
    <row r="1336" spans="1:1" x14ac:dyDescent="0.25">
      <c r="A1336" s="29" t="s">
        <v>1399</v>
      </c>
    </row>
    <row r="1337" spans="1:1" x14ac:dyDescent="0.25">
      <c r="A1337" s="29" t="s">
        <v>1400</v>
      </c>
    </row>
    <row r="1338" spans="1:1" x14ac:dyDescent="0.25">
      <c r="A1338" s="29" t="s">
        <v>1401</v>
      </c>
    </row>
    <row r="1339" spans="1:1" x14ac:dyDescent="0.25">
      <c r="A1339" s="29" t="s">
        <v>1402</v>
      </c>
    </row>
    <row r="1340" spans="1:1" x14ac:dyDescent="0.25">
      <c r="A1340" s="29" t="s">
        <v>1403</v>
      </c>
    </row>
    <row r="1341" spans="1:1" x14ac:dyDescent="0.25">
      <c r="A1341" s="29" t="s">
        <v>1404</v>
      </c>
    </row>
    <row r="1342" spans="1:1" x14ac:dyDescent="0.25">
      <c r="A1342" s="29" t="s">
        <v>1405</v>
      </c>
    </row>
    <row r="1343" spans="1:1" x14ac:dyDescent="0.25">
      <c r="A1343" s="29" t="s">
        <v>1406</v>
      </c>
    </row>
    <row r="1344" spans="1:1" x14ac:dyDescent="0.25">
      <c r="A1344" s="29" t="s">
        <v>1407</v>
      </c>
    </row>
    <row r="1345" spans="1:1" x14ac:dyDescent="0.25">
      <c r="A1345" s="29" t="s">
        <v>1408</v>
      </c>
    </row>
    <row r="1346" spans="1:1" x14ac:dyDescent="0.25">
      <c r="A1346" s="29" t="s">
        <v>1409</v>
      </c>
    </row>
    <row r="1347" spans="1:1" x14ac:dyDescent="0.25">
      <c r="A1347" s="29" t="s">
        <v>1410</v>
      </c>
    </row>
    <row r="1348" spans="1:1" x14ac:dyDescent="0.25">
      <c r="A1348" s="29" t="s">
        <v>1411</v>
      </c>
    </row>
    <row r="1349" spans="1:1" x14ac:dyDescent="0.25">
      <c r="A1349" s="29" t="s">
        <v>1412</v>
      </c>
    </row>
    <row r="1350" spans="1:1" x14ac:dyDescent="0.25">
      <c r="A1350" s="29" t="s">
        <v>1413</v>
      </c>
    </row>
    <row r="1351" spans="1:1" x14ac:dyDescent="0.25">
      <c r="A1351" s="29" t="s">
        <v>1414</v>
      </c>
    </row>
    <row r="1352" spans="1:1" x14ac:dyDescent="0.25">
      <c r="A1352" s="29" t="s">
        <v>1415</v>
      </c>
    </row>
    <row r="1353" spans="1:1" x14ac:dyDescent="0.25">
      <c r="A1353" s="29" t="s">
        <v>1416</v>
      </c>
    </row>
    <row r="1354" spans="1:1" x14ac:dyDescent="0.25">
      <c r="A1354" s="29" t="s">
        <v>1417</v>
      </c>
    </row>
    <row r="1355" spans="1:1" x14ac:dyDescent="0.25">
      <c r="A1355" s="29" t="s">
        <v>1418</v>
      </c>
    </row>
    <row r="1356" spans="1:1" x14ac:dyDescent="0.25">
      <c r="A1356" s="29" t="s">
        <v>1419</v>
      </c>
    </row>
    <row r="1357" spans="1:1" x14ac:dyDescent="0.25">
      <c r="A1357" s="29" t="s">
        <v>1420</v>
      </c>
    </row>
    <row r="1358" spans="1:1" x14ac:dyDescent="0.25">
      <c r="A1358" s="29" t="s">
        <v>1421</v>
      </c>
    </row>
    <row r="1359" spans="1:1" x14ac:dyDescent="0.25">
      <c r="A1359" s="29" t="s">
        <v>1422</v>
      </c>
    </row>
    <row r="1360" spans="1:1" x14ac:dyDescent="0.25">
      <c r="A1360" s="29" t="s">
        <v>1423</v>
      </c>
    </row>
    <row r="1361" spans="1:1" x14ac:dyDescent="0.25">
      <c r="A1361" s="29" t="s">
        <v>1424</v>
      </c>
    </row>
    <row r="1362" spans="1:1" x14ac:dyDescent="0.25">
      <c r="A1362" s="29" t="s">
        <v>1425</v>
      </c>
    </row>
    <row r="1363" spans="1:1" x14ac:dyDescent="0.25">
      <c r="A1363" s="29" t="s">
        <v>1426</v>
      </c>
    </row>
    <row r="1364" spans="1:1" x14ac:dyDescent="0.25">
      <c r="A1364" s="29" t="s">
        <v>1427</v>
      </c>
    </row>
    <row r="1365" spans="1:1" x14ac:dyDescent="0.25">
      <c r="A1365" s="29" t="s">
        <v>1428</v>
      </c>
    </row>
    <row r="1366" spans="1:1" x14ac:dyDescent="0.25">
      <c r="A1366" s="29" t="s">
        <v>1429</v>
      </c>
    </row>
    <row r="1367" spans="1:1" x14ac:dyDescent="0.25">
      <c r="A1367" s="29" t="s">
        <v>1430</v>
      </c>
    </row>
    <row r="1368" spans="1:1" x14ac:dyDescent="0.25">
      <c r="A1368" s="29" t="s">
        <v>1431</v>
      </c>
    </row>
    <row r="1369" spans="1:1" x14ac:dyDescent="0.25">
      <c r="A1369" s="29" t="s">
        <v>1432</v>
      </c>
    </row>
    <row r="1370" spans="1:1" x14ac:dyDescent="0.25">
      <c r="A1370" s="29" t="s">
        <v>1433</v>
      </c>
    </row>
    <row r="1371" spans="1:1" x14ac:dyDescent="0.25">
      <c r="A1371" s="29" t="s">
        <v>1434</v>
      </c>
    </row>
    <row r="1372" spans="1:1" x14ac:dyDescent="0.25">
      <c r="A1372" s="29" t="s">
        <v>1435</v>
      </c>
    </row>
    <row r="1373" spans="1:1" x14ac:dyDescent="0.25">
      <c r="A1373" s="29" t="s">
        <v>1436</v>
      </c>
    </row>
    <row r="1374" spans="1:1" x14ac:dyDescent="0.25">
      <c r="A1374" s="29" t="s">
        <v>1437</v>
      </c>
    </row>
    <row r="1375" spans="1:1" x14ac:dyDescent="0.25">
      <c r="A1375" s="29" t="s">
        <v>1438</v>
      </c>
    </row>
    <row r="1376" spans="1:1" x14ac:dyDescent="0.25">
      <c r="A1376" s="29" t="s">
        <v>1439</v>
      </c>
    </row>
    <row r="1377" spans="1:1" x14ac:dyDescent="0.25">
      <c r="A1377" s="29" t="s">
        <v>1440</v>
      </c>
    </row>
    <row r="1378" spans="1:1" x14ac:dyDescent="0.25">
      <c r="A1378" s="29" t="s">
        <v>1441</v>
      </c>
    </row>
    <row r="1379" spans="1:1" x14ac:dyDescent="0.25">
      <c r="A1379" s="29" t="s">
        <v>1442</v>
      </c>
    </row>
    <row r="1380" spans="1:1" x14ac:dyDescent="0.25">
      <c r="A1380" s="29" t="s">
        <v>1443</v>
      </c>
    </row>
    <row r="1381" spans="1:1" x14ac:dyDescent="0.25">
      <c r="A1381" s="29" t="s">
        <v>1444</v>
      </c>
    </row>
    <row r="1382" spans="1:1" x14ac:dyDescent="0.25">
      <c r="A1382" s="29" t="s">
        <v>1445</v>
      </c>
    </row>
    <row r="1383" spans="1:1" x14ac:dyDescent="0.25">
      <c r="A1383" s="29" t="s">
        <v>1446</v>
      </c>
    </row>
    <row r="1384" spans="1:1" x14ac:dyDescent="0.25">
      <c r="A1384" s="29" t="s">
        <v>1447</v>
      </c>
    </row>
    <row r="1385" spans="1:1" x14ac:dyDescent="0.25">
      <c r="A1385" s="29" t="s">
        <v>1448</v>
      </c>
    </row>
    <row r="1386" spans="1:1" x14ac:dyDescent="0.25">
      <c r="A1386" s="29" t="s">
        <v>1449</v>
      </c>
    </row>
    <row r="1387" spans="1:1" x14ac:dyDescent="0.25">
      <c r="A1387" s="29" t="s">
        <v>1450</v>
      </c>
    </row>
    <row r="1388" spans="1:1" x14ac:dyDescent="0.25">
      <c r="A1388" s="29" t="s">
        <v>1451</v>
      </c>
    </row>
    <row r="1389" spans="1:1" x14ac:dyDescent="0.25">
      <c r="A1389" s="29" t="s">
        <v>1452</v>
      </c>
    </row>
    <row r="1390" spans="1:1" x14ac:dyDescent="0.25">
      <c r="A1390" s="29" t="s">
        <v>1453</v>
      </c>
    </row>
    <row r="1391" spans="1:1" x14ac:dyDescent="0.25">
      <c r="A1391" s="29" t="s">
        <v>1454</v>
      </c>
    </row>
    <row r="1392" spans="1:1" x14ac:dyDescent="0.25">
      <c r="A1392" s="29" t="s">
        <v>1455</v>
      </c>
    </row>
    <row r="1393" spans="1:1" x14ac:dyDescent="0.25">
      <c r="A1393" s="29" t="s">
        <v>1456</v>
      </c>
    </row>
    <row r="1394" spans="1:1" x14ac:dyDescent="0.25">
      <c r="A1394" s="29" t="s">
        <v>1457</v>
      </c>
    </row>
    <row r="1395" spans="1:1" x14ac:dyDescent="0.25">
      <c r="A1395" s="29" t="s">
        <v>1458</v>
      </c>
    </row>
    <row r="1396" spans="1:1" x14ac:dyDescent="0.25">
      <c r="A1396" s="29" t="s">
        <v>1459</v>
      </c>
    </row>
    <row r="1397" spans="1:1" x14ac:dyDescent="0.25">
      <c r="A1397" s="29" t="s">
        <v>1460</v>
      </c>
    </row>
    <row r="1398" spans="1:1" x14ac:dyDescent="0.25">
      <c r="A1398" s="29" t="s">
        <v>1461</v>
      </c>
    </row>
    <row r="1399" spans="1:1" x14ac:dyDescent="0.25">
      <c r="A1399" s="29" t="s">
        <v>1462</v>
      </c>
    </row>
    <row r="1400" spans="1:1" x14ac:dyDescent="0.25">
      <c r="A1400" s="29" t="s">
        <v>1463</v>
      </c>
    </row>
    <row r="1401" spans="1:1" x14ac:dyDescent="0.25">
      <c r="A1401" s="29" t="s">
        <v>1464</v>
      </c>
    </row>
    <row r="1402" spans="1:1" x14ac:dyDescent="0.25">
      <c r="A1402" s="29" t="s">
        <v>1465</v>
      </c>
    </row>
    <row r="1403" spans="1:1" x14ac:dyDescent="0.25">
      <c r="A1403" s="29" t="s">
        <v>1466</v>
      </c>
    </row>
    <row r="1404" spans="1:1" x14ac:dyDescent="0.25">
      <c r="A1404" s="29" t="s">
        <v>1467</v>
      </c>
    </row>
    <row r="1405" spans="1:1" x14ac:dyDescent="0.25">
      <c r="A1405" s="29" t="s">
        <v>1468</v>
      </c>
    </row>
    <row r="1406" spans="1:1" x14ac:dyDescent="0.25">
      <c r="A1406" s="29" t="s">
        <v>1469</v>
      </c>
    </row>
    <row r="1407" spans="1:1" x14ac:dyDescent="0.25">
      <c r="A1407" s="29" t="s">
        <v>1470</v>
      </c>
    </row>
    <row r="1408" spans="1:1" x14ac:dyDescent="0.25">
      <c r="A1408" s="29" t="s">
        <v>1471</v>
      </c>
    </row>
    <row r="1409" spans="1:1" x14ac:dyDescent="0.25">
      <c r="A1409" s="29" t="s">
        <v>1472</v>
      </c>
    </row>
    <row r="1410" spans="1:1" x14ac:dyDescent="0.25">
      <c r="A1410" s="29" t="s">
        <v>1473</v>
      </c>
    </row>
    <row r="1411" spans="1:1" x14ac:dyDescent="0.25">
      <c r="A1411" s="29" t="s">
        <v>1474</v>
      </c>
    </row>
    <row r="1412" spans="1:1" x14ac:dyDescent="0.25">
      <c r="A1412" s="29" t="s">
        <v>1475</v>
      </c>
    </row>
    <row r="1413" spans="1:1" x14ac:dyDescent="0.25">
      <c r="A1413" s="29" t="s">
        <v>1476</v>
      </c>
    </row>
    <row r="1414" spans="1:1" x14ac:dyDescent="0.25">
      <c r="A1414" s="29" t="s">
        <v>1477</v>
      </c>
    </row>
    <row r="1415" spans="1:1" x14ac:dyDescent="0.25">
      <c r="A1415" s="29" t="s">
        <v>1478</v>
      </c>
    </row>
    <row r="1416" spans="1:1" x14ac:dyDescent="0.25">
      <c r="A1416" s="29" t="s">
        <v>1479</v>
      </c>
    </row>
    <row r="1417" spans="1:1" x14ac:dyDescent="0.25">
      <c r="A1417" s="29" t="s">
        <v>1480</v>
      </c>
    </row>
    <row r="1418" spans="1:1" x14ac:dyDescent="0.25">
      <c r="A1418" s="29" t="s">
        <v>1481</v>
      </c>
    </row>
    <row r="1419" spans="1:1" x14ac:dyDescent="0.25">
      <c r="A1419" s="29" t="s">
        <v>1482</v>
      </c>
    </row>
    <row r="1420" spans="1:1" x14ac:dyDescent="0.25">
      <c r="A1420" s="29" t="s">
        <v>1483</v>
      </c>
    </row>
    <row r="1421" spans="1:1" x14ac:dyDescent="0.25">
      <c r="A1421" s="29" t="s">
        <v>1484</v>
      </c>
    </row>
    <row r="1422" spans="1:1" x14ac:dyDescent="0.25">
      <c r="A1422" s="29" t="s">
        <v>1485</v>
      </c>
    </row>
    <row r="1423" spans="1:1" x14ac:dyDescent="0.25">
      <c r="A1423" s="29" t="s">
        <v>1486</v>
      </c>
    </row>
    <row r="1424" spans="1:1" x14ac:dyDescent="0.25">
      <c r="A1424" s="29" t="s">
        <v>1487</v>
      </c>
    </row>
    <row r="1425" spans="1:1" x14ac:dyDescent="0.25">
      <c r="A1425" s="29" t="s">
        <v>1488</v>
      </c>
    </row>
    <row r="1426" spans="1:1" x14ac:dyDescent="0.25">
      <c r="A1426" s="29" t="s">
        <v>1489</v>
      </c>
    </row>
    <row r="1427" spans="1:1" x14ac:dyDescent="0.25">
      <c r="A1427" s="29" t="s">
        <v>1490</v>
      </c>
    </row>
    <row r="1428" spans="1:1" x14ac:dyDescent="0.25">
      <c r="A1428" s="29" t="s">
        <v>1491</v>
      </c>
    </row>
    <row r="1429" spans="1:1" x14ac:dyDescent="0.25">
      <c r="A1429" s="29" t="s">
        <v>1492</v>
      </c>
    </row>
    <row r="1430" spans="1:1" x14ac:dyDescent="0.25">
      <c r="A1430" s="29" t="s">
        <v>1493</v>
      </c>
    </row>
    <row r="1431" spans="1:1" x14ac:dyDescent="0.25">
      <c r="A1431" s="29" t="s">
        <v>1494</v>
      </c>
    </row>
    <row r="1432" spans="1:1" x14ac:dyDescent="0.25">
      <c r="A1432" s="29" t="s">
        <v>1495</v>
      </c>
    </row>
    <row r="1433" spans="1:1" x14ac:dyDescent="0.25">
      <c r="A1433" s="29" t="s">
        <v>1496</v>
      </c>
    </row>
    <row r="1434" spans="1:1" x14ac:dyDescent="0.25">
      <c r="A1434" s="29" t="s">
        <v>1497</v>
      </c>
    </row>
    <row r="1435" spans="1:1" x14ac:dyDescent="0.25">
      <c r="A1435" s="29" t="s">
        <v>1498</v>
      </c>
    </row>
    <row r="1436" spans="1:1" x14ac:dyDescent="0.25">
      <c r="A1436" s="29" t="s">
        <v>1499</v>
      </c>
    </row>
    <row r="1437" spans="1:1" x14ac:dyDescent="0.25">
      <c r="A1437" s="29" t="s">
        <v>1500</v>
      </c>
    </row>
    <row r="1438" spans="1:1" x14ac:dyDescent="0.25">
      <c r="A1438" s="29" t="s">
        <v>1501</v>
      </c>
    </row>
    <row r="1439" spans="1:1" x14ac:dyDescent="0.25">
      <c r="A1439" s="29" t="s">
        <v>1502</v>
      </c>
    </row>
    <row r="1440" spans="1:1" ht="30" x14ac:dyDescent="0.25">
      <c r="A1440" s="29" t="s">
        <v>1503</v>
      </c>
    </row>
    <row r="1441" spans="1:1" ht="30" x14ac:dyDescent="0.25">
      <c r="A1441" s="29" t="s">
        <v>1504</v>
      </c>
    </row>
    <row r="1442" spans="1:1" ht="30" x14ac:dyDescent="0.25">
      <c r="A1442" s="29" t="s">
        <v>1505</v>
      </c>
    </row>
    <row r="1443" spans="1:1" x14ac:dyDescent="0.25">
      <c r="A1443" s="29" t="s">
        <v>1506</v>
      </c>
    </row>
    <row r="1444" spans="1:1" x14ac:dyDescent="0.25">
      <c r="A1444" s="29" t="s">
        <v>1507</v>
      </c>
    </row>
    <row r="1445" spans="1:1" x14ac:dyDescent="0.25">
      <c r="A1445" s="29" t="s">
        <v>1508</v>
      </c>
    </row>
    <row r="1446" spans="1:1" x14ac:dyDescent="0.25">
      <c r="A1446" s="29" t="s">
        <v>1509</v>
      </c>
    </row>
    <row r="1447" spans="1:1" x14ac:dyDescent="0.25">
      <c r="A1447" s="29" t="s">
        <v>1510</v>
      </c>
    </row>
    <row r="1448" spans="1:1" x14ac:dyDescent="0.25">
      <c r="A1448" s="29" t="s">
        <v>1511</v>
      </c>
    </row>
    <row r="1449" spans="1:1" x14ac:dyDescent="0.25">
      <c r="A1449" s="29" t="s">
        <v>1512</v>
      </c>
    </row>
    <row r="1450" spans="1:1" x14ac:dyDescent="0.25">
      <c r="A1450" s="29" t="s">
        <v>1513</v>
      </c>
    </row>
    <row r="1451" spans="1:1" x14ac:dyDescent="0.25">
      <c r="A1451" s="29" t="s">
        <v>1514</v>
      </c>
    </row>
    <row r="1452" spans="1:1" x14ac:dyDescent="0.25">
      <c r="A1452" s="29" t="s">
        <v>1515</v>
      </c>
    </row>
    <row r="1453" spans="1:1" x14ac:dyDescent="0.25">
      <c r="A1453" s="29" t="s">
        <v>1516</v>
      </c>
    </row>
    <row r="1454" spans="1:1" x14ac:dyDescent="0.25">
      <c r="A1454" s="29" t="s">
        <v>1517</v>
      </c>
    </row>
    <row r="1455" spans="1:1" x14ac:dyDescent="0.25">
      <c r="A1455" s="29" t="s">
        <v>1518</v>
      </c>
    </row>
    <row r="1456" spans="1:1" x14ac:dyDescent="0.25">
      <c r="A1456" s="29" t="s">
        <v>1519</v>
      </c>
    </row>
    <row r="1457" spans="1:1" x14ac:dyDescent="0.25">
      <c r="A1457" s="29" t="s">
        <v>1520</v>
      </c>
    </row>
    <row r="1458" spans="1:1" x14ac:dyDescent="0.25">
      <c r="A1458" s="29" t="s">
        <v>1521</v>
      </c>
    </row>
    <row r="1459" spans="1:1" x14ac:dyDescent="0.25">
      <c r="A1459" s="29" t="s">
        <v>1522</v>
      </c>
    </row>
    <row r="1460" spans="1:1" x14ac:dyDescent="0.25">
      <c r="A1460" s="29" t="s">
        <v>1523</v>
      </c>
    </row>
    <row r="1461" spans="1:1" x14ac:dyDescent="0.25">
      <c r="A1461" s="29" t="s">
        <v>1524</v>
      </c>
    </row>
    <row r="1462" spans="1:1" x14ac:dyDescent="0.25">
      <c r="A1462" s="29" t="s">
        <v>1525</v>
      </c>
    </row>
    <row r="1463" spans="1:1" x14ac:dyDescent="0.25">
      <c r="A1463" s="29" t="s">
        <v>1526</v>
      </c>
    </row>
    <row r="1464" spans="1:1" x14ac:dyDescent="0.25">
      <c r="A1464" s="29" t="s">
        <v>1527</v>
      </c>
    </row>
    <row r="1465" spans="1:1" x14ac:dyDescent="0.25">
      <c r="A1465" s="29" t="s">
        <v>1528</v>
      </c>
    </row>
    <row r="1466" spans="1:1" x14ac:dyDescent="0.25">
      <c r="A1466" s="29" t="s">
        <v>1529</v>
      </c>
    </row>
    <row r="1467" spans="1:1" x14ac:dyDescent="0.25">
      <c r="A1467" s="29" t="s">
        <v>1530</v>
      </c>
    </row>
    <row r="1468" spans="1:1" x14ac:dyDescent="0.25">
      <c r="A1468" s="29" t="s">
        <v>1531</v>
      </c>
    </row>
    <row r="1469" spans="1:1" x14ac:dyDescent="0.25">
      <c r="A1469" s="29" t="s">
        <v>1532</v>
      </c>
    </row>
    <row r="1470" spans="1:1" x14ac:dyDescent="0.25">
      <c r="A1470" s="29" t="s">
        <v>1533</v>
      </c>
    </row>
    <row r="1471" spans="1:1" x14ac:dyDescent="0.25">
      <c r="A1471" s="29" t="s">
        <v>1534</v>
      </c>
    </row>
    <row r="1472" spans="1:1" x14ac:dyDescent="0.25">
      <c r="A1472" s="29" t="s">
        <v>1535</v>
      </c>
    </row>
    <row r="1473" spans="1:1" x14ac:dyDescent="0.25">
      <c r="A1473" s="29" t="s">
        <v>1536</v>
      </c>
    </row>
    <row r="1474" spans="1:1" x14ac:dyDescent="0.25">
      <c r="A1474" s="29" t="s">
        <v>1537</v>
      </c>
    </row>
    <row r="1475" spans="1:1" x14ac:dyDescent="0.25">
      <c r="A1475" s="29" t="s">
        <v>1538</v>
      </c>
    </row>
    <row r="1476" spans="1:1" x14ac:dyDescent="0.25">
      <c r="A1476" s="29" t="s">
        <v>1539</v>
      </c>
    </row>
    <row r="1477" spans="1:1" x14ac:dyDescent="0.25">
      <c r="A1477" s="29" t="s">
        <v>1540</v>
      </c>
    </row>
    <row r="1478" spans="1:1" x14ac:dyDescent="0.25">
      <c r="A1478" s="29" t="s">
        <v>1541</v>
      </c>
    </row>
    <row r="1479" spans="1:1" x14ac:dyDescent="0.25">
      <c r="A1479" s="29" t="s">
        <v>1542</v>
      </c>
    </row>
    <row r="1480" spans="1:1" x14ac:dyDescent="0.25">
      <c r="A1480" s="29" t="s">
        <v>1543</v>
      </c>
    </row>
    <row r="1481" spans="1:1" x14ac:dyDescent="0.25">
      <c r="A1481" s="29" t="s">
        <v>1544</v>
      </c>
    </row>
    <row r="1482" spans="1:1" x14ac:dyDescent="0.25">
      <c r="A1482" s="29" t="s">
        <v>1545</v>
      </c>
    </row>
    <row r="1483" spans="1:1" x14ac:dyDescent="0.25">
      <c r="A1483" s="29" t="s">
        <v>1546</v>
      </c>
    </row>
    <row r="1484" spans="1:1" x14ac:dyDescent="0.25">
      <c r="A1484" s="29" t="s">
        <v>1547</v>
      </c>
    </row>
    <row r="1485" spans="1:1" x14ac:dyDescent="0.25">
      <c r="A1485" s="29" t="s">
        <v>1548</v>
      </c>
    </row>
    <row r="1486" spans="1:1" x14ac:dyDescent="0.25">
      <c r="A1486" s="29" t="s">
        <v>1549</v>
      </c>
    </row>
    <row r="1487" spans="1:1" x14ac:dyDescent="0.25">
      <c r="A1487" s="29" t="s">
        <v>1550</v>
      </c>
    </row>
    <row r="1488" spans="1:1" x14ac:dyDescent="0.25">
      <c r="A1488" s="29" t="s">
        <v>1551</v>
      </c>
    </row>
    <row r="1489" spans="1:1" x14ac:dyDescent="0.25">
      <c r="A1489" s="29" t="s">
        <v>1552</v>
      </c>
    </row>
    <row r="1490" spans="1:1" x14ac:dyDescent="0.25">
      <c r="A1490" s="29" t="s">
        <v>1553</v>
      </c>
    </row>
    <row r="1491" spans="1:1" x14ac:dyDescent="0.25">
      <c r="A1491" s="29" t="s">
        <v>1554</v>
      </c>
    </row>
    <row r="1492" spans="1:1" x14ac:dyDescent="0.25">
      <c r="A1492" s="29" t="s">
        <v>1555</v>
      </c>
    </row>
    <row r="1493" spans="1:1" x14ac:dyDescent="0.25">
      <c r="A1493" s="29" t="s">
        <v>1556</v>
      </c>
    </row>
    <row r="1494" spans="1:1" x14ac:dyDescent="0.25">
      <c r="A1494" s="29" t="s">
        <v>1557</v>
      </c>
    </row>
    <row r="1495" spans="1:1" x14ac:dyDescent="0.25">
      <c r="A1495" s="29" t="s">
        <v>1558</v>
      </c>
    </row>
    <row r="1496" spans="1:1" x14ac:dyDescent="0.25">
      <c r="A1496" s="29" t="s">
        <v>1559</v>
      </c>
    </row>
    <row r="1497" spans="1:1" x14ac:dyDescent="0.25">
      <c r="A1497" s="29" t="s">
        <v>1560</v>
      </c>
    </row>
    <row r="1498" spans="1:1" x14ac:dyDescent="0.25">
      <c r="A1498" s="29" t="s">
        <v>1561</v>
      </c>
    </row>
    <row r="1499" spans="1:1" x14ac:dyDescent="0.25">
      <c r="A1499" s="29" t="s">
        <v>1562</v>
      </c>
    </row>
    <row r="1500" spans="1:1" x14ac:dyDescent="0.25">
      <c r="A1500" s="29" t="s">
        <v>1563</v>
      </c>
    </row>
    <row r="1501" spans="1:1" x14ac:dyDescent="0.25">
      <c r="A1501" s="29" t="s">
        <v>1564</v>
      </c>
    </row>
    <row r="1502" spans="1:1" x14ac:dyDescent="0.25">
      <c r="A1502" s="29" t="s">
        <v>1565</v>
      </c>
    </row>
    <row r="1503" spans="1:1" x14ac:dyDescent="0.25">
      <c r="A1503" s="29" t="s">
        <v>1566</v>
      </c>
    </row>
    <row r="1504" spans="1:1" x14ac:dyDescent="0.25">
      <c r="A1504" s="29" t="s">
        <v>1567</v>
      </c>
    </row>
    <row r="1505" spans="1:1" x14ac:dyDescent="0.25">
      <c r="A1505" s="29" t="s">
        <v>1568</v>
      </c>
    </row>
    <row r="1506" spans="1:1" x14ac:dyDescent="0.25">
      <c r="A1506" s="29" t="s">
        <v>1569</v>
      </c>
    </row>
    <row r="1507" spans="1:1" x14ac:dyDescent="0.25">
      <c r="A1507" s="29" t="s">
        <v>1570</v>
      </c>
    </row>
    <row r="1508" spans="1:1" x14ac:dyDescent="0.25">
      <c r="A1508" s="29" t="s">
        <v>1571</v>
      </c>
    </row>
    <row r="1509" spans="1:1" x14ac:dyDescent="0.25">
      <c r="A1509" s="29" t="s">
        <v>1572</v>
      </c>
    </row>
    <row r="1510" spans="1:1" x14ac:dyDescent="0.25">
      <c r="A1510" s="29" t="s">
        <v>1573</v>
      </c>
    </row>
    <row r="1511" spans="1:1" x14ac:dyDescent="0.25">
      <c r="A1511" s="29" t="s">
        <v>1574</v>
      </c>
    </row>
    <row r="1512" spans="1:1" x14ac:dyDescent="0.25">
      <c r="A1512" s="29" t="s">
        <v>1575</v>
      </c>
    </row>
    <row r="1513" spans="1:1" x14ac:dyDescent="0.25">
      <c r="A1513" s="29" t="s">
        <v>1576</v>
      </c>
    </row>
    <row r="1514" spans="1:1" x14ac:dyDescent="0.25">
      <c r="A1514" s="29" t="s">
        <v>1577</v>
      </c>
    </row>
    <row r="1515" spans="1:1" x14ac:dyDescent="0.25">
      <c r="A1515" s="29" t="s">
        <v>1578</v>
      </c>
    </row>
    <row r="1516" spans="1:1" x14ac:dyDescent="0.25">
      <c r="A1516" s="29" t="s">
        <v>1579</v>
      </c>
    </row>
    <row r="1517" spans="1:1" x14ac:dyDescent="0.25">
      <c r="A1517" s="29" t="s">
        <v>1580</v>
      </c>
    </row>
    <row r="1518" spans="1:1" x14ac:dyDescent="0.25">
      <c r="A1518" s="29" t="s">
        <v>1581</v>
      </c>
    </row>
    <row r="1519" spans="1:1" x14ac:dyDescent="0.25">
      <c r="A1519" s="29" t="s">
        <v>1582</v>
      </c>
    </row>
    <row r="1520" spans="1:1" x14ac:dyDescent="0.25">
      <c r="A1520" s="29" t="s">
        <v>1583</v>
      </c>
    </row>
    <row r="1521" spans="1:1" x14ac:dyDescent="0.25">
      <c r="A1521" s="29" t="s">
        <v>1584</v>
      </c>
    </row>
    <row r="1522" spans="1:1" x14ac:dyDescent="0.25">
      <c r="A1522" s="29" t="s">
        <v>1585</v>
      </c>
    </row>
    <row r="1523" spans="1:1" x14ac:dyDescent="0.25">
      <c r="A1523" s="29" t="s">
        <v>1586</v>
      </c>
    </row>
    <row r="1524" spans="1:1" x14ac:dyDescent="0.25">
      <c r="A1524" s="29" t="s">
        <v>1587</v>
      </c>
    </row>
    <row r="1525" spans="1:1" x14ac:dyDescent="0.25">
      <c r="A1525" s="29" t="s">
        <v>1588</v>
      </c>
    </row>
    <row r="1526" spans="1:1" x14ac:dyDescent="0.25">
      <c r="A1526" s="29" t="s">
        <v>1589</v>
      </c>
    </row>
    <row r="1527" spans="1:1" x14ac:dyDescent="0.25">
      <c r="A1527" s="29" t="s">
        <v>1590</v>
      </c>
    </row>
    <row r="1528" spans="1:1" ht="30" x14ac:dyDescent="0.25">
      <c r="A1528" s="29" t="s">
        <v>1591</v>
      </c>
    </row>
    <row r="1529" spans="1:1" ht="30" x14ac:dyDescent="0.25">
      <c r="A1529" s="29" t="s">
        <v>1592</v>
      </c>
    </row>
    <row r="1530" spans="1:1" x14ac:dyDescent="0.25">
      <c r="A1530" s="29" t="s">
        <v>1593</v>
      </c>
    </row>
    <row r="1531" spans="1:1" x14ac:dyDescent="0.25">
      <c r="A1531" s="29" t="s">
        <v>1594</v>
      </c>
    </row>
    <row r="1532" spans="1:1" x14ac:dyDescent="0.25">
      <c r="A1532" s="29" t="s">
        <v>1595</v>
      </c>
    </row>
    <row r="1533" spans="1:1" x14ac:dyDescent="0.25">
      <c r="A1533" s="29" t="s">
        <v>1596</v>
      </c>
    </row>
    <row r="1534" spans="1:1" x14ac:dyDescent="0.25">
      <c r="A1534" s="29" t="s">
        <v>1597</v>
      </c>
    </row>
    <row r="1535" spans="1:1" x14ac:dyDescent="0.25">
      <c r="A1535" s="29" t="s">
        <v>1598</v>
      </c>
    </row>
    <row r="1536" spans="1:1" x14ac:dyDescent="0.25">
      <c r="A1536" s="29" t="s">
        <v>1599</v>
      </c>
    </row>
    <row r="1537" spans="1:1" x14ac:dyDescent="0.25">
      <c r="A1537" s="29" t="s">
        <v>1600</v>
      </c>
    </row>
    <row r="1538" spans="1:1" x14ac:dyDescent="0.25">
      <c r="A1538" s="29" t="s">
        <v>1601</v>
      </c>
    </row>
    <row r="1539" spans="1:1" x14ac:dyDescent="0.25">
      <c r="A1539" s="29" t="s">
        <v>1602</v>
      </c>
    </row>
    <row r="1540" spans="1:1" x14ac:dyDescent="0.25">
      <c r="A1540" s="29" t="s">
        <v>1603</v>
      </c>
    </row>
    <row r="1541" spans="1:1" x14ac:dyDescent="0.25">
      <c r="A1541" s="29" t="s">
        <v>1604</v>
      </c>
    </row>
    <row r="1542" spans="1:1" x14ac:dyDescent="0.25">
      <c r="A1542" s="29" t="s">
        <v>1605</v>
      </c>
    </row>
    <row r="1543" spans="1:1" x14ac:dyDescent="0.25">
      <c r="A1543" s="29" t="s">
        <v>1606</v>
      </c>
    </row>
    <row r="1544" spans="1:1" x14ac:dyDescent="0.25">
      <c r="A1544" s="29" t="s">
        <v>1607</v>
      </c>
    </row>
    <row r="1545" spans="1:1" x14ac:dyDescent="0.25">
      <c r="A1545" s="29" t="s">
        <v>1608</v>
      </c>
    </row>
    <row r="1546" spans="1:1" x14ac:dyDescent="0.25">
      <c r="A1546" s="29" t="s">
        <v>1609</v>
      </c>
    </row>
    <row r="1547" spans="1:1" x14ac:dyDescent="0.25">
      <c r="A1547" s="29" t="s">
        <v>1610</v>
      </c>
    </row>
    <row r="1548" spans="1:1" x14ac:dyDescent="0.25">
      <c r="A1548" s="29" t="s">
        <v>1611</v>
      </c>
    </row>
    <row r="1549" spans="1:1" x14ac:dyDescent="0.25">
      <c r="A1549" s="29" t="s">
        <v>1612</v>
      </c>
    </row>
    <row r="1550" spans="1:1" x14ac:dyDescent="0.25">
      <c r="A1550" s="29" t="s">
        <v>1613</v>
      </c>
    </row>
    <row r="1551" spans="1:1" x14ac:dyDescent="0.25">
      <c r="A1551" s="29" t="s">
        <v>1614</v>
      </c>
    </row>
    <row r="1552" spans="1:1" x14ac:dyDescent="0.25">
      <c r="A1552" s="29" t="s">
        <v>1615</v>
      </c>
    </row>
    <row r="1553" spans="1:1" x14ac:dyDescent="0.25">
      <c r="A1553" s="29" t="s">
        <v>1616</v>
      </c>
    </row>
    <row r="1554" spans="1:1" x14ac:dyDescent="0.25">
      <c r="A1554" s="29" t="s">
        <v>1617</v>
      </c>
    </row>
    <row r="1555" spans="1:1" x14ac:dyDescent="0.25">
      <c r="A1555" s="29" t="s">
        <v>1618</v>
      </c>
    </row>
    <row r="1556" spans="1:1" x14ac:dyDescent="0.25">
      <c r="A1556" s="29" t="s">
        <v>1619</v>
      </c>
    </row>
    <row r="1557" spans="1:1" x14ac:dyDescent="0.25">
      <c r="A1557" s="29" t="s">
        <v>1620</v>
      </c>
    </row>
    <row r="1558" spans="1:1" x14ac:dyDescent="0.25">
      <c r="A1558" s="29" t="s">
        <v>1621</v>
      </c>
    </row>
    <row r="1559" spans="1:1" x14ac:dyDescent="0.25">
      <c r="A1559" s="29" t="s">
        <v>1622</v>
      </c>
    </row>
    <row r="1560" spans="1:1" x14ac:dyDescent="0.25">
      <c r="A1560" s="29" t="s">
        <v>1623</v>
      </c>
    </row>
    <row r="1561" spans="1:1" x14ac:dyDescent="0.25">
      <c r="A1561" s="29" t="s">
        <v>1624</v>
      </c>
    </row>
    <row r="1562" spans="1:1" x14ac:dyDescent="0.25">
      <c r="A1562" s="29" t="s">
        <v>1625</v>
      </c>
    </row>
    <row r="1563" spans="1:1" x14ac:dyDescent="0.25">
      <c r="A1563" s="29" t="s">
        <v>1626</v>
      </c>
    </row>
    <row r="1564" spans="1:1" x14ac:dyDescent="0.25">
      <c r="A1564" s="29" t="s">
        <v>1627</v>
      </c>
    </row>
    <row r="1565" spans="1:1" x14ac:dyDescent="0.25">
      <c r="A1565" s="29" t="s">
        <v>1628</v>
      </c>
    </row>
    <row r="1566" spans="1:1" x14ac:dyDescent="0.25">
      <c r="A1566" s="29" t="s">
        <v>1629</v>
      </c>
    </row>
    <row r="1567" spans="1:1" x14ac:dyDescent="0.25">
      <c r="A1567" s="29" t="s">
        <v>1630</v>
      </c>
    </row>
    <row r="1568" spans="1:1" x14ac:dyDescent="0.25">
      <c r="A1568" s="29" t="s">
        <v>1631</v>
      </c>
    </row>
    <row r="1569" spans="1:1" x14ac:dyDescent="0.25">
      <c r="A1569" s="29" t="s">
        <v>1632</v>
      </c>
    </row>
    <row r="1570" spans="1:1" x14ac:dyDescent="0.25">
      <c r="A1570" s="29" t="s">
        <v>1633</v>
      </c>
    </row>
    <row r="1571" spans="1:1" x14ac:dyDescent="0.25">
      <c r="A1571" s="29" t="s">
        <v>1634</v>
      </c>
    </row>
    <row r="1572" spans="1:1" x14ac:dyDescent="0.25">
      <c r="A1572" s="29" t="s">
        <v>1635</v>
      </c>
    </row>
    <row r="1573" spans="1:1" x14ac:dyDescent="0.25">
      <c r="A1573" s="29" t="s">
        <v>1636</v>
      </c>
    </row>
    <row r="1574" spans="1:1" x14ac:dyDescent="0.25">
      <c r="A1574" s="29" t="s">
        <v>1637</v>
      </c>
    </row>
    <row r="1575" spans="1:1" x14ac:dyDescent="0.25">
      <c r="A1575" s="29" t="s">
        <v>1638</v>
      </c>
    </row>
    <row r="1576" spans="1:1" x14ac:dyDescent="0.25">
      <c r="A1576" s="29" t="s">
        <v>1639</v>
      </c>
    </row>
    <row r="1577" spans="1:1" x14ac:dyDescent="0.25">
      <c r="A1577" s="29" t="s">
        <v>1640</v>
      </c>
    </row>
    <row r="1578" spans="1:1" x14ac:dyDescent="0.25">
      <c r="A1578" s="29" t="s">
        <v>1641</v>
      </c>
    </row>
    <row r="1579" spans="1:1" x14ac:dyDescent="0.25">
      <c r="A1579" s="29" t="s">
        <v>1642</v>
      </c>
    </row>
    <row r="1580" spans="1:1" x14ac:dyDescent="0.25">
      <c r="A1580" s="29" t="s">
        <v>1643</v>
      </c>
    </row>
    <row r="1581" spans="1:1" x14ac:dyDescent="0.25">
      <c r="A1581" s="29" t="s">
        <v>1644</v>
      </c>
    </row>
    <row r="1582" spans="1:1" x14ac:dyDescent="0.25">
      <c r="A1582" s="29" t="s">
        <v>1645</v>
      </c>
    </row>
    <row r="1583" spans="1:1" x14ac:dyDescent="0.25">
      <c r="A1583" s="29" t="s">
        <v>1646</v>
      </c>
    </row>
    <row r="1584" spans="1:1" x14ac:dyDescent="0.25">
      <c r="A1584" s="29" t="s">
        <v>1647</v>
      </c>
    </row>
    <row r="1585" spans="1:1" x14ac:dyDescent="0.25">
      <c r="A1585" s="29" t="s">
        <v>1648</v>
      </c>
    </row>
    <row r="1586" spans="1:1" x14ac:dyDescent="0.25">
      <c r="A1586" s="29" t="s">
        <v>1649</v>
      </c>
    </row>
    <row r="1587" spans="1:1" x14ac:dyDescent="0.25">
      <c r="A1587" s="29" t="s">
        <v>1650</v>
      </c>
    </row>
    <row r="1588" spans="1:1" x14ac:dyDescent="0.25">
      <c r="A1588" s="29" t="s">
        <v>1651</v>
      </c>
    </row>
    <row r="1589" spans="1:1" x14ac:dyDescent="0.25">
      <c r="A1589" s="29" t="s">
        <v>1652</v>
      </c>
    </row>
    <row r="1590" spans="1:1" x14ac:dyDescent="0.25">
      <c r="A1590" s="29" t="s">
        <v>1653</v>
      </c>
    </row>
    <row r="1591" spans="1:1" x14ac:dyDescent="0.25">
      <c r="A1591" s="29" t="s">
        <v>1654</v>
      </c>
    </row>
    <row r="1592" spans="1:1" x14ac:dyDescent="0.25">
      <c r="A1592" s="29" t="s">
        <v>1655</v>
      </c>
    </row>
    <row r="1593" spans="1:1" x14ac:dyDescent="0.25">
      <c r="A1593" s="29" t="s">
        <v>1656</v>
      </c>
    </row>
    <row r="1594" spans="1:1" x14ac:dyDescent="0.25">
      <c r="A1594" s="29" t="s">
        <v>1657</v>
      </c>
    </row>
    <row r="1595" spans="1:1" x14ac:dyDescent="0.25">
      <c r="A1595" s="29" t="s">
        <v>1658</v>
      </c>
    </row>
    <row r="1596" spans="1:1" x14ac:dyDescent="0.25">
      <c r="A1596" s="29" t="s">
        <v>1659</v>
      </c>
    </row>
    <row r="1597" spans="1:1" x14ac:dyDescent="0.25">
      <c r="A1597" s="29" t="s">
        <v>1660</v>
      </c>
    </row>
    <row r="1598" spans="1:1" x14ac:dyDescent="0.25">
      <c r="A1598" s="29" t="s">
        <v>1661</v>
      </c>
    </row>
    <row r="1599" spans="1:1" x14ac:dyDescent="0.25">
      <c r="A1599" s="29" t="s">
        <v>1662</v>
      </c>
    </row>
    <row r="1600" spans="1:1" x14ac:dyDescent="0.25">
      <c r="A1600" s="29" t="s">
        <v>1663</v>
      </c>
    </row>
    <row r="1601" spans="1:1" x14ac:dyDescent="0.25">
      <c r="A1601" s="29" t="s">
        <v>1664</v>
      </c>
    </row>
    <row r="1602" spans="1:1" x14ac:dyDescent="0.25">
      <c r="A1602" s="29" t="s">
        <v>1665</v>
      </c>
    </row>
    <row r="1603" spans="1:1" x14ac:dyDescent="0.25">
      <c r="A1603" s="29" t="s">
        <v>1666</v>
      </c>
    </row>
    <row r="1604" spans="1:1" x14ac:dyDescent="0.25">
      <c r="A1604" s="29" t="s">
        <v>1667</v>
      </c>
    </row>
    <row r="1605" spans="1:1" x14ac:dyDescent="0.25">
      <c r="A1605" s="29" t="s">
        <v>1668</v>
      </c>
    </row>
    <row r="1606" spans="1:1" x14ac:dyDescent="0.25">
      <c r="A1606" s="29" t="s">
        <v>1669</v>
      </c>
    </row>
    <row r="1607" spans="1:1" x14ac:dyDescent="0.25">
      <c r="A1607" s="29" t="s">
        <v>1670</v>
      </c>
    </row>
    <row r="1608" spans="1:1" x14ac:dyDescent="0.25">
      <c r="A1608" s="29" t="s">
        <v>1671</v>
      </c>
    </row>
    <row r="1609" spans="1:1" x14ac:dyDescent="0.25">
      <c r="A1609" s="29" t="s">
        <v>1672</v>
      </c>
    </row>
    <row r="1610" spans="1:1" x14ac:dyDescent="0.25">
      <c r="A1610" s="29" t="s">
        <v>1673</v>
      </c>
    </row>
    <row r="1611" spans="1:1" x14ac:dyDescent="0.25">
      <c r="A1611" s="29" t="s">
        <v>1674</v>
      </c>
    </row>
    <row r="1612" spans="1:1" x14ac:dyDescent="0.25">
      <c r="A1612" s="29" t="s">
        <v>1675</v>
      </c>
    </row>
    <row r="1613" spans="1:1" x14ac:dyDescent="0.25">
      <c r="A1613" s="29" t="s">
        <v>1676</v>
      </c>
    </row>
    <row r="1614" spans="1:1" x14ac:dyDescent="0.25">
      <c r="A1614" s="29" t="s">
        <v>1677</v>
      </c>
    </row>
    <row r="1615" spans="1:1" x14ac:dyDescent="0.25">
      <c r="A1615" s="29" t="s">
        <v>1678</v>
      </c>
    </row>
    <row r="1616" spans="1:1" x14ac:dyDescent="0.25">
      <c r="A1616" s="29" t="s">
        <v>1679</v>
      </c>
    </row>
    <row r="1617" spans="1:1" x14ac:dyDescent="0.25">
      <c r="A1617" s="29" t="s">
        <v>1680</v>
      </c>
    </row>
    <row r="1618" spans="1:1" x14ac:dyDescent="0.25">
      <c r="A1618" s="29" t="s">
        <v>1681</v>
      </c>
    </row>
    <row r="1619" spans="1:1" x14ac:dyDescent="0.25">
      <c r="A1619" s="29" t="s">
        <v>1682</v>
      </c>
    </row>
    <row r="1620" spans="1:1" x14ac:dyDescent="0.25">
      <c r="A1620" s="29" t="s">
        <v>1683</v>
      </c>
    </row>
    <row r="1621" spans="1:1" x14ac:dyDescent="0.25">
      <c r="A1621" s="29" t="s">
        <v>1684</v>
      </c>
    </row>
    <row r="1622" spans="1:1" x14ac:dyDescent="0.25">
      <c r="A1622" s="29" t="s">
        <v>1685</v>
      </c>
    </row>
    <row r="1623" spans="1:1" x14ac:dyDescent="0.25">
      <c r="A1623" s="29" t="s">
        <v>1686</v>
      </c>
    </row>
    <row r="1624" spans="1:1" x14ac:dyDescent="0.25">
      <c r="A1624" s="29" t="s">
        <v>1687</v>
      </c>
    </row>
    <row r="1625" spans="1:1" x14ac:dyDescent="0.25">
      <c r="A1625" s="29" t="s">
        <v>1688</v>
      </c>
    </row>
    <row r="1626" spans="1:1" ht="30" x14ac:dyDescent="0.25">
      <c r="A1626" s="29" t="s">
        <v>1689</v>
      </c>
    </row>
    <row r="1627" spans="1:1" x14ac:dyDescent="0.25">
      <c r="A1627" s="29" t="s">
        <v>1690</v>
      </c>
    </row>
    <row r="1628" spans="1:1" x14ac:dyDescent="0.25">
      <c r="A1628" s="29" t="s">
        <v>1691</v>
      </c>
    </row>
    <row r="1629" spans="1:1" x14ac:dyDescent="0.25">
      <c r="A1629" s="29" t="s">
        <v>1692</v>
      </c>
    </row>
    <row r="1630" spans="1:1" x14ac:dyDescent="0.25">
      <c r="A1630" s="29" t="s">
        <v>1693</v>
      </c>
    </row>
    <row r="1631" spans="1:1" x14ac:dyDescent="0.25">
      <c r="A1631" s="29" t="s">
        <v>1694</v>
      </c>
    </row>
    <row r="1632" spans="1:1" x14ac:dyDescent="0.25">
      <c r="A1632" s="29" t="s">
        <v>1695</v>
      </c>
    </row>
    <row r="1633" spans="1:1" x14ac:dyDescent="0.25">
      <c r="A1633" s="29" t="s">
        <v>1696</v>
      </c>
    </row>
    <row r="1634" spans="1:1" x14ac:dyDescent="0.25">
      <c r="A1634" s="29" t="s">
        <v>1697</v>
      </c>
    </row>
    <row r="1635" spans="1:1" x14ac:dyDescent="0.25">
      <c r="A1635" s="29" t="s">
        <v>1698</v>
      </c>
    </row>
    <row r="1636" spans="1:1" x14ac:dyDescent="0.25">
      <c r="A1636" s="29" t="s">
        <v>1699</v>
      </c>
    </row>
    <row r="1637" spans="1:1" x14ac:dyDescent="0.25">
      <c r="A1637" s="29" t="s">
        <v>1700</v>
      </c>
    </row>
    <row r="1638" spans="1:1" x14ac:dyDescent="0.25">
      <c r="A1638" s="29" t="s">
        <v>1701</v>
      </c>
    </row>
    <row r="1639" spans="1:1" ht="30" x14ac:dyDescent="0.25">
      <c r="A1639" s="29" t="s">
        <v>1702</v>
      </c>
    </row>
    <row r="1640" spans="1:1" x14ac:dyDescent="0.25">
      <c r="A1640" s="29" t="s">
        <v>1703</v>
      </c>
    </row>
    <row r="1641" spans="1:1" x14ac:dyDescent="0.25">
      <c r="A1641" s="29" t="s">
        <v>1704</v>
      </c>
    </row>
    <row r="1642" spans="1:1" x14ac:dyDescent="0.25">
      <c r="A1642" s="29" t="s">
        <v>1705</v>
      </c>
    </row>
    <row r="1643" spans="1:1" x14ac:dyDescent="0.25">
      <c r="A1643" s="29" t="s">
        <v>1706</v>
      </c>
    </row>
    <row r="1644" spans="1:1" x14ac:dyDescent="0.25">
      <c r="A1644" s="29" t="s">
        <v>1707</v>
      </c>
    </row>
    <row r="1645" spans="1:1" x14ac:dyDescent="0.25">
      <c r="A1645" s="29" t="s">
        <v>1708</v>
      </c>
    </row>
    <row r="1646" spans="1:1" x14ac:dyDescent="0.25">
      <c r="A1646" s="29" t="s">
        <v>1709</v>
      </c>
    </row>
    <row r="1647" spans="1:1" x14ac:dyDescent="0.25">
      <c r="A1647" s="29" t="s">
        <v>1710</v>
      </c>
    </row>
    <row r="1648" spans="1:1" x14ac:dyDescent="0.25">
      <c r="A1648" s="29" t="s">
        <v>1711</v>
      </c>
    </row>
    <row r="1649" spans="1:1" ht="30" x14ac:dyDescent="0.25">
      <c r="A1649" s="29" t="s">
        <v>1712</v>
      </c>
    </row>
    <row r="1650" spans="1:1" x14ac:dyDescent="0.25">
      <c r="A1650" s="29" t="s">
        <v>1713</v>
      </c>
    </row>
    <row r="1651" spans="1:1" x14ac:dyDescent="0.25">
      <c r="A1651" s="29" t="s">
        <v>1714</v>
      </c>
    </row>
    <row r="1652" spans="1:1" x14ac:dyDescent="0.25">
      <c r="A1652" s="29" t="s">
        <v>1715</v>
      </c>
    </row>
    <row r="1653" spans="1:1" x14ac:dyDescent="0.25">
      <c r="A1653" s="29" t="s">
        <v>1716</v>
      </c>
    </row>
    <row r="1654" spans="1:1" x14ac:dyDescent="0.25">
      <c r="A1654" s="29" t="s">
        <v>1717</v>
      </c>
    </row>
    <row r="1655" spans="1:1" x14ac:dyDescent="0.25">
      <c r="A1655" s="29" t="s">
        <v>1718</v>
      </c>
    </row>
    <row r="1656" spans="1:1" x14ac:dyDescent="0.25">
      <c r="A1656" s="29" t="s">
        <v>1719</v>
      </c>
    </row>
    <row r="1657" spans="1:1" x14ac:dyDescent="0.25">
      <c r="A1657" s="29" t="s">
        <v>1720</v>
      </c>
    </row>
    <row r="1658" spans="1:1" x14ac:dyDescent="0.25">
      <c r="A1658" s="29" t="s">
        <v>1721</v>
      </c>
    </row>
    <row r="1659" spans="1:1" x14ac:dyDescent="0.25">
      <c r="A1659" s="29" t="s">
        <v>1722</v>
      </c>
    </row>
    <row r="1660" spans="1:1" x14ac:dyDescent="0.25">
      <c r="A1660" s="29" t="s">
        <v>1723</v>
      </c>
    </row>
    <row r="1661" spans="1:1" x14ac:dyDescent="0.25">
      <c r="A1661" s="29" t="s">
        <v>1724</v>
      </c>
    </row>
    <row r="1662" spans="1:1" x14ac:dyDescent="0.25">
      <c r="A1662" s="29" t="s">
        <v>1725</v>
      </c>
    </row>
    <row r="1663" spans="1:1" ht="30" x14ac:dyDescent="0.25">
      <c r="A1663" s="29" t="s">
        <v>1726</v>
      </c>
    </row>
    <row r="1664" spans="1:1" x14ac:dyDescent="0.25">
      <c r="A1664" s="29" t="s">
        <v>1727</v>
      </c>
    </row>
    <row r="1665" spans="1:1" x14ac:dyDescent="0.25">
      <c r="A1665" s="29" t="s">
        <v>1728</v>
      </c>
    </row>
    <row r="1666" spans="1:1" x14ac:dyDescent="0.25">
      <c r="A1666" s="29" t="s">
        <v>1729</v>
      </c>
    </row>
    <row r="1667" spans="1:1" x14ac:dyDescent="0.25">
      <c r="A1667" s="29" t="s">
        <v>1730</v>
      </c>
    </row>
    <row r="1668" spans="1:1" x14ac:dyDescent="0.25">
      <c r="A1668" s="29" t="s">
        <v>1731</v>
      </c>
    </row>
    <row r="1669" spans="1:1" x14ac:dyDescent="0.25">
      <c r="A1669" s="29" t="s">
        <v>1732</v>
      </c>
    </row>
    <row r="1670" spans="1:1" x14ac:dyDescent="0.25">
      <c r="A1670" s="29" t="s">
        <v>1733</v>
      </c>
    </row>
    <row r="1671" spans="1:1" x14ac:dyDescent="0.25">
      <c r="A1671" s="29" t="s">
        <v>1734</v>
      </c>
    </row>
    <row r="1672" spans="1:1" x14ac:dyDescent="0.25">
      <c r="A1672" s="29" t="s">
        <v>1735</v>
      </c>
    </row>
    <row r="1673" spans="1:1" x14ac:dyDescent="0.25">
      <c r="A1673" s="29" t="s">
        <v>1736</v>
      </c>
    </row>
    <row r="1674" spans="1:1" x14ac:dyDescent="0.25">
      <c r="A1674" s="29" t="s">
        <v>1737</v>
      </c>
    </row>
    <row r="1675" spans="1:1" x14ac:dyDescent="0.25">
      <c r="A1675" s="29" t="s">
        <v>1738</v>
      </c>
    </row>
    <row r="1676" spans="1:1" x14ac:dyDescent="0.25">
      <c r="A1676" s="29" t="s">
        <v>1739</v>
      </c>
    </row>
    <row r="1677" spans="1:1" x14ac:dyDescent="0.25">
      <c r="A1677" s="29" t="s">
        <v>1740</v>
      </c>
    </row>
    <row r="1678" spans="1:1" x14ac:dyDescent="0.25">
      <c r="A1678" s="29" t="s">
        <v>1741</v>
      </c>
    </row>
    <row r="1679" spans="1:1" x14ac:dyDescent="0.25">
      <c r="A1679" s="29" t="s">
        <v>1742</v>
      </c>
    </row>
    <row r="1680" spans="1:1" x14ac:dyDescent="0.25">
      <c r="A1680" s="29" t="s">
        <v>1743</v>
      </c>
    </row>
    <row r="1681" spans="1:1" x14ac:dyDescent="0.25">
      <c r="A1681" s="29" t="s">
        <v>1744</v>
      </c>
    </row>
    <row r="1682" spans="1:1" x14ac:dyDescent="0.25">
      <c r="A1682" s="29" t="s">
        <v>1745</v>
      </c>
    </row>
    <row r="1683" spans="1:1" x14ac:dyDescent="0.25">
      <c r="A1683" s="29" t="s">
        <v>1746</v>
      </c>
    </row>
    <row r="1684" spans="1:1" x14ac:dyDescent="0.25">
      <c r="A1684" s="29" t="s">
        <v>1747</v>
      </c>
    </row>
    <row r="1685" spans="1:1" x14ac:dyDescent="0.25">
      <c r="A1685" s="29" t="s">
        <v>1748</v>
      </c>
    </row>
    <row r="1686" spans="1:1" x14ac:dyDescent="0.25">
      <c r="A1686" s="29" t="s">
        <v>1749</v>
      </c>
    </row>
    <row r="1687" spans="1:1" x14ac:dyDescent="0.25">
      <c r="A1687" s="29" t="s">
        <v>1750</v>
      </c>
    </row>
    <row r="1688" spans="1:1" x14ac:dyDescent="0.25">
      <c r="A1688" s="29" t="s">
        <v>1751</v>
      </c>
    </row>
    <row r="1689" spans="1:1" x14ac:dyDescent="0.25">
      <c r="A1689" s="29" t="s">
        <v>1752</v>
      </c>
    </row>
    <row r="1690" spans="1:1" x14ac:dyDescent="0.25">
      <c r="A1690" s="29" t="s">
        <v>1753</v>
      </c>
    </row>
    <row r="1691" spans="1:1" x14ac:dyDescent="0.25">
      <c r="A1691" s="29" t="s">
        <v>1754</v>
      </c>
    </row>
    <row r="1692" spans="1:1" x14ac:dyDescent="0.25">
      <c r="A1692" s="29" t="s">
        <v>1755</v>
      </c>
    </row>
    <row r="1693" spans="1:1" x14ac:dyDescent="0.25">
      <c r="A1693" s="29" t="s">
        <v>1756</v>
      </c>
    </row>
    <row r="1694" spans="1:1" x14ac:dyDescent="0.25">
      <c r="A1694" s="29" t="s">
        <v>1757</v>
      </c>
    </row>
    <row r="1695" spans="1:1" x14ac:dyDescent="0.25">
      <c r="A1695" s="29" t="s">
        <v>1758</v>
      </c>
    </row>
    <row r="1696" spans="1:1" x14ac:dyDescent="0.25">
      <c r="A1696" s="29" t="s">
        <v>1759</v>
      </c>
    </row>
    <row r="1697" spans="1:1" x14ac:dyDescent="0.25">
      <c r="A1697" s="29" t="s">
        <v>1760</v>
      </c>
    </row>
    <row r="1698" spans="1:1" x14ac:dyDescent="0.25">
      <c r="A1698" s="29" t="s">
        <v>1761</v>
      </c>
    </row>
    <row r="1699" spans="1:1" x14ac:dyDescent="0.25">
      <c r="A1699" s="29" t="s">
        <v>1762</v>
      </c>
    </row>
    <row r="1700" spans="1:1" x14ac:dyDescent="0.25">
      <c r="A1700" s="29" t="s">
        <v>1763</v>
      </c>
    </row>
    <row r="1701" spans="1:1" x14ac:dyDescent="0.25">
      <c r="A1701" s="29" t="s">
        <v>1764</v>
      </c>
    </row>
    <row r="1702" spans="1:1" x14ac:dyDescent="0.25">
      <c r="A1702" s="29" t="s">
        <v>1765</v>
      </c>
    </row>
    <row r="1703" spans="1:1" x14ac:dyDescent="0.25">
      <c r="A1703" s="29" t="s">
        <v>1766</v>
      </c>
    </row>
    <row r="1704" spans="1:1" x14ac:dyDescent="0.25">
      <c r="A1704" s="29" t="s">
        <v>1767</v>
      </c>
    </row>
    <row r="1705" spans="1:1" x14ac:dyDescent="0.25">
      <c r="A1705" s="29" t="s">
        <v>1768</v>
      </c>
    </row>
    <row r="1706" spans="1:1" x14ac:dyDescent="0.25">
      <c r="A1706" s="29" t="s">
        <v>1769</v>
      </c>
    </row>
    <row r="1707" spans="1:1" x14ac:dyDescent="0.25">
      <c r="A1707" s="29" t="s">
        <v>1770</v>
      </c>
    </row>
    <row r="1708" spans="1:1" x14ac:dyDescent="0.25">
      <c r="A1708" s="29" t="s">
        <v>1771</v>
      </c>
    </row>
    <row r="1709" spans="1:1" x14ac:dyDescent="0.25">
      <c r="A1709" s="29" t="s">
        <v>1772</v>
      </c>
    </row>
    <row r="1710" spans="1:1" x14ac:dyDescent="0.25">
      <c r="A1710" s="29" t="s">
        <v>1773</v>
      </c>
    </row>
    <row r="1711" spans="1:1" x14ac:dyDescent="0.25">
      <c r="A1711" s="29" t="s">
        <v>1774</v>
      </c>
    </row>
    <row r="1712" spans="1:1" x14ac:dyDescent="0.25">
      <c r="A1712" s="29" t="s">
        <v>1775</v>
      </c>
    </row>
    <row r="1713" spans="1:1" x14ac:dyDescent="0.25">
      <c r="A1713" s="29" t="s">
        <v>1776</v>
      </c>
    </row>
    <row r="1714" spans="1:1" x14ac:dyDescent="0.25">
      <c r="A1714" s="29" t="s">
        <v>1777</v>
      </c>
    </row>
    <row r="1715" spans="1:1" x14ac:dyDescent="0.25">
      <c r="A1715" s="29" t="s">
        <v>1778</v>
      </c>
    </row>
    <row r="1716" spans="1:1" x14ac:dyDescent="0.25">
      <c r="A1716" s="29" t="s">
        <v>1779</v>
      </c>
    </row>
    <row r="1717" spans="1:1" x14ac:dyDescent="0.25">
      <c r="A1717" s="29" t="s">
        <v>1780</v>
      </c>
    </row>
    <row r="1718" spans="1:1" x14ac:dyDescent="0.25">
      <c r="A1718" s="29" t="s">
        <v>1781</v>
      </c>
    </row>
    <row r="1719" spans="1:1" x14ac:dyDescent="0.25">
      <c r="A1719" s="29" t="s">
        <v>1782</v>
      </c>
    </row>
    <row r="1720" spans="1:1" x14ac:dyDescent="0.25">
      <c r="A1720" s="29" t="s">
        <v>1783</v>
      </c>
    </row>
    <row r="1721" spans="1:1" x14ac:dyDescent="0.25">
      <c r="A1721" s="29" t="s">
        <v>1784</v>
      </c>
    </row>
    <row r="1722" spans="1:1" x14ac:dyDescent="0.25">
      <c r="A1722" s="29" t="s">
        <v>1785</v>
      </c>
    </row>
    <row r="1723" spans="1:1" x14ac:dyDescent="0.25">
      <c r="A1723" s="29" t="s">
        <v>1786</v>
      </c>
    </row>
    <row r="1724" spans="1:1" x14ac:dyDescent="0.25">
      <c r="A1724" s="29" t="s">
        <v>1787</v>
      </c>
    </row>
    <row r="1725" spans="1:1" x14ac:dyDescent="0.25">
      <c r="A1725" s="29" t="s">
        <v>1788</v>
      </c>
    </row>
    <row r="1726" spans="1:1" x14ac:dyDescent="0.25">
      <c r="A1726" s="29" t="s">
        <v>1789</v>
      </c>
    </row>
    <row r="1727" spans="1:1" x14ac:dyDescent="0.25">
      <c r="A1727" s="29" t="s">
        <v>1790</v>
      </c>
    </row>
    <row r="1728" spans="1:1" x14ac:dyDescent="0.25">
      <c r="A1728" s="29" t="s">
        <v>1791</v>
      </c>
    </row>
    <row r="1729" spans="1:1" x14ac:dyDescent="0.25">
      <c r="A1729" s="29" t="s">
        <v>1792</v>
      </c>
    </row>
    <row r="1730" spans="1:1" x14ac:dyDescent="0.25">
      <c r="A1730" s="29" t="s">
        <v>1793</v>
      </c>
    </row>
    <row r="1731" spans="1:1" x14ac:dyDescent="0.25">
      <c r="A1731" s="29" t="s">
        <v>1794</v>
      </c>
    </row>
    <row r="1732" spans="1:1" x14ac:dyDescent="0.25">
      <c r="A1732" s="29" t="s">
        <v>1795</v>
      </c>
    </row>
    <row r="1733" spans="1:1" x14ac:dyDescent="0.25">
      <c r="A1733" s="29" t="s">
        <v>1796</v>
      </c>
    </row>
    <row r="1734" spans="1:1" x14ac:dyDescent="0.25">
      <c r="A1734" s="29" t="s">
        <v>1797</v>
      </c>
    </row>
    <row r="1735" spans="1:1" x14ac:dyDescent="0.25">
      <c r="A1735" s="29" t="s">
        <v>1798</v>
      </c>
    </row>
    <row r="1736" spans="1:1" x14ac:dyDescent="0.25">
      <c r="A1736" s="29" t="s">
        <v>1799</v>
      </c>
    </row>
    <row r="1737" spans="1:1" x14ac:dyDescent="0.25">
      <c r="A1737" s="29" t="s">
        <v>1800</v>
      </c>
    </row>
    <row r="1738" spans="1:1" x14ac:dyDescent="0.25">
      <c r="A1738" s="29" t="s">
        <v>1801</v>
      </c>
    </row>
    <row r="1739" spans="1:1" x14ac:dyDescent="0.25">
      <c r="A1739" s="29" t="s">
        <v>1802</v>
      </c>
    </row>
    <row r="1740" spans="1:1" x14ac:dyDescent="0.25">
      <c r="A1740" s="29" t="s">
        <v>1803</v>
      </c>
    </row>
    <row r="1741" spans="1:1" x14ac:dyDescent="0.25">
      <c r="A1741" s="29" t="s">
        <v>1804</v>
      </c>
    </row>
    <row r="1742" spans="1:1" x14ac:dyDescent="0.25">
      <c r="A1742" s="29" t="s">
        <v>1805</v>
      </c>
    </row>
    <row r="1743" spans="1:1" x14ac:dyDescent="0.25">
      <c r="A1743" s="29" t="s">
        <v>1806</v>
      </c>
    </row>
    <row r="1744" spans="1:1" x14ac:dyDescent="0.25">
      <c r="A1744" s="29" t="s">
        <v>1807</v>
      </c>
    </row>
    <row r="1745" spans="1:1" x14ac:dyDescent="0.25">
      <c r="A1745" s="29" t="s">
        <v>1808</v>
      </c>
    </row>
    <row r="1746" spans="1:1" x14ac:dyDescent="0.25">
      <c r="A1746" s="29" t="s">
        <v>1809</v>
      </c>
    </row>
    <row r="1747" spans="1:1" x14ac:dyDescent="0.25">
      <c r="A1747" s="29" t="s">
        <v>1810</v>
      </c>
    </row>
    <row r="1748" spans="1:1" x14ac:dyDescent="0.25">
      <c r="A1748" s="29" t="s">
        <v>1811</v>
      </c>
    </row>
    <row r="1749" spans="1:1" x14ac:dyDescent="0.25">
      <c r="A1749" s="29" t="s">
        <v>1812</v>
      </c>
    </row>
    <row r="1750" spans="1:1" x14ac:dyDescent="0.25">
      <c r="A1750" s="29" t="s">
        <v>1813</v>
      </c>
    </row>
    <row r="1751" spans="1:1" x14ac:dyDescent="0.25">
      <c r="A1751" s="29" t="s">
        <v>1814</v>
      </c>
    </row>
    <row r="1752" spans="1:1" x14ac:dyDescent="0.25">
      <c r="A1752" s="29" t="s">
        <v>1815</v>
      </c>
    </row>
    <row r="1753" spans="1:1" x14ac:dyDescent="0.25">
      <c r="A1753" s="29" t="s">
        <v>1816</v>
      </c>
    </row>
    <row r="1754" spans="1:1" x14ac:dyDescent="0.25">
      <c r="A1754" s="29" t="s">
        <v>1817</v>
      </c>
    </row>
    <row r="1755" spans="1:1" x14ac:dyDescent="0.25">
      <c r="A1755" s="29" t="s">
        <v>1818</v>
      </c>
    </row>
    <row r="1756" spans="1:1" x14ac:dyDescent="0.25">
      <c r="A1756" s="29" t="s">
        <v>1819</v>
      </c>
    </row>
    <row r="1757" spans="1:1" x14ac:dyDescent="0.25">
      <c r="A1757" s="29" t="s">
        <v>1820</v>
      </c>
    </row>
    <row r="1758" spans="1:1" x14ac:dyDescent="0.25">
      <c r="A1758" s="29" t="s">
        <v>1821</v>
      </c>
    </row>
    <row r="1759" spans="1:1" x14ac:dyDescent="0.25">
      <c r="A1759" s="29" t="s">
        <v>1822</v>
      </c>
    </row>
    <row r="1760" spans="1:1" x14ac:dyDescent="0.25">
      <c r="A1760" s="29" t="s">
        <v>1823</v>
      </c>
    </row>
    <row r="1761" spans="1:1" x14ac:dyDescent="0.25">
      <c r="A1761" s="29" t="s">
        <v>1824</v>
      </c>
    </row>
    <row r="1762" spans="1:1" x14ac:dyDescent="0.25">
      <c r="A1762" s="29" t="s">
        <v>1825</v>
      </c>
    </row>
    <row r="1763" spans="1:1" x14ac:dyDescent="0.25">
      <c r="A1763" s="29" t="s">
        <v>1826</v>
      </c>
    </row>
    <row r="1764" spans="1:1" x14ac:dyDescent="0.25">
      <c r="A1764" s="29" t="s">
        <v>1827</v>
      </c>
    </row>
    <row r="1765" spans="1:1" x14ac:dyDescent="0.25">
      <c r="A1765" s="29" t="s">
        <v>1828</v>
      </c>
    </row>
    <row r="1766" spans="1:1" x14ac:dyDescent="0.25">
      <c r="A1766" s="29" t="s">
        <v>1829</v>
      </c>
    </row>
    <row r="1767" spans="1:1" x14ac:dyDescent="0.25">
      <c r="A1767" s="29" t="s">
        <v>1830</v>
      </c>
    </row>
    <row r="1768" spans="1:1" x14ac:dyDescent="0.25">
      <c r="A1768" s="29" t="s">
        <v>1831</v>
      </c>
    </row>
    <row r="1769" spans="1:1" x14ac:dyDescent="0.25">
      <c r="A1769" s="29" t="s">
        <v>1832</v>
      </c>
    </row>
    <row r="1770" spans="1:1" x14ac:dyDescent="0.25">
      <c r="A1770" s="29" t="s">
        <v>1833</v>
      </c>
    </row>
    <row r="1771" spans="1:1" x14ac:dyDescent="0.25">
      <c r="A1771" s="29" t="s">
        <v>1834</v>
      </c>
    </row>
    <row r="1772" spans="1:1" x14ac:dyDescent="0.25">
      <c r="A1772" s="29" t="s">
        <v>1835</v>
      </c>
    </row>
    <row r="1773" spans="1:1" x14ac:dyDescent="0.25">
      <c r="A1773" s="29" t="s">
        <v>1836</v>
      </c>
    </row>
    <row r="1774" spans="1:1" x14ac:dyDescent="0.25">
      <c r="A1774" s="29" t="s">
        <v>1837</v>
      </c>
    </row>
    <row r="1775" spans="1:1" x14ac:dyDescent="0.25">
      <c r="A1775" s="29" t="s">
        <v>1838</v>
      </c>
    </row>
    <row r="1776" spans="1:1" x14ac:dyDescent="0.25">
      <c r="A1776" s="29" t="s">
        <v>1839</v>
      </c>
    </row>
    <row r="1777" spans="1:1" x14ac:dyDescent="0.25">
      <c r="A1777" s="29" t="s">
        <v>1840</v>
      </c>
    </row>
    <row r="1778" spans="1:1" x14ac:dyDescent="0.25">
      <c r="A1778" s="29" t="s">
        <v>1841</v>
      </c>
    </row>
    <row r="1779" spans="1:1" x14ac:dyDescent="0.25">
      <c r="A1779" s="29" t="s">
        <v>1842</v>
      </c>
    </row>
    <row r="1780" spans="1:1" x14ac:dyDescent="0.25">
      <c r="A1780" s="29" t="s">
        <v>1843</v>
      </c>
    </row>
    <row r="1781" spans="1:1" x14ac:dyDescent="0.25">
      <c r="A1781" s="29" t="s">
        <v>1844</v>
      </c>
    </row>
    <row r="1782" spans="1:1" x14ac:dyDescent="0.25">
      <c r="A1782" s="29" t="s">
        <v>1845</v>
      </c>
    </row>
    <row r="1783" spans="1:1" x14ac:dyDescent="0.25">
      <c r="A1783" s="29" t="s">
        <v>1846</v>
      </c>
    </row>
    <row r="1784" spans="1:1" x14ac:dyDescent="0.25">
      <c r="A1784" s="29" t="s">
        <v>1847</v>
      </c>
    </row>
    <row r="1785" spans="1:1" x14ac:dyDescent="0.25">
      <c r="A1785" s="29" t="s">
        <v>1848</v>
      </c>
    </row>
    <row r="1786" spans="1:1" x14ac:dyDescent="0.25">
      <c r="A1786" s="29" t="s">
        <v>1849</v>
      </c>
    </row>
    <row r="1787" spans="1:1" x14ac:dyDescent="0.25">
      <c r="A1787" s="29" t="s">
        <v>1850</v>
      </c>
    </row>
    <row r="1788" spans="1:1" x14ac:dyDescent="0.25">
      <c r="A1788" s="29" t="s">
        <v>1851</v>
      </c>
    </row>
    <row r="1789" spans="1:1" x14ac:dyDescent="0.25">
      <c r="A1789" s="29" t="s">
        <v>1852</v>
      </c>
    </row>
    <row r="1790" spans="1:1" x14ac:dyDescent="0.25">
      <c r="A1790" s="29" t="s">
        <v>1853</v>
      </c>
    </row>
    <row r="1791" spans="1:1" x14ac:dyDescent="0.25">
      <c r="A1791" s="29" t="s">
        <v>1854</v>
      </c>
    </row>
    <row r="1792" spans="1:1" x14ac:dyDescent="0.25">
      <c r="A1792" s="29" t="s">
        <v>1855</v>
      </c>
    </row>
    <row r="1793" spans="1:1" x14ac:dyDescent="0.25">
      <c r="A1793" s="29" t="s">
        <v>1856</v>
      </c>
    </row>
    <row r="1794" spans="1:1" x14ac:dyDescent="0.25">
      <c r="A1794" s="29" t="s">
        <v>1857</v>
      </c>
    </row>
    <row r="1795" spans="1:1" x14ac:dyDescent="0.25">
      <c r="A1795" s="29" t="s">
        <v>1858</v>
      </c>
    </row>
    <row r="1796" spans="1:1" x14ac:dyDescent="0.25">
      <c r="A1796" s="29" t="s">
        <v>1859</v>
      </c>
    </row>
    <row r="1797" spans="1:1" x14ac:dyDescent="0.25">
      <c r="A1797" s="29" t="s">
        <v>1860</v>
      </c>
    </row>
    <row r="1798" spans="1:1" x14ac:dyDescent="0.25">
      <c r="A1798" s="29" t="s">
        <v>1861</v>
      </c>
    </row>
    <row r="1799" spans="1:1" x14ac:dyDescent="0.25">
      <c r="A1799" s="29" t="s">
        <v>1862</v>
      </c>
    </row>
    <row r="1800" spans="1:1" x14ac:dyDescent="0.25">
      <c r="A1800" s="29" t="s">
        <v>1863</v>
      </c>
    </row>
    <row r="1801" spans="1:1" ht="30" x14ac:dyDescent="0.25">
      <c r="A1801" s="29" t="s">
        <v>1864</v>
      </c>
    </row>
    <row r="1802" spans="1:1" x14ac:dyDescent="0.25">
      <c r="A1802" s="29" t="s">
        <v>1865</v>
      </c>
    </row>
    <row r="1803" spans="1:1" x14ac:dyDescent="0.25">
      <c r="A1803" s="29" t="s">
        <v>1866</v>
      </c>
    </row>
    <row r="1804" spans="1:1" x14ac:dyDescent="0.25">
      <c r="A1804" s="29" t="s">
        <v>1867</v>
      </c>
    </row>
    <row r="1805" spans="1:1" x14ac:dyDescent="0.25">
      <c r="A1805" s="29" t="s">
        <v>1868</v>
      </c>
    </row>
    <row r="1806" spans="1:1" x14ac:dyDescent="0.25">
      <c r="A1806" s="29" t="s">
        <v>1869</v>
      </c>
    </row>
    <row r="1807" spans="1:1" x14ac:dyDescent="0.25">
      <c r="A1807" s="29" t="s">
        <v>1870</v>
      </c>
    </row>
    <row r="1808" spans="1:1" x14ac:dyDescent="0.25">
      <c r="A1808" s="29" t="s">
        <v>1871</v>
      </c>
    </row>
    <row r="1809" spans="1:1" x14ac:dyDescent="0.25">
      <c r="A1809" s="29" t="s">
        <v>1872</v>
      </c>
    </row>
    <row r="1810" spans="1:1" x14ac:dyDescent="0.25">
      <c r="A1810" s="29" t="s">
        <v>1873</v>
      </c>
    </row>
    <row r="1811" spans="1:1" x14ac:dyDescent="0.25">
      <c r="A1811" s="29" t="s">
        <v>1874</v>
      </c>
    </row>
    <row r="1812" spans="1:1" x14ac:dyDescent="0.25">
      <c r="A1812" s="29" t="s">
        <v>1875</v>
      </c>
    </row>
    <row r="1813" spans="1:1" x14ac:dyDescent="0.25">
      <c r="A1813" s="29" t="s">
        <v>1876</v>
      </c>
    </row>
    <row r="1814" spans="1:1" x14ac:dyDescent="0.25">
      <c r="A1814" s="29" t="s">
        <v>1877</v>
      </c>
    </row>
    <row r="1815" spans="1:1" x14ac:dyDescent="0.25">
      <c r="A1815" s="29" t="s">
        <v>1878</v>
      </c>
    </row>
    <row r="1816" spans="1:1" x14ac:dyDescent="0.25">
      <c r="A1816" s="29" t="s">
        <v>1879</v>
      </c>
    </row>
    <row r="1817" spans="1:1" x14ac:dyDescent="0.25">
      <c r="A1817" s="29" t="s">
        <v>1880</v>
      </c>
    </row>
    <row r="1818" spans="1:1" x14ac:dyDescent="0.25">
      <c r="A1818" s="29" t="s">
        <v>1881</v>
      </c>
    </row>
    <row r="1819" spans="1:1" x14ac:dyDescent="0.25">
      <c r="A1819" s="29" t="s">
        <v>1882</v>
      </c>
    </row>
    <row r="1820" spans="1:1" x14ac:dyDescent="0.25">
      <c r="A1820" s="29" t="s">
        <v>1883</v>
      </c>
    </row>
    <row r="1821" spans="1:1" x14ac:dyDescent="0.25">
      <c r="A1821" s="29" t="s">
        <v>1884</v>
      </c>
    </row>
    <row r="1822" spans="1:1" x14ac:dyDescent="0.25">
      <c r="A1822" s="29" t="s">
        <v>1885</v>
      </c>
    </row>
    <row r="1823" spans="1:1" x14ac:dyDescent="0.25">
      <c r="A1823" s="29" t="s">
        <v>1886</v>
      </c>
    </row>
    <row r="1824" spans="1:1" x14ac:dyDescent="0.25">
      <c r="A1824" s="29" t="s">
        <v>1887</v>
      </c>
    </row>
    <row r="1825" spans="1:1" x14ac:dyDescent="0.25">
      <c r="A1825" s="29" t="s">
        <v>1888</v>
      </c>
    </row>
    <row r="1826" spans="1:1" x14ac:dyDescent="0.25">
      <c r="A1826" s="29" t="s">
        <v>1889</v>
      </c>
    </row>
    <row r="1827" spans="1:1" x14ac:dyDescent="0.25">
      <c r="A1827" s="29" t="s">
        <v>1890</v>
      </c>
    </row>
    <row r="1828" spans="1:1" x14ac:dyDescent="0.25">
      <c r="A1828" s="29" t="s">
        <v>1891</v>
      </c>
    </row>
    <row r="1829" spans="1:1" x14ac:dyDescent="0.25">
      <c r="A1829" s="29" t="s">
        <v>1892</v>
      </c>
    </row>
    <row r="1830" spans="1:1" x14ac:dyDescent="0.25">
      <c r="A1830" s="29" t="s">
        <v>1893</v>
      </c>
    </row>
    <row r="1831" spans="1:1" x14ac:dyDescent="0.25">
      <c r="A1831" s="29" t="s">
        <v>1894</v>
      </c>
    </row>
    <row r="1832" spans="1:1" x14ac:dyDescent="0.25">
      <c r="A1832" s="29" t="s">
        <v>1895</v>
      </c>
    </row>
    <row r="1833" spans="1:1" x14ac:dyDescent="0.25">
      <c r="A1833" s="29" t="s">
        <v>1896</v>
      </c>
    </row>
    <row r="1834" spans="1:1" x14ac:dyDescent="0.25">
      <c r="A1834" s="29" t="s">
        <v>1897</v>
      </c>
    </row>
    <row r="1835" spans="1:1" x14ac:dyDescent="0.25">
      <c r="A1835" s="29" t="s">
        <v>1898</v>
      </c>
    </row>
    <row r="1836" spans="1:1" x14ac:dyDescent="0.25">
      <c r="A1836" s="29" t="s">
        <v>1899</v>
      </c>
    </row>
    <row r="1837" spans="1:1" x14ac:dyDescent="0.25">
      <c r="A1837" s="29" t="s">
        <v>1900</v>
      </c>
    </row>
    <row r="1838" spans="1:1" x14ac:dyDescent="0.25">
      <c r="A1838" s="29" t="s">
        <v>1901</v>
      </c>
    </row>
    <row r="1839" spans="1:1" x14ac:dyDescent="0.25">
      <c r="A1839" s="29" t="s">
        <v>1902</v>
      </c>
    </row>
    <row r="1840" spans="1:1" x14ac:dyDescent="0.25">
      <c r="A1840" s="29" t="s">
        <v>1903</v>
      </c>
    </row>
    <row r="1841" spans="1:1" x14ac:dyDescent="0.25">
      <c r="A1841" s="29" t="s">
        <v>1904</v>
      </c>
    </row>
    <row r="1842" spans="1:1" x14ac:dyDescent="0.25">
      <c r="A1842" s="29" t="s">
        <v>1905</v>
      </c>
    </row>
    <row r="1843" spans="1:1" x14ac:dyDescent="0.25">
      <c r="A1843" s="29" t="s">
        <v>1906</v>
      </c>
    </row>
    <row r="1844" spans="1:1" x14ac:dyDescent="0.25">
      <c r="A1844" s="29" t="s">
        <v>1907</v>
      </c>
    </row>
    <row r="1845" spans="1:1" x14ac:dyDescent="0.25">
      <c r="A1845" s="29" t="s">
        <v>1908</v>
      </c>
    </row>
    <row r="1846" spans="1:1" x14ac:dyDescent="0.25">
      <c r="A1846" s="29" t="s">
        <v>1909</v>
      </c>
    </row>
    <row r="1847" spans="1:1" x14ac:dyDescent="0.25">
      <c r="A1847" s="29" t="s">
        <v>1910</v>
      </c>
    </row>
    <row r="1848" spans="1:1" x14ac:dyDescent="0.25">
      <c r="A1848" s="29" t="s">
        <v>1911</v>
      </c>
    </row>
    <row r="1849" spans="1:1" x14ac:dyDescent="0.25">
      <c r="A1849" s="29" t="s">
        <v>1912</v>
      </c>
    </row>
    <row r="1850" spans="1:1" x14ac:dyDescent="0.25">
      <c r="A1850" s="29" t="s">
        <v>1913</v>
      </c>
    </row>
    <row r="1851" spans="1:1" x14ac:dyDescent="0.25">
      <c r="A1851" s="29" t="s">
        <v>1914</v>
      </c>
    </row>
    <row r="1852" spans="1:1" x14ac:dyDescent="0.25">
      <c r="A1852" s="29" t="s">
        <v>1915</v>
      </c>
    </row>
    <row r="1853" spans="1:1" x14ac:dyDescent="0.25">
      <c r="A1853" s="29" t="s">
        <v>1916</v>
      </c>
    </row>
    <row r="1854" spans="1:1" x14ac:dyDescent="0.25">
      <c r="A1854" s="29" t="s">
        <v>1917</v>
      </c>
    </row>
    <row r="1855" spans="1:1" x14ac:dyDescent="0.25">
      <c r="A1855" s="29" t="s">
        <v>1918</v>
      </c>
    </row>
    <row r="1856" spans="1:1" x14ac:dyDescent="0.25">
      <c r="A1856" s="29" t="s">
        <v>1919</v>
      </c>
    </row>
    <row r="1857" spans="1:1" x14ac:dyDescent="0.25">
      <c r="A1857" s="29" t="s">
        <v>1920</v>
      </c>
    </row>
    <row r="1858" spans="1:1" x14ac:dyDescent="0.25">
      <c r="A1858" s="29" t="s">
        <v>1921</v>
      </c>
    </row>
    <row r="1859" spans="1:1" x14ac:dyDescent="0.25">
      <c r="A1859" s="29" t="s">
        <v>1922</v>
      </c>
    </row>
    <row r="1860" spans="1:1" x14ac:dyDescent="0.25">
      <c r="A1860" s="29" t="s">
        <v>1923</v>
      </c>
    </row>
    <row r="1861" spans="1:1" x14ac:dyDescent="0.25">
      <c r="A1861" s="29" t="s">
        <v>1924</v>
      </c>
    </row>
    <row r="1862" spans="1:1" x14ac:dyDescent="0.25">
      <c r="A1862" s="29" t="s">
        <v>1925</v>
      </c>
    </row>
    <row r="1863" spans="1:1" x14ac:dyDescent="0.25">
      <c r="A1863" s="29" t="s">
        <v>1926</v>
      </c>
    </row>
    <row r="1864" spans="1:1" x14ac:dyDescent="0.25">
      <c r="A1864" s="29" t="s">
        <v>1927</v>
      </c>
    </row>
    <row r="1865" spans="1:1" x14ac:dyDescent="0.25">
      <c r="A1865" s="29" t="s">
        <v>1928</v>
      </c>
    </row>
    <row r="1866" spans="1:1" x14ac:dyDescent="0.25">
      <c r="A1866" s="29" t="s">
        <v>1929</v>
      </c>
    </row>
    <row r="1867" spans="1:1" x14ac:dyDescent="0.25">
      <c r="A1867" s="29" t="s">
        <v>1930</v>
      </c>
    </row>
    <row r="1868" spans="1:1" x14ac:dyDescent="0.25">
      <c r="A1868" s="29" t="s">
        <v>1931</v>
      </c>
    </row>
    <row r="1869" spans="1:1" x14ac:dyDescent="0.25">
      <c r="A1869" s="29" t="s">
        <v>1932</v>
      </c>
    </row>
    <row r="1870" spans="1:1" x14ac:dyDescent="0.25">
      <c r="A1870" s="29" t="s">
        <v>1933</v>
      </c>
    </row>
    <row r="1871" spans="1:1" x14ac:dyDescent="0.25">
      <c r="A1871" s="29" t="s">
        <v>1934</v>
      </c>
    </row>
    <row r="1872" spans="1:1" x14ac:dyDescent="0.25">
      <c r="A1872" s="29" t="s">
        <v>1935</v>
      </c>
    </row>
    <row r="1873" spans="1:1" x14ac:dyDescent="0.25">
      <c r="A1873" s="29" t="s">
        <v>1936</v>
      </c>
    </row>
    <row r="1874" spans="1:1" ht="30" x14ac:dyDescent="0.25">
      <c r="A1874" s="29" t="s">
        <v>1937</v>
      </c>
    </row>
    <row r="1875" spans="1:1" x14ac:dyDescent="0.25">
      <c r="A1875" s="29" t="s">
        <v>1938</v>
      </c>
    </row>
    <row r="1876" spans="1:1" x14ac:dyDescent="0.25">
      <c r="A1876" s="29" t="s">
        <v>1939</v>
      </c>
    </row>
    <row r="1877" spans="1:1" x14ac:dyDescent="0.25">
      <c r="A1877" s="29" t="s">
        <v>1940</v>
      </c>
    </row>
    <row r="1878" spans="1:1" x14ac:dyDescent="0.25">
      <c r="A1878" s="29" t="s">
        <v>1941</v>
      </c>
    </row>
    <row r="1879" spans="1:1" ht="30" x14ac:dyDescent="0.25">
      <c r="A1879" s="29" t="s">
        <v>1942</v>
      </c>
    </row>
    <row r="1880" spans="1:1" x14ac:dyDescent="0.25">
      <c r="A1880" s="29" t="s">
        <v>1943</v>
      </c>
    </row>
    <row r="1881" spans="1:1" ht="30" x14ac:dyDescent="0.25">
      <c r="A1881" s="29" t="s">
        <v>1944</v>
      </c>
    </row>
    <row r="1882" spans="1:1" x14ac:dyDescent="0.25">
      <c r="A1882" s="29" t="s">
        <v>1945</v>
      </c>
    </row>
    <row r="1883" spans="1:1" ht="30" x14ac:dyDescent="0.25">
      <c r="A1883" s="29" t="s">
        <v>1946</v>
      </c>
    </row>
    <row r="1884" spans="1:1" x14ac:dyDescent="0.25">
      <c r="A1884" s="29" t="s">
        <v>1947</v>
      </c>
    </row>
    <row r="1885" spans="1:1" x14ac:dyDescent="0.25">
      <c r="A1885" s="29" t="s">
        <v>1948</v>
      </c>
    </row>
    <row r="1886" spans="1:1" x14ac:dyDescent="0.25">
      <c r="A1886" s="29" t="s">
        <v>1949</v>
      </c>
    </row>
    <row r="1887" spans="1:1" x14ac:dyDescent="0.25">
      <c r="A1887" s="29" t="s">
        <v>1950</v>
      </c>
    </row>
    <row r="1888" spans="1:1" x14ac:dyDescent="0.25">
      <c r="A1888" s="29" t="s">
        <v>1951</v>
      </c>
    </row>
    <row r="1889" spans="1:1" x14ac:dyDescent="0.25">
      <c r="A1889" s="29" t="s">
        <v>1952</v>
      </c>
    </row>
    <row r="1890" spans="1:1" x14ac:dyDescent="0.25">
      <c r="A1890" s="29" t="s">
        <v>1953</v>
      </c>
    </row>
    <row r="1891" spans="1:1" x14ac:dyDescent="0.25">
      <c r="A1891" s="29" t="s">
        <v>1954</v>
      </c>
    </row>
    <row r="1892" spans="1:1" x14ac:dyDescent="0.25">
      <c r="A1892" s="29" t="s">
        <v>1955</v>
      </c>
    </row>
    <row r="1893" spans="1:1" x14ac:dyDescent="0.25">
      <c r="A1893" s="29" t="s">
        <v>1956</v>
      </c>
    </row>
    <row r="1894" spans="1:1" x14ac:dyDescent="0.25">
      <c r="A1894" s="29" t="s">
        <v>1957</v>
      </c>
    </row>
    <row r="1895" spans="1:1" x14ac:dyDescent="0.25">
      <c r="A1895" s="29" t="s">
        <v>1958</v>
      </c>
    </row>
    <row r="1896" spans="1:1" x14ac:dyDescent="0.25">
      <c r="A1896" s="29" t="s">
        <v>1959</v>
      </c>
    </row>
    <row r="1897" spans="1:1" x14ac:dyDescent="0.25">
      <c r="A1897" s="29" t="s">
        <v>1960</v>
      </c>
    </row>
    <row r="1898" spans="1:1" x14ac:dyDescent="0.25">
      <c r="A1898" s="29" t="s">
        <v>1961</v>
      </c>
    </row>
    <row r="1899" spans="1:1" x14ac:dyDescent="0.25">
      <c r="A1899" s="29" t="s">
        <v>1962</v>
      </c>
    </row>
    <row r="1900" spans="1:1" x14ac:dyDescent="0.25">
      <c r="A1900" s="29" t="s">
        <v>1963</v>
      </c>
    </row>
    <row r="1901" spans="1:1" x14ac:dyDescent="0.25">
      <c r="A1901" s="29" t="s">
        <v>1964</v>
      </c>
    </row>
    <row r="1902" spans="1:1" x14ac:dyDescent="0.25">
      <c r="A1902" s="29" t="s">
        <v>1965</v>
      </c>
    </row>
    <row r="1903" spans="1:1" x14ac:dyDescent="0.25">
      <c r="A1903" s="29" t="s">
        <v>1966</v>
      </c>
    </row>
    <row r="1904" spans="1:1" x14ac:dyDescent="0.25">
      <c r="A1904" s="29" t="s">
        <v>1967</v>
      </c>
    </row>
    <row r="1905" spans="1:1" x14ac:dyDescent="0.25">
      <c r="A1905" s="29" t="s">
        <v>1968</v>
      </c>
    </row>
    <row r="1906" spans="1:1" x14ac:dyDescent="0.25">
      <c r="A1906" s="29" t="s">
        <v>1969</v>
      </c>
    </row>
    <row r="1907" spans="1:1" x14ac:dyDescent="0.25">
      <c r="A1907" s="29" t="s">
        <v>1970</v>
      </c>
    </row>
    <row r="1908" spans="1:1" x14ac:dyDescent="0.25">
      <c r="A1908" s="29" t="s">
        <v>1971</v>
      </c>
    </row>
    <row r="1909" spans="1:1" x14ac:dyDescent="0.25">
      <c r="A1909" s="29" t="s">
        <v>1972</v>
      </c>
    </row>
    <row r="1910" spans="1:1" x14ac:dyDescent="0.25">
      <c r="A1910" s="29" t="s">
        <v>1973</v>
      </c>
    </row>
    <row r="1911" spans="1:1" x14ac:dyDescent="0.25">
      <c r="A1911" s="29" t="s">
        <v>1974</v>
      </c>
    </row>
    <row r="1912" spans="1:1" x14ac:dyDescent="0.25">
      <c r="A1912" s="29" t="s">
        <v>1975</v>
      </c>
    </row>
    <row r="1913" spans="1:1" x14ac:dyDescent="0.25">
      <c r="A1913" s="29" t="s">
        <v>1976</v>
      </c>
    </row>
    <row r="1914" spans="1:1" x14ac:dyDescent="0.25">
      <c r="A1914" s="29" t="s">
        <v>1977</v>
      </c>
    </row>
    <row r="1915" spans="1:1" x14ac:dyDescent="0.25">
      <c r="A1915" s="29" t="s">
        <v>1978</v>
      </c>
    </row>
    <row r="1916" spans="1:1" x14ac:dyDescent="0.25">
      <c r="A1916" s="29" t="s">
        <v>1979</v>
      </c>
    </row>
    <row r="1917" spans="1:1" x14ac:dyDescent="0.25">
      <c r="A1917" s="29" t="s">
        <v>1980</v>
      </c>
    </row>
    <row r="1918" spans="1:1" x14ac:dyDescent="0.25">
      <c r="A1918" s="29" t="s">
        <v>1981</v>
      </c>
    </row>
    <row r="1919" spans="1:1" x14ac:dyDescent="0.25">
      <c r="A1919" s="29" t="s">
        <v>1982</v>
      </c>
    </row>
    <row r="1920" spans="1:1" x14ac:dyDescent="0.25">
      <c r="A1920" s="29" t="s">
        <v>1983</v>
      </c>
    </row>
    <row r="1921" spans="1:1" x14ac:dyDescent="0.25">
      <c r="A1921" s="29" t="s">
        <v>1984</v>
      </c>
    </row>
    <row r="1922" spans="1:1" x14ac:dyDescent="0.25">
      <c r="A1922" s="29" t="s">
        <v>1985</v>
      </c>
    </row>
    <row r="1923" spans="1:1" x14ac:dyDescent="0.25">
      <c r="A1923" s="29" t="s">
        <v>1986</v>
      </c>
    </row>
    <row r="1924" spans="1:1" x14ac:dyDescent="0.25">
      <c r="A1924" s="29" t="s">
        <v>1987</v>
      </c>
    </row>
    <row r="1925" spans="1:1" x14ac:dyDescent="0.25">
      <c r="A1925" s="29" t="s">
        <v>1988</v>
      </c>
    </row>
    <row r="1926" spans="1:1" x14ac:dyDescent="0.25">
      <c r="A1926" s="29" t="s">
        <v>1989</v>
      </c>
    </row>
    <row r="1927" spans="1:1" x14ac:dyDescent="0.25">
      <c r="A1927" s="29" t="s">
        <v>1990</v>
      </c>
    </row>
    <row r="1928" spans="1:1" x14ac:dyDescent="0.25">
      <c r="A1928" s="29" t="s">
        <v>1991</v>
      </c>
    </row>
    <row r="1929" spans="1:1" x14ac:dyDescent="0.25">
      <c r="A1929" s="29" t="s">
        <v>1992</v>
      </c>
    </row>
    <row r="1930" spans="1:1" x14ac:dyDescent="0.25">
      <c r="A1930" s="29" t="s">
        <v>1993</v>
      </c>
    </row>
    <row r="1931" spans="1:1" x14ac:dyDescent="0.25">
      <c r="A1931" s="29" t="s">
        <v>1994</v>
      </c>
    </row>
    <row r="1932" spans="1:1" x14ac:dyDescent="0.25">
      <c r="A1932" s="29" t="s">
        <v>1995</v>
      </c>
    </row>
    <row r="1933" spans="1:1" x14ac:dyDescent="0.25">
      <c r="A1933" s="29" t="s">
        <v>1996</v>
      </c>
    </row>
    <row r="1934" spans="1:1" x14ac:dyDescent="0.25">
      <c r="A1934" s="29" t="s">
        <v>1997</v>
      </c>
    </row>
    <row r="1935" spans="1:1" x14ac:dyDescent="0.25">
      <c r="A1935" s="29" t="s">
        <v>1998</v>
      </c>
    </row>
    <row r="1936" spans="1:1" x14ac:dyDescent="0.25">
      <c r="A1936" s="29" t="s">
        <v>1999</v>
      </c>
    </row>
    <row r="1937" spans="1:1" ht="30" x14ac:dyDescent="0.25">
      <c r="A1937" s="29" t="s">
        <v>2000</v>
      </c>
    </row>
    <row r="1938" spans="1:1" x14ac:dyDescent="0.25">
      <c r="A1938" s="29" t="s">
        <v>2001</v>
      </c>
    </row>
    <row r="1939" spans="1:1" x14ac:dyDescent="0.25">
      <c r="A1939" s="29" t="s">
        <v>2002</v>
      </c>
    </row>
    <row r="1940" spans="1:1" x14ac:dyDescent="0.25">
      <c r="A1940" s="29" t="s">
        <v>2003</v>
      </c>
    </row>
    <row r="1941" spans="1:1" x14ac:dyDescent="0.25">
      <c r="A1941" s="29" t="s">
        <v>2004</v>
      </c>
    </row>
    <row r="1942" spans="1:1" x14ac:dyDescent="0.25">
      <c r="A1942" s="29" t="s">
        <v>2005</v>
      </c>
    </row>
    <row r="1943" spans="1:1" x14ac:dyDescent="0.25">
      <c r="A1943" s="29" t="s">
        <v>2006</v>
      </c>
    </row>
    <row r="1944" spans="1:1" x14ac:dyDescent="0.25">
      <c r="A1944" s="29" t="s">
        <v>2007</v>
      </c>
    </row>
    <row r="1945" spans="1:1" x14ac:dyDescent="0.25">
      <c r="A1945" s="29" t="s">
        <v>2008</v>
      </c>
    </row>
    <row r="1946" spans="1:1" x14ac:dyDescent="0.25">
      <c r="A1946" s="29" t="s">
        <v>2009</v>
      </c>
    </row>
    <row r="1947" spans="1:1" ht="30" x14ac:dyDescent="0.25">
      <c r="A1947" s="29" t="s">
        <v>2010</v>
      </c>
    </row>
    <row r="1948" spans="1:1" x14ac:dyDescent="0.25">
      <c r="A1948" s="29" t="s">
        <v>2011</v>
      </c>
    </row>
    <row r="1949" spans="1:1" x14ac:dyDescent="0.25">
      <c r="A1949" s="29" t="s">
        <v>2012</v>
      </c>
    </row>
    <row r="1950" spans="1:1" x14ac:dyDescent="0.25">
      <c r="A1950" s="29" t="s">
        <v>2013</v>
      </c>
    </row>
    <row r="1951" spans="1:1" x14ac:dyDescent="0.25">
      <c r="A1951" s="29" t="s">
        <v>2014</v>
      </c>
    </row>
    <row r="1952" spans="1:1" x14ac:dyDescent="0.25">
      <c r="A1952" s="29" t="s">
        <v>2015</v>
      </c>
    </row>
    <row r="1953" spans="1:1" x14ac:dyDescent="0.25">
      <c r="A1953" s="29" t="s">
        <v>2016</v>
      </c>
    </row>
    <row r="1954" spans="1:1" x14ac:dyDescent="0.25">
      <c r="A1954" s="29" t="s">
        <v>2017</v>
      </c>
    </row>
    <row r="1955" spans="1:1" x14ac:dyDescent="0.25">
      <c r="A1955" s="29" t="s">
        <v>2018</v>
      </c>
    </row>
    <row r="1956" spans="1:1" x14ac:dyDescent="0.25">
      <c r="A1956" s="29" t="s">
        <v>2019</v>
      </c>
    </row>
    <row r="1957" spans="1:1" x14ac:dyDescent="0.25">
      <c r="A1957" s="29" t="s">
        <v>2020</v>
      </c>
    </row>
    <row r="1958" spans="1:1" x14ac:dyDescent="0.25">
      <c r="A1958" s="29" t="s">
        <v>2021</v>
      </c>
    </row>
    <row r="1959" spans="1:1" x14ac:dyDescent="0.25">
      <c r="A1959" s="29" t="s">
        <v>2022</v>
      </c>
    </row>
    <row r="1960" spans="1:1" x14ac:dyDescent="0.25">
      <c r="A1960" s="29" t="s">
        <v>2023</v>
      </c>
    </row>
    <row r="1961" spans="1:1" x14ac:dyDescent="0.25">
      <c r="A1961" s="29" t="s">
        <v>2024</v>
      </c>
    </row>
    <row r="1962" spans="1:1" x14ac:dyDescent="0.25">
      <c r="A1962" s="29" t="s">
        <v>2025</v>
      </c>
    </row>
    <row r="1963" spans="1:1" x14ac:dyDescent="0.25">
      <c r="A1963" s="29" t="s">
        <v>2026</v>
      </c>
    </row>
    <row r="1964" spans="1:1" x14ac:dyDescent="0.25">
      <c r="A1964" s="29" t="s">
        <v>2027</v>
      </c>
    </row>
    <row r="1965" spans="1:1" x14ac:dyDescent="0.25">
      <c r="A1965" s="29" t="s">
        <v>2028</v>
      </c>
    </row>
    <row r="1966" spans="1:1" x14ac:dyDescent="0.25">
      <c r="A1966" s="29" t="s">
        <v>2029</v>
      </c>
    </row>
    <row r="1967" spans="1:1" x14ac:dyDescent="0.25">
      <c r="A1967" s="29" t="s">
        <v>2030</v>
      </c>
    </row>
    <row r="1968" spans="1:1" x14ac:dyDescent="0.25">
      <c r="A1968" s="29" t="s">
        <v>2031</v>
      </c>
    </row>
    <row r="1969" spans="1:1" ht="30" x14ac:dyDescent="0.25">
      <c r="A1969" s="29" t="s">
        <v>2032</v>
      </c>
    </row>
    <row r="1970" spans="1:1" ht="30" x14ac:dyDescent="0.25">
      <c r="A1970" s="29" t="s">
        <v>2033</v>
      </c>
    </row>
    <row r="1971" spans="1:1" ht="30" x14ac:dyDescent="0.25">
      <c r="A1971" s="29" t="s">
        <v>2034</v>
      </c>
    </row>
    <row r="1972" spans="1:1" ht="30" x14ac:dyDescent="0.25">
      <c r="A1972" s="29" t="s">
        <v>2035</v>
      </c>
    </row>
    <row r="1973" spans="1:1" x14ac:dyDescent="0.25">
      <c r="A1973" s="29" t="s">
        <v>2036</v>
      </c>
    </row>
    <row r="1974" spans="1:1" x14ac:dyDescent="0.25">
      <c r="A1974" s="29" t="s">
        <v>2037</v>
      </c>
    </row>
    <row r="1975" spans="1:1" x14ac:dyDescent="0.25">
      <c r="A1975" s="29" t="s">
        <v>2038</v>
      </c>
    </row>
    <row r="1976" spans="1:1" x14ac:dyDescent="0.25">
      <c r="A1976" s="29" t="s">
        <v>2039</v>
      </c>
    </row>
    <row r="1977" spans="1:1" x14ac:dyDescent="0.25">
      <c r="A1977" s="29" t="s">
        <v>2040</v>
      </c>
    </row>
    <row r="1978" spans="1:1" ht="30" x14ac:dyDescent="0.25">
      <c r="A1978" s="29" t="s">
        <v>2041</v>
      </c>
    </row>
    <row r="1979" spans="1:1" ht="30" x14ac:dyDescent="0.25">
      <c r="A1979" s="29" t="s">
        <v>2042</v>
      </c>
    </row>
    <row r="1980" spans="1:1" ht="30" x14ac:dyDescent="0.25">
      <c r="A1980" s="29" t="s">
        <v>2043</v>
      </c>
    </row>
    <row r="1981" spans="1:1" x14ac:dyDescent="0.25">
      <c r="A1981" s="29" t="s">
        <v>2044</v>
      </c>
    </row>
    <row r="1982" spans="1:1" x14ac:dyDescent="0.25">
      <c r="A1982" s="29" t="s">
        <v>2045</v>
      </c>
    </row>
    <row r="1983" spans="1:1" x14ac:dyDescent="0.25">
      <c r="A1983" s="29" t="s">
        <v>2046</v>
      </c>
    </row>
    <row r="1984" spans="1:1" x14ac:dyDescent="0.25">
      <c r="A1984" s="29" t="s">
        <v>2047</v>
      </c>
    </row>
    <row r="1985" spans="1:1" x14ac:dyDescent="0.25">
      <c r="A1985" s="29" t="s">
        <v>2048</v>
      </c>
    </row>
    <row r="1986" spans="1:1" ht="30" x14ac:dyDescent="0.25">
      <c r="A1986" s="29" t="s">
        <v>2049</v>
      </c>
    </row>
    <row r="1987" spans="1:1" x14ac:dyDescent="0.25">
      <c r="A1987" s="29" t="s">
        <v>2050</v>
      </c>
    </row>
    <row r="1988" spans="1:1" x14ac:dyDescent="0.25">
      <c r="A1988" s="29" t="s">
        <v>2051</v>
      </c>
    </row>
    <row r="1989" spans="1:1" ht="30" x14ac:dyDescent="0.25">
      <c r="A1989" s="29" t="s">
        <v>2052</v>
      </c>
    </row>
    <row r="1990" spans="1:1" x14ac:dyDescent="0.25">
      <c r="A1990" s="29" t="s">
        <v>2053</v>
      </c>
    </row>
    <row r="1991" spans="1:1" ht="30" x14ac:dyDescent="0.25">
      <c r="A1991" s="29" t="s">
        <v>2054</v>
      </c>
    </row>
    <row r="1992" spans="1:1" x14ac:dyDescent="0.25">
      <c r="A1992" s="29" t="s">
        <v>2055</v>
      </c>
    </row>
    <row r="1993" spans="1:1" x14ac:dyDescent="0.25">
      <c r="A1993" s="29" t="s">
        <v>2056</v>
      </c>
    </row>
    <row r="1994" spans="1:1" x14ac:dyDescent="0.25">
      <c r="A1994" s="29" t="s">
        <v>2057</v>
      </c>
    </row>
    <row r="1995" spans="1:1" x14ac:dyDescent="0.25">
      <c r="A1995" s="29" t="s">
        <v>2058</v>
      </c>
    </row>
    <row r="1996" spans="1:1" x14ac:dyDescent="0.25">
      <c r="A1996" s="29" t="s">
        <v>2059</v>
      </c>
    </row>
    <row r="1997" spans="1:1" ht="30" x14ac:dyDescent="0.25">
      <c r="A1997" s="29" t="s">
        <v>2060</v>
      </c>
    </row>
    <row r="1998" spans="1:1" x14ac:dyDescent="0.25">
      <c r="A1998" s="29" t="s">
        <v>2061</v>
      </c>
    </row>
    <row r="1999" spans="1:1" x14ac:dyDescent="0.25">
      <c r="A1999" s="29" t="s">
        <v>2062</v>
      </c>
    </row>
    <row r="2000" spans="1:1" x14ac:dyDescent="0.25">
      <c r="A2000" s="29" t="s">
        <v>2063</v>
      </c>
    </row>
    <row r="2001" spans="1:1" x14ac:dyDescent="0.25">
      <c r="A2001" s="29" t="s">
        <v>2064</v>
      </c>
    </row>
    <row r="2002" spans="1:1" x14ac:dyDescent="0.25">
      <c r="A2002" s="29" t="s">
        <v>2065</v>
      </c>
    </row>
    <row r="2003" spans="1:1" x14ac:dyDescent="0.25">
      <c r="A2003" s="29" t="s">
        <v>2066</v>
      </c>
    </row>
    <row r="2004" spans="1:1" x14ac:dyDescent="0.25">
      <c r="A2004" s="29" t="s">
        <v>2067</v>
      </c>
    </row>
    <row r="2005" spans="1:1" x14ac:dyDescent="0.25">
      <c r="A2005" s="29" t="s">
        <v>2068</v>
      </c>
    </row>
    <row r="2006" spans="1:1" x14ac:dyDescent="0.25">
      <c r="A2006" s="29" t="s">
        <v>2069</v>
      </c>
    </row>
    <row r="2007" spans="1:1" x14ac:dyDescent="0.25">
      <c r="A2007" s="29" t="s">
        <v>2070</v>
      </c>
    </row>
    <row r="2008" spans="1:1" x14ac:dyDescent="0.25">
      <c r="A2008" s="29" t="s">
        <v>2071</v>
      </c>
    </row>
    <row r="2009" spans="1:1" x14ac:dyDescent="0.25">
      <c r="A2009" s="29" t="s">
        <v>2072</v>
      </c>
    </row>
    <row r="2010" spans="1:1" x14ac:dyDescent="0.25">
      <c r="A2010" s="29" t="s">
        <v>2073</v>
      </c>
    </row>
    <row r="2011" spans="1:1" ht="30" x14ac:dyDescent="0.25">
      <c r="A2011" s="29" t="s">
        <v>2074</v>
      </c>
    </row>
    <row r="2012" spans="1:1" x14ac:dyDescent="0.25">
      <c r="A2012" s="29" t="s">
        <v>2075</v>
      </c>
    </row>
    <row r="2013" spans="1:1" x14ac:dyDescent="0.25">
      <c r="A2013" s="29" t="s">
        <v>2076</v>
      </c>
    </row>
    <row r="2014" spans="1:1" x14ac:dyDescent="0.25">
      <c r="A2014" s="29" t="s">
        <v>2077</v>
      </c>
    </row>
    <row r="2015" spans="1:1" ht="30" x14ac:dyDescent="0.25">
      <c r="A2015" s="29" t="s">
        <v>2078</v>
      </c>
    </row>
    <row r="2016" spans="1:1" ht="30" x14ac:dyDescent="0.25">
      <c r="A2016" s="29" t="s">
        <v>2079</v>
      </c>
    </row>
    <row r="2017" spans="1:1" x14ac:dyDescent="0.25">
      <c r="A2017" s="29" t="s">
        <v>2080</v>
      </c>
    </row>
    <row r="2018" spans="1:1" ht="30" x14ac:dyDescent="0.25">
      <c r="A2018" s="29" t="s">
        <v>2081</v>
      </c>
    </row>
    <row r="2019" spans="1:1" x14ac:dyDescent="0.25">
      <c r="A2019" s="29" t="s">
        <v>2082</v>
      </c>
    </row>
    <row r="2020" spans="1:1" x14ac:dyDescent="0.25">
      <c r="A2020" s="29" t="s">
        <v>2083</v>
      </c>
    </row>
    <row r="2021" spans="1:1" x14ac:dyDescent="0.25">
      <c r="A2021" s="29" t="s">
        <v>2084</v>
      </c>
    </row>
    <row r="2022" spans="1:1" x14ac:dyDescent="0.25">
      <c r="A2022" s="29" t="s">
        <v>2085</v>
      </c>
    </row>
    <row r="2023" spans="1:1" x14ac:dyDescent="0.25">
      <c r="A2023" s="29" t="s">
        <v>2086</v>
      </c>
    </row>
    <row r="2024" spans="1:1" x14ac:dyDescent="0.25">
      <c r="A2024" s="29" t="s">
        <v>2087</v>
      </c>
    </row>
    <row r="2025" spans="1:1" x14ac:dyDescent="0.25">
      <c r="A2025" s="29" t="s">
        <v>2088</v>
      </c>
    </row>
    <row r="2026" spans="1:1" x14ac:dyDescent="0.25">
      <c r="A2026" s="29" t="s">
        <v>2089</v>
      </c>
    </row>
    <row r="2027" spans="1:1" x14ac:dyDescent="0.25">
      <c r="A2027" s="29" t="s">
        <v>2090</v>
      </c>
    </row>
    <row r="2028" spans="1:1" x14ac:dyDescent="0.25">
      <c r="A2028" s="29" t="s">
        <v>2091</v>
      </c>
    </row>
    <row r="2029" spans="1:1" x14ac:dyDescent="0.25">
      <c r="A2029" s="29" t="s">
        <v>2092</v>
      </c>
    </row>
    <row r="2030" spans="1:1" x14ac:dyDescent="0.25">
      <c r="A2030" s="29" t="s">
        <v>2093</v>
      </c>
    </row>
    <row r="2031" spans="1:1" x14ac:dyDescent="0.25">
      <c r="A2031" s="29" t="s">
        <v>2094</v>
      </c>
    </row>
    <row r="2032" spans="1:1" x14ac:dyDescent="0.25">
      <c r="A2032" s="29" t="s">
        <v>2095</v>
      </c>
    </row>
    <row r="2033" spans="1:1" x14ac:dyDescent="0.25">
      <c r="A2033" s="29" t="s">
        <v>2096</v>
      </c>
    </row>
    <row r="2034" spans="1:1" x14ac:dyDescent="0.25">
      <c r="A2034" s="29" t="s">
        <v>2097</v>
      </c>
    </row>
    <row r="2035" spans="1:1" x14ac:dyDescent="0.25">
      <c r="A2035" s="29" t="s">
        <v>2098</v>
      </c>
    </row>
    <row r="2036" spans="1:1" x14ac:dyDescent="0.25">
      <c r="A2036" s="29" t="s">
        <v>2099</v>
      </c>
    </row>
    <row r="2037" spans="1:1" x14ac:dyDescent="0.25">
      <c r="A2037" s="29" t="s">
        <v>2100</v>
      </c>
    </row>
    <row r="2038" spans="1:1" x14ac:dyDescent="0.25">
      <c r="A2038" s="29" t="s">
        <v>2101</v>
      </c>
    </row>
    <row r="2039" spans="1:1" x14ac:dyDescent="0.25">
      <c r="A2039" s="29" t="s">
        <v>2102</v>
      </c>
    </row>
    <row r="2040" spans="1:1" x14ac:dyDescent="0.25">
      <c r="A2040" s="29" t="s">
        <v>2103</v>
      </c>
    </row>
    <row r="2041" spans="1:1" x14ac:dyDescent="0.25">
      <c r="A2041" s="29" t="s">
        <v>2104</v>
      </c>
    </row>
    <row r="2042" spans="1:1" x14ac:dyDescent="0.25">
      <c r="A2042" s="29" t="s">
        <v>2105</v>
      </c>
    </row>
    <row r="2043" spans="1:1" x14ac:dyDescent="0.25">
      <c r="A2043" s="29" t="s">
        <v>2106</v>
      </c>
    </row>
    <row r="2044" spans="1:1" x14ac:dyDescent="0.25">
      <c r="A2044" s="29" t="s">
        <v>2107</v>
      </c>
    </row>
    <row r="2045" spans="1:1" x14ac:dyDescent="0.25">
      <c r="A2045" s="29" t="s">
        <v>2108</v>
      </c>
    </row>
    <row r="2046" spans="1:1" x14ac:dyDescent="0.25">
      <c r="A2046" s="29" t="s">
        <v>2109</v>
      </c>
    </row>
    <row r="2047" spans="1:1" x14ac:dyDescent="0.25">
      <c r="A2047" s="29" t="s">
        <v>2110</v>
      </c>
    </row>
    <row r="2048" spans="1:1" x14ac:dyDescent="0.25">
      <c r="A2048" s="29" t="s">
        <v>2111</v>
      </c>
    </row>
    <row r="2049" spans="1:1" x14ac:dyDescent="0.25">
      <c r="A2049" s="29" t="s">
        <v>2112</v>
      </c>
    </row>
    <row r="2050" spans="1:1" x14ac:dyDescent="0.25">
      <c r="A2050" s="29" t="s">
        <v>2113</v>
      </c>
    </row>
    <row r="2051" spans="1:1" x14ac:dyDescent="0.25">
      <c r="A2051" s="29" t="s">
        <v>2114</v>
      </c>
    </row>
    <row r="2052" spans="1:1" x14ac:dyDescent="0.25">
      <c r="A2052" s="29" t="s">
        <v>2115</v>
      </c>
    </row>
    <row r="2053" spans="1:1" x14ac:dyDescent="0.25">
      <c r="A2053" s="29" t="s">
        <v>2116</v>
      </c>
    </row>
    <row r="2054" spans="1:1" x14ac:dyDescent="0.25">
      <c r="A2054" s="29" t="s">
        <v>2117</v>
      </c>
    </row>
    <row r="2055" spans="1:1" x14ac:dyDescent="0.25">
      <c r="A2055" s="29" t="s">
        <v>2118</v>
      </c>
    </row>
    <row r="2056" spans="1:1" x14ac:dyDescent="0.25">
      <c r="A2056" s="29" t="s">
        <v>2119</v>
      </c>
    </row>
    <row r="2057" spans="1:1" x14ac:dyDescent="0.25">
      <c r="A2057" s="29" t="s">
        <v>2120</v>
      </c>
    </row>
    <row r="2058" spans="1:1" x14ac:dyDescent="0.25">
      <c r="A2058" s="29" t="s">
        <v>2121</v>
      </c>
    </row>
    <row r="2059" spans="1:1" x14ac:dyDescent="0.25">
      <c r="A2059" s="29" t="s">
        <v>2122</v>
      </c>
    </row>
    <row r="2060" spans="1:1" x14ac:dyDescent="0.25">
      <c r="A2060" s="29" t="s">
        <v>2123</v>
      </c>
    </row>
    <row r="2061" spans="1:1" x14ac:dyDescent="0.25">
      <c r="A2061" s="29" t="s">
        <v>2124</v>
      </c>
    </row>
    <row r="2062" spans="1:1" x14ac:dyDescent="0.25">
      <c r="A2062" s="29" t="s">
        <v>2125</v>
      </c>
    </row>
    <row r="2063" spans="1:1" x14ac:dyDescent="0.25">
      <c r="A2063" s="29" t="s">
        <v>2126</v>
      </c>
    </row>
    <row r="2064" spans="1:1" x14ac:dyDescent="0.25">
      <c r="A2064" s="29" t="s">
        <v>2127</v>
      </c>
    </row>
    <row r="2065" spans="1:1" x14ac:dyDescent="0.25">
      <c r="A2065" s="29" t="s">
        <v>2128</v>
      </c>
    </row>
    <row r="2066" spans="1:1" x14ac:dyDescent="0.25">
      <c r="A2066" s="29" t="s">
        <v>2129</v>
      </c>
    </row>
    <row r="2067" spans="1:1" x14ac:dyDescent="0.25">
      <c r="A2067" s="29" t="s">
        <v>2130</v>
      </c>
    </row>
    <row r="2068" spans="1:1" x14ac:dyDescent="0.25">
      <c r="A2068" s="29" t="s">
        <v>2131</v>
      </c>
    </row>
    <row r="2069" spans="1:1" x14ac:dyDescent="0.25">
      <c r="A2069" s="29" t="s">
        <v>2132</v>
      </c>
    </row>
    <row r="2070" spans="1:1" x14ac:dyDescent="0.25">
      <c r="A2070" s="29" t="s">
        <v>2133</v>
      </c>
    </row>
    <row r="2071" spans="1:1" x14ac:dyDescent="0.25">
      <c r="A2071" s="29" t="s">
        <v>2134</v>
      </c>
    </row>
    <row r="2072" spans="1:1" x14ac:dyDescent="0.25">
      <c r="A2072" s="29" t="s">
        <v>2135</v>
      </c>
    </row>
    <row r="2073" spans="1:1" x14ac:dyDescent="0.25">
      <c r="A2073" s="29" t="s">
        <v>2136</v>
      </c>
    </row>
    <row r="2074" spans="1:1" x14ac:dyDescent="0.25">
      <c r="A2074" s="29" t="s">
        <v>2137</v>
      </c>
    </row>
    <row r="2075" spans="1:1" x14ac:dyDescent="0.25">
      <c r="A2075" s="29" t="s">
        <v>2138</v>
      </c>
    </row>
    <row r="2076" spans="1:1" x14ac:dyDescent="0.25">
      <c r="A2076" s="29" t="s">
        <v>2139</v>
      </c>
    </row>
    <row r="2077" spans="1:1" x14ac:dyDescent="0.25">
      <c r="A2077" s="29" t="s">
        <v>2140</v>
      </c>
    </row>
    <row r="2078" spans="1:1" x14ac:dyDescent="0.25">
      <c r="A2078" s="29" t="s">
        <v>2141</v>
      </c>
    </row>
    <row r="2079" spans="1:1" x14ac:dyDescent="0.25">
      <c r="A2079" s="29" t="s">
        <v>2142</v>
      </c>
    </row>
    <row r="2080" spans="1:1" x14ac:dyDescent="0.25">
      <c r="A2080" s="29" t="s">
        <v>2143</v>
      </c>
    </row>
    <row r="2081" spans="1:1" x14ac:dyDescent="0.25">
      <c r="A2081" s="29" t="s">
        <v>2144</v>
      </c>
    </row>
    <row r="2082" spans="1:1" x14ac:dyDescent="0.25">
      <c r="A2082" s="29" t="s">
        <v>2145</v>
      </c>
    </row>
    <row r="2083" spans="1:1" x14ac:dyDescent="0.25">
      <c r="A2083" s="29" t="s">
        <v>2146</v>
      </c>
    </row>
    <row r="2084" spans="1:1" x14ac:dyDescent="0.25">
      <c r="A2084" s="29" t="s">
        <v>2147</v>
      </c>
    </row>
    <row r="2085" spans="1:1" x14ac:dyDescent="0.25">
      <c r="A2085" s="29" t="s">
        <v>2148</v>
      </c>
    </row>
    <row r="2086" spans="1:1" x14ac:dyDescent="0.25">
      <c r="A2086" s="29" t="s">
        <v>2149</v>
      </c>
    </row>
    <row r="2087" spans="1:1" x14ac:dyDescent="0.25">
      <c r="A2087" s="29" t="s">
        <v>2150</v>
      </c>
    </row>
    <row r="2088" spans="1:1" x14ac:dyDescent="0.25">
      <c r="A2088" s="29" t="s">
        <v>2151</v>
      </c>
    </row>
    <row r="2089" spans="1:1" x14ac:dyDescent="0.25">
      <c r="A2089" s="29" t="s">
        <v>2152</v>
      </c>
    </row>
    <row r="2090" spans="1:1" x14ac:dyDescent="0.25">
      <c r="A2090" s="29" t="s">
        <v>2153</v>
      </c>
    </row>
    <row r="2091" spans="1:1" x14ac:dyDescent="0.25">
      <c r="A2091" s="29" t="s">
        <v>2154</v>
      </c>
    </row>
    <row r="2092" spans="1:1" x14ac:dyDescent="0.25">
      <c r="A2092" s="29" t="s">
        <v>2155</v>
      </c>
    </row>
    <row r="2093" spans="1:1" x14ac:dyDescent="0.25">
      <c r="A2093" s="29" t="s">
        <v>2156</v>
      </c>
    </row>
    <row r="2094" spans="1:1" x14ac:dyDescent="0.25">
      <c r="A2094" s="29" t="s">
        <v>2157</v>
      </c>
    </row>
    <row r="2095" spans="1:1" x14ac:dyDescent="0.25">
      <c r="A2095" s="29" t="s">
        <v>2158</v>
      </c>
    </row>
    <row r="2096" spans="1:1" x14ac:dyDescent="0.25">
      <c r="A2096" s="29" t="s">
        <v>2159</v>
      </c>
    </row>
    <row r="2097" spans="1:1" x14ac:dyDescent="0.25">
      <c r="A2097" s="29" t="s">
        <v>2160</v>
      </c>
    </row>
    <row r="2098" spans="1:1" x14ac:dyDescent="0.25">
      <c r="A2098" s="29" t="s">
        <v>2161</v>
      </c>
    </row>
    <row r="2099" spans="1:1" x14ac:dyDescent="0.25">
      <c r="A2099" s="29" t="s">
        <v>2162</v>
      </c>
    </row>
    <row r="2100" spans="1:1" x14ac:dyDescent="0.25">
      <c r="A2100" s="29" t="s">
        <v>2163</v>
      </c>
    </row>
    <row r="2101" spans="1:1" x14ac:dyDescent="0.25">
      <c r="A2101" s="29" t="s">
        <v>2164</v>
      </c>
    </row>
    <row r="2102" spans="1:1" x14ac:dyDescent="0.25">
      <c r="A2102" s="29" t="s">
        <v>2165</v>
      </c>
    </row>
    <row r="2103" spans="1:1" x14ac:dyDescent="0.25">
      <c r="A2103" s="29" t="s">
        <v>2166</v>
      </c>
    </row>
    <row r="2104" spans="1:1" x14ac:dyDescent="0.25">
      <c r="A2104" s="29" t="s">
        <v>2167</v>
      </c>
    </row>
    <row r="2105" spans="1:1" x14ac:dyDescent="0.25">
      <c r="A2105" s="29" t="s">
        <v>2168</v>
      </c>
    </row>
    <row r="2106" spans="1:1" x14ac:dyDescent="0.25">
      <c r="A2106" s="29" t="s">
        <v>2169</v>
      </c>
    </row>
    <row r="2107" spans="1:1" x14ac:dyDescent="0.25">
      <c r="A2107" s="29" t="s">
        <v>2170</v>
      </c>
    </row>
    <row r="2108" spans="1:1" x14ac:dyDescent="0.25">
      <c r="A2108" s="29" t="s">
        <v>2171</v>
      </c>
    </row>
    <row r="2109" spans="1:1" x14ac:dyDescent="0.25">
      <c r="A2109" s="29" t="s">
        <v>2172</v>
      </c>
    </row>
    <row r="2110" spans="1:1" x14ac:dyDescent="0.25">
      <c r="A2110" s="29" t="s">
        <v>2173</v>
      </c>
    </row>
    <row r="2111" spans="1:1" x14ac:dyDescent="0.25">
      <c r="A2111" s="29" t="s">
        <v>2174</v>
      </c>
    </row>
    <row r="2112" spans="1:1" x14ac:dyDescent="0.25">
      <c r="A2112" s="29" t="s">
        <v>2175</v>
      </c>
    </row>
    <row r="2113" spans="1:1" x14ac:dyDescent="0.25">
      <c r="A2113" s="29" t="s">
        <v>2176</v>
      </c>
    </row>
    <row r="2114" spans="1:1" x14ac:dyDescent="0.25">
      <c r="A2114" s="29" t="s">
        <v>2177</v>
      </c>
    </row>
    <row r="2115" spans="1:1" x14ac:dyDescent="0.25">
      <c r="A2115" s="29" t="s">
        <v>2178</v>
      </c>
    </row>
    <row r="2116" spans="1:1" x14ac:dyDescent="0.25">
      <c r="A2116" s="29" t="s">
        <v>2179</v>
      </c>
    </row>
    <row r="2117" spans="1:1" x14ac:dyDescent="0.25">
      <c r="A2117" s="29" t="s">
        <v>2180</v>
      </c>
    </row>
    <row r="2118" spans="1:1" x14ac:dyDescent="0.25">
      <c r="A2118" s="29" t="s">
        <v>2181</v>
      </c>
    </row>
    <row r="2119" spans="1:1" x14ac:dyDescent="0.25">
      <c r="A2119" s="29" t="s">
        <v>2182</v>
      </c>
    </row>
    <row r="2120" spans="1:1" x14ac:dyDescent="0.25">
      <c r="A2120" s="29" t="s">
        <v>2183</v>
      </c>
    </row>
    <row r="2121" spans="1:1" x14ac:dyDescent="0.25">
      <c r="A2121" s="29" t="s">
        <v>2184</v>
      </c>
    </row>
    <row r="2122" spans="1:1" x14ac:dyDescent="0.25">
      <c r="A2122" s="29" t="s">
        <v>2185</v>
      </c>
    </row>
    <row r="2123" spans="1:1" x14ac:dyDescent="0.25">
      <c r="A2123" s="29" t="s">
        <v>2186</v>
      </c>
    </row>
    <row r="2124" spans="1:1" x14ac:dyDescent="0.25">
      <c r="A2124" s="29" t="s">
        <v>2187</v>
      </c>
    </row>
    <row r="2125" spans="1:1" x14ac:dyDescent="0.25">
      <c r="A2125" s="29" t="s">
        <v>2188</v>
      </c>
    </row>
    <row r="2126" spans="1:1" x14ac:dyDescent="0.25">
      <c r="A2126" s="29" t="s">
        <v>2189</v>
      </c>
    </row>
    <row r="2127" spans="1:1" x14ac:dyDescent="0.25">
      <c r="A2127" s="29" t="s">
        <v>2190</v>
      </c>
    </row>
    <row r="2128" spans="1:1" x14ac:dyDescent="0.25">
      <c r="A2128" s="29" t="s">
        <v>2191</v>
      </c>
    </row>
    <row r="2129" spans="1:1" x14ac:dyDescent="0.25">
      <c r="A2129" s="29" t="s">
        <v>2192</v>
      </c>
    </row>
    <row r="2130" spans="1:1" x14ac:dyDescent="0.25">
      <c r="A2130" s="29" t="s">
        <v>2193</v>
      </c>
    </row>
    <row r="2131" spans="1:1" x14ac:dyDescent="0.25">
      <c r="A2131" s="29" t="s">
        <v>2194</v>
      </c>
    </row>
    <row r="2132" spans="1:1" x14ac:dyDescent="0.25">
      <c r="A2132" s="29" t="s">
        <v>2195</v>
      </c>
    </row>
    <row r="2133" spans="1:1" x14ac:dyDescent="0.25">
      <c r="A2133" s="29" t="s">
        <v>2196</v>
      </c>
    </row>
    <row r="2134" spans="1:1" x14ac:dyDescent="0.25">
      <c r="A2134" s="29" t="s">
        <v>2197</v>
      </c>
    </row>
    <row r="2135" spans="1:1" x14ac:dyDescent="0.25">
      <c r="A2135" s="29" t="s">
        <v>2198</v>
      </c>
    </row>
    <row r="2136" spans="1:1" x14ac:dyDescent="0.25">
      <c r="A2136" s="29" t="s">
        <v>2199</v>
      </c>
    </row>
    <row r="2137" spans="1:1" x14ac:dyDescent="0.25">
      <c r="A2137" s="29" t="s">
        <v>2200</v>
      </c>
    </row>
    <row r="2138" spans="1:1" x14ac:dyDescent="0.25">
      <c r="A2138" s="29" t="s">
        <v>2201</v>
      </c>
    </row>
    <row r="2139" spans="1:1" ht="60" x14ac:dyDescent="0.25">
      <c r="A2139" s="29" t="s">
        <v>2202</v>
      </c>
    </row>
    <row r="2140" spans="1:1" x14ac:dyDescent="0.25">
      <c r="A2140" s="29" t="s">
        <v>2203</v>
      </c>
    </row>
    <row r="2141" spans="1:1" ht="30" x14ac:dyDescent="0.25">
      <c r="A2141" s="29" t="s">
        <v>2204</v>
      </c>
    </row>
    <row r="2142" spans="1:1" x14ac:dyDescent="0.25">
      <c r="A2142" s="29" t="s">
        <v>2205</v>
      </c>
    </row>
    <row r="2143" spans="1:1" x14ac:dyDescent="0.25">
      <c r="A2143" s="29" t="s">
        <v>2206</v>
      </c>
    </row>
    <row r="2144" spans="1:1" x14ac:dyDescent="0.25">
      <c r="A2144" s="29" t="s">
        <v>2207</v>
      </c>
    </row>
    <row r="2145" spans="1:1" ht="30" x14ac:dyDescent="0.25">
      <c r="A2145" s="29" t="s">
        <v>2208</v>
      </c>
    </row>
    <row r="2146" spans="1:1" x14ac:dyDescent="0.25">
      <c r="A2146" s="29" t="s">
        <v>2209</v>
      </c>
    </row>
    <row r="2147" spans="1:1" x14ac:dyDescent="0.25">
      <c r="A2147" s="29" t="s">
        <v>2210</v>
      </c>
    </row>
    <row r="2148" spans="1:1" x14ac:dyDescent="0.25">
      <c r="A2148" s="29" t="s">
        <v>2211</v>
      </c>
    </row>
    <row r="2149" spans="1:1" x14ac:dyDescent="0.25">
      <c r="A2149" s="29" t="s">
        <v>2212</v>
      </c>
    </row>
    <row r="2150" spans="1:1" ht="30" x14ac:dyDescent="0.25">
      <c r="A2150" s="29" t="s">
        <v>2213</v>
      </c>
    </row>
    <row r="2151" spans="1:1" x14ac:dyDescent="0.25">
      <c r="A2151" s="29" t="s">
        <v>2214</v>
      </c>
    </row>
    <row r="2152" spans="1:1" x14ac:dyDescent="0.25">
      <c r="A2152" s="29" t="s">
        <v>2215</v>
      </c>
    </row>
    <row r="2153" spans="1:1" x14ac:dyDescent="0.25">
      <c r="A2153" s="29" t="s">
        <v>2216</v>
      </c>
    </row>
    <row r="2154" spans="1:1" x14ac:dyDescent="0.25">
      <c r="A2154" s="29" t="s">
        <v>2217</v>
      </c>
    </row>
    <row r="2155" spans="1:1" x14ac:dyDescent="0.25">
      <c r="A2155" s="29" t="s">
        <v>2218</v>
      </c>
    </row>
    <row r="2156" spans="1:1" x14ac:dyDescent="0.25">
      <c r="A2156" s="29" t="s">
        <v>2219</v>
      </c>
    </row>
    <row r="2157" spans="1:1" x14ac:dyDescent="0.25">
      <c r="A2157" s="29" t="s">
        <v>2220</v>
      </c>
    </row>
    <row r="2158" spans="1:1" x14ac:dyDescent="0.25">
      <c r="A2158" s="29" t="s">
        <v>2221</v>
      </c>
    </row>
    <row r="2159" spans="1:1" x14ac:dyDescent="0.25">
      <c r="A2159" s="29" t="s">
        <v>2222</v>
      </c>
    </row>
    <row r="2160" spans="1:1" ht="30" x14ac:dyDescent="0.25">
      <c r="A2160" s="29" t="s">
        <v>2223</v>
      </c>
    </row>
    <row r="2161" spans="1:1" x14ac:dyDescent="0.25">
      <c r="A2161" s="29" t="s">
        <v>2224</v>
      </c>
    </row>
    <row r="2162" spans="1:1" x14ac:dyDescent="0.25">
      <c r="A2162" s="29" t="s">
        <v>2225</v>
      </c>
    </row>
    <row r="2163" spans="1:1" x14ac:dyDescent="0.25">
      <c r="A2163" s="29" t="s">
        <v>2226</v>
      </c>
    </row>
    <row r="2164" spans="1:1" x14ac:dyDescent="0.25">
      <c r="A2164" s="29" t="s">
        <v>2227</v>
      </c>
    </row>
    <row r="2165" spans="1:1" x14ac:dyDescent="0.25">
      <c r="A2165" s="29" t="s">
        <v>2228</v>
      </c>
    </row>
    <row r="2166" spans="1:1" ht="30" x14ac:dyDescent="0.25">
      <c r="A2166" s="29" t="s">
        <v>2229</v>
      </c>
    </row>
    <row r="2167" spans="1:1" x14ac:dyDescent="0.25">
      <c r="A2167" s="29" t="s">
        <v>2230</v>
      </c>
    </row>
    <row r="2168" spans="1:1" x14ac:dyDescent="0.25">
      <c r="A2168" s="29" t="s">
        <v>2231</v>
      </c>
    </row>
    <row r="2169" spans="1:1" x14ac:dyDescent="0.25">
      <c r="A2169" s="29" t="s">
        <v>2232</v>
      </c>
    </row>
    <row r="2170" spans="1:1" x14ac:dyDescent="0.25">
      <c r="A2170" s="29" t="s">
        <v>2233</v>
      </c>
    </row>
    <row r="2171" spans="1:1" x14ac:dyDescent="0.25">
      <c r="A2171" s="29" t="s">
        <v>2234</v>
      </c>
    </row>
    <row r="2172" spans="1:1" x14ac:dyDescent="0.25">
      <c r="A2172" s="29" t="s">
        <v>2235</v>
      </c>
    </row>
    <row r="2173" spans="1:1" x14ac:dyDescent="0.25">
      <c r="A2173" s="29" t="s">
        <v>2236</v>
      </c>
    </row>
    <row r="2174" spans="1:1" x14ac:dyDescent="0.25">
      <c r="A2174" s="29" t="s">
        <v>2237</v>
      </c>
    </row>
  </sheetData>
  <sheetProtection sheet="1" objects="1" scenarios="1"/>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B10"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26</v>
      </c>
      <c r="B1" t="s">
        <v>34</v>
      </c>
      <c r="C1" t="s">
        <v>60</v>
      </c>
      <c r="D1" t="s">
        <v>61</v>
      </c>
      <c r="E1" t="s">
        <v>62</v>
      </c>
      <c r="F1" t="s">
        <v>63</v>
      </c>
      <c r="G1" t="s">
        <v>64</v>
      </c>
    </row>
    <row r="2" spans="1:7" x14ac:dyDescent="0.25">
      <c r="A2" s="34" t="s">
        <v>25</v>
      </c>
      <c r="B2" t="s">
        <v>35</v>
      </c>
      <c r="C2">
        <v>6731002766</v>
      </c>
      <c r="D2">
        <v>673201001</v>
      </c>
      <c r="E2" t="s">
        <v>36</v>
      </c>
      <c r="F2" t="s">
        <v>3374</v>
      </c>
      <c r="G2">
        <v>2</v>
      </c>
    </row>
    <row r="3" spans="1:7" x14ac:dyDescent="0.25">
      <c r="A3" s="33" t="s">
        <v>2297</v>
      </c>
      <c r="B3" t="s">
        <v>35</v>
      </c>
      <c r="C3">
        <v>6731002766</v>
      </c>
      <c r="D3">
        <v>673201001</v>
      </c>
      <c r="E3" t="s">
        <v>36</v>
      </c>
      <c r="F3" t="s">
        <v>3374</v>
      </c>
      <c r="G3">
        <v>2</v>
      </c>
    </row>
    <row r="4" spans="1:7" x14ac:dyDescent="0.25">
      <c r="A4" s="34" t="s">
        <v>2239</v>
      </c>
      <c r="B4" t="s">
        <v>35</v>
      </c>
      <c r="C4">
        <v>6731002766</v>
      </c>
      <c r="D4">
        <v>673201001</v>
      </c>
      <c r="E4" t="s">
        <v>36</v>
      </c>
      <c r="F4" t="s">
        <v>3374</v>
      </c>
      <c r="G4">
        <v>2</v>
      </c>
    </row>
    <row r="5" spans="1:7" x14ac:dyDescent="0.25">
      <c r="A5" s="33" t="s">
        <v>2240</v>
      </c>
      <c r="B5" t="s">
        <v>35</v>
      </c>
      <c r="C5">
        <v>6731002766</v>
      </c>
      <c r="D5">
        <v>673201001</v>
      </c>
      <c r="E5" t="s">
        <v>36</v>
      </c>
      <c r="F5" t="s">
        <v>3374</v>
      </c>
      <c r="G5">
        <v>2</v>
      </c>
    </row>
    <row r="6" spans="1:7" ht="30" x14ac:dyDescent="0.25">
      <c r="A6" s="34" t="s">
        <v>2298</v>
      </c>
      <c r="B6" t="s">
        <v>37</v>
      </c>
      <c r="C6">
        <v>7806155468</v>
      </c>
      <c r="D6">
        <v>780601001</v>
      </c>
      <c r="E6" t="s">
        <v>38</v>
      </c>
      <c r="F6" t="s">
        <v>39</v>
      </c>
      <c r="G6">
        <v>1</v>
      </c>
    </row>
    <row r="7" spans="1:7" x14ac:dyDescent="0.25">
      <c r="A7" s="33" t="s">
        <v>2299</v>
      </c>
      <c r="B7" t="s">
        <v>37</v>
      </c>
      <c r="C7">
        <v>7806155468</v>
      </c>
      <c r="D7">
        <v>780601001</v>
      </c>
      <c r="E7" t="s">
        <v>38</v>
      </c>
      <c r="F7" t="s">
        <v>39</v>
      </c>
      <c r="G7">
        <v>1</v>
      </c>
    </row>
    <row r="8" spans="1:7" x14ac:dyDescent="0.25">
      <c r="A8" s="34" t="s">
        <v>2300</v>
      </c>
      <c r="B8" t="s">
        <v>37</v>
      </c>
      <c r="C8">
        <v>7806155468</v>
      </c>
      <c r="D8">
        <v>780601001</v>
      </c>
      <c r="E8" t="s">
        <v>38</v>
      </c>
      <c r="F8" t="s">
        <v>39</v>
      </c>
      <c r="G8">
        <v>1</v>
      </c>
    </row>
    <row r="9" spans="1:7" x14ac:dyDescent="0.25">
      <c r="A9" s="33" t="s">
        <v>2301</v>
      </c>
      <c r="B9" t="s">
        <v>40</v>
      </c>
      <c r="C9">
        <v>7839109650</v>
      </c>
      <c r="D9">
        <v>783901001</v>
      </c>
      <c r="E9" t="s">
        <v>41</v>
      </c>
      <c r="F9" t="s">
        <v>39</v>
      </c>
      <c r="G9">
        <v>2</v>
      </c>
    </row>
    <row r="10" spans="1:7" x14ac:dyDescent="0.25">
      <c r="A10" s="34" t="s">
        <v>2302</v>
      </c>
      <c r="B10" t="s">
        <v>40</v>
      </c>
      <c r="C10">
        <v>7839109650</v>
      </c>
      <c r="D10">
        <v>783901001</v>
      </c>
      <c r="E10" t="s">
        <v>41</v>
      </c>
      <c r="F10" t="s">
        <v>39</v>
      </c>
      <c r="G10">
        <v>2</v>
      </c>
    </row>
    <row r="11" spans="1:7" x14ac:dyDescent="0.25">
      <c r="A11" s="33" t="s">
        <v>2303</v>
      </c>
      <c r="B11" t="s">
        <v>40</v>
      </c>
      <c r="C11">
        <v>7839109650</v>
      </c>
      <c r="D11">
        <v>783901001</v>
      </c>
      <c r="E11" t="s">
        <v>41</v>
      </c>
      <c r="F11" t="s">
        <v>39</v>
      </c>
      <c r="G11">
        <v>2</v>
      </c>
    </row>
    <row r="12" spans="1:7" x14ac:dyDescent="0.25">
      <c r="A12" s="34" t="s">
        <v>2241</v>
      </c>
      <c r="B12" t="s">
        <v>40</v>
      </c>
      <c r="C12">
        <v>7839109650</v>
      </c>
      <c r="D12">
        <v>783901001</v>
      </c>
      <c r="E12" t="s">
        <v>41</v>
      </c>
      <c r="F12" t="s">
        <v>39</v>
      </c>
      <c r="G12">
        <v>2</v>
      </c>
    </row>
    <row r="13" spans="1:7" x14ac:dyDescent="0.25">
      <c r="A13" s="33" t="s">
        <v>2304</v>
      </c>
      <c r="B13" t="s">
        <v>35</v>
      </c>
      <c r="C13">
        <v>6731002766</v>
      </c>
      <c r="D13">
        <v>673201001</v>
      </c>
      <c r="E13" t="s">
        <v>36</v>
      </c>
      <c r="F13" t="s">
        <v>3374</v>
      </c>
      <c r="G13">
        <v>2</v>
      </c>
    </row>
    <row r="14" spans="1:7" x14ac:dyDescent="0.25">
      <c r="A14" s="34" t="s">
        <v>2305</v>
      </c>
      <c r="B14" t="s">
        <v>35</v>
      </c>
      <c r="C14">
        <v>6731002766</v>
      </c>
      <c r="D14">
        <v>673201001</v>
      </c>
      <c r="E14" t="s">
        <v>36</v>
      </c>
      <c r="F14" t="s">
        <v>3374</v>
      </c>
      <c r="G14">
        <v>2</v>
      </c>
    </row>
    <row r="15" spans="1:7" x14ac:dyDescent="0.25">
      <c r="A15" s="33" t="s">
        <v>2306</v>
      </c>
      <c r="B15" t="s">
        <v>35</v>
      </c>
      <c r="C15">
        <v>6731002766</v>
      </c>
      <c r="D15">
        <v>673201001</v>
      </c>
      <c r="E15" t="s">
        <v>36</v>
      </c>
      <c r="F15" t="s">
        <v>3374</v>
      </c>
      <c r="G15">
        <v>2</v>
      </c>
    </row>
    <row r="16" spans="1:7" x14ac:dyDescent="0.25">
      <c r="A16" s="34" t="s">
        <v>2307</v>
      </c>
      <c r="B16" t="s">
        <v>35</v>
      </c>
      <c r="C16">
        <v>6731002766</v>
      </c>
      <c r="D16">
        <v>673201001</v>
      </c>
      <c r="E16" t="s">
        <v>36</v>
      </c>
      <c r="F16" t="s">
        <v>3374</v>
      </c>
      <c r="G16">
        <v>2</v>
      </c>
    </row>
    <row r="17" spans="1:7" x14ac:dyDescent="0.25">
      <c r="A17" s="33" t="s">
        <v>2242</v>
      </c>
      <c r="B17" t="s">
        <v>40</v>
      </c>
      <c r="C17">
        <v>7839109650</v>
      </c>
      <c r="D17">
        <v>783901001</v>
      </c>
      <c r="E17" t="s">
        <v>41</v>
      </c>
      <c r="F17" t="s">
        <v>39</v>
      </c>
      <c r="G17">
        <v>2</v>
      </c>
    </row>
    <row r="18" spans="1:7" x14ac:dyDescent="0.25">
      <c r="A18" s="34" t="s">
        <v>2308</v>
      </c>
      <c r="B18" t="s">
        <v>40</v>
      </c>
      <c r="C18">
        <v>7839109650</v>
      </c>
      <c r="D18">
        <v>783901001</v>
      </c>
      <c r="E18" t="s">
        <v>41</v>
      </c>
      <c r="F18" t="s">
        <v>39</v>
      </c>
      <c r="G18">
        <v>2</v>
      </c>
    </row>
    <row r="19" spans="1:7" x14ac:dyDescent="0.25">
      <c r="A19" s="33" t="s">
        <v>2243</v>
      </c>
      <c r="B19" t="s">
        <v>42</v>
      </c>
      <c r="C19">
        <v>7810216924</v>
      </c>
      <c r="D19">
        <v>7814455001</v>
      </c>
      <c r="E19" t="s">
        <v>43</v>
      </c>
      <c r="F19" t="s">
        <v>39</v>
      </c>
      <c r="G19">
        <v>2</v>
      </c>
    </row>
    <row r="20" spans="1:7" x14ac:dyDescent="0.25">
      <c r="A20" s="34" t="s">
        <v>2244</v>
      </c>
      <c r="B20" t="s">
        <v>42</v>
      </c>
      <c r="C20">
        <v>7810216924</v>
      </c>
      <c r="D20">
        <v>7814455001</v>
      </c>
      <c r="E20" t="s">
        <v>43</v>
      </c>
      <c r="F20" t="s">
        <v>39</v>
      </c>
      <c r="G20">
        <v>2</v>
      </c>
    </row>
    <row r="21" spans="1:7" x14ac:dyDescent="0.25">
      <c r="A21" s="33" t="s">
        <v>2245</v>
      </c>
      <c r="B21" t="s">
        <v>42</v>
      </c>
      <c r="C21">
        <v>7810216924</v>
      </c>
      <c r="D21">
        <v>7814455001</v>
      </c>
      <c r="E21" t="s">
        <v>43</v>
      </c>
      <c r="F21" t="s">
        <v>39</v>
      </c>
      <c r="G21">
        <v>2</v>
      </c>
    </row>
    <row r="22" spans="1:7" x14ac:dyDescent="0.25">
      <c r="A22" s="34" t="s">
        <v>2246</v>
      </c>
      <c r="B22" t="s">
        <v>42</v>
      </c>
      <c r="C22">
        <v>7810216924</v>
      </c>
      <c r="D22">
        <v>7814455001</v>
      </c>
      <c r="E22" t="s">
        <v>43</v>
      </c>
      <c r="F22" t="s">
        <v>39</v>
      </c>
      <c r="G22">
        <v>2</v>
      </c>
    </row>
    <row r="23" spans="1:7" x14ac:dyDescent="0.25">
      <c r="A23" s="33" t="s">
        <v>2247</v>
      </c>
      <c r="B23" t="s">
        <v>44</v>
      </c>
      <c r="C23">
        <v>7804274156</v>
      </c>
      <c r="D23">
        <v>780401001</v>
      </c>
      <c r="E23" t="s">
        <v>45</v>
      </c>
      <c r="F23" t="s">
        <v>39</v>
      </c>
      <c r="G23">
        <v>2</v>
      </c>
    </row>
    <row r="24" spans="1:7" x14ac:dyDescent="0.25">
      <c r="A24" s="34" t="s">
        <v>2248</v>
      </c>
      <c r="B24" t="s">
        <v>42</v>
      </c>
      <c r="C24">
        <v>7810216924</v>
      </c>
      <c r="D24">
        <v>7814455001</v>
      </c>
      <c r="E24" t="s">
        <v>43</v>
      </c>
      <c r="F24" t="s">
        <v>39</v>
      </c>
      <c r="G24">
        <v>2</v>
      </c>
    </row>
    <row r="25" spans="1:7" x14ac:dyDescent="0.25">
      <c r="A25" s="33" t="s">
        <v>2249</v>
      </c>
      <c r="B25" t="s">
        <v>44</v>
      </c>
      <c r="C25">
        <v>7804274156</v>
      </c>
      <c r="D25">
        <v>780401001</v>
      </c>
      <c r="E25" t="s">
        <v>45</v>
      </c>
      <c r="F25" t="s">
        <v>39</v>
      </c>
      <c r="G25">
        <v>2</v>
      </c>
    </row>
    <row r="26" spans="1:7" x14ac:dyDescent="0.25">
      <c r="A26" s="34" t="s">
        <v>2250</v>
      </c>
      <c r="B26" t="s">
        <v>42</v>
      </c>
      <c r="C26">
        <v>7810216924</v>
      </c>
      <c r="D26">
        <v>7814455001</v>
      </c>
      <c r="E26" t="s">
        <v>43</v>
      </c>
      <c r="F26" t="s">
        <v>39</v>
      </c>
      <c r="G26">
        <v>2</v>
      </c>
    </row>
    <row r="27" spans="1:7" x14ac:dyDescent="0.25">
      <c r="A27" s="33" t="s">
        <v>2251</v>
      </c>
      <c r="B27" t="s">
        <v>42</v>
      </c>
      <c r="C27">
        <v>7810216924</v>
      </c>
      <c r="D27">
        <v>7814455001</v>
      </c>
      <c r="E27" t="s">
        <v>43</v>
      </c>
      <c r="F27" t="s">
        <v>39</v>
      </c>
      <c r="G27">
        <v>2</v>
      </c>
    </row>
    <row r="28" spans="1:7" x14ac:dyDescent="0.25">
      <c r="A28" s="34" t="s">
        <v>2252</v>
      </c>
      <c r="B28" t="s">
        <v>42</v>
      </c>
      <c r="C28">
        <v>7810216924</v>
      </c>
      <c r="D28">
        <v>7814455001</v>
      </c>
      <c r="E28" t="s">
        <v>43</v>
      </c>
      <c r="F28" t="s">
        <v>39</v>
      </c>
      <c r="G28">
        <v>2</v>
      </c>
    </row>
    <row r="29" spans="1:7" x14ac:dyDescent="0.25">
      <c r="A29" s="33" t="s">
        <v>2309</v>
      </c>
      <c r="B29" t="s">
        <v>35</v>
      </c>
      <c r="C29">
        <v>6731002766</v>
      </c>
      <c r="D29">
        <v>673201001</v>
      </c>
      <c r="E29" t="s">
        <v>36</v>
      </c>
      <c r="F29" t="s">
        <v>3374</v>
      </c>
      <c r="G29">
        <v>2</v>
      </c>
    </row>
    <row r="30" spans="1:7" x14ac:dyDescent="0.25">
      <c r="A30" s="34" t="s">
        <v>2310</v>
      </c>
      <c r="B30" t="s">
        <v>35</v>
      </c>
      <c r="C30">
        <v>6731002766</v>
      </c>
      <c r="D30">
        <v>673201001</v>
      </c>
      <c r="E30" t="s">
        <v>36</v>
      </c>
      <c r="F30" t="s">
        <v>3374</v>
      </c>
      <c r="G30">
        <v>2</v>
      </c>
    </row>
    <row r="31" spans="1:7" x14ac:dyDescent="0.25">
      <c r="A31" s="33" t="s">
        <v>2253</v>
      </c>
      <c r="B31" t="s">
        <v>35</v>
      </c>
      <c r="C31">
        <v>6731002766</v>
      </c>
      <c r="D31">
        <v>673201001</v>
      </c>
      <c r="E31" t="s">
        <v>36</v>
      </c>
      <c r="F31" t="s">
        <v>3374</v>
      </c>
      <c r="G31">
        <v>2</v>
      </c>
    </row>
    <row r="32" spans="1:7" ht="30" x14ac:dyDescent="0.25">
      <c r="A32" s="34" t="s">
        <v>2254</v>
      </c>
      <c r="B32" t="s">
        <v>46</v>
      </c>
      <c r="C32">
        <v>509950001</v>
      </c>
      <c r="D32">
        <v>5036002480</v>
      </c>
      <c r="E32" t="s">
        <v>47</v>
      </c>
      <c r="F32" t="s">
        <v>48</v>
      </c>
      <c r="G32">
        <v>2</v>
      </c>
    </row>
    <row r="33" spans="1:7" ht="30" x14ac:dyDescent="0.25">
      <c r="A33" s="33" t="s">
        <v>2255</v>
      </c>
      <c r="B33" t="s">
        <v>46</v>
      </c>
      <c r="C33">
        <v>509950001</v>
      </c>
      <c r="D33">
        <v>5036002480</v>
      </c>
      <c r="E33" t="s">
        <v>47</v>
      </c>
      <c r="F33" t="s">
        <v>48</v>
      </c>
      <c r="G33">
        <v>2</v>
      </c>
    </row>
    <row r="34" spans="1:7" ht="30" x14ac:dyDescent="0.25">
      <c r="A34" s="34" t="s">
        <v>2256</v>
      </c>
      <c r="B34" t="s">
        <v>46</v>
      </c>
      <c r="C34">
        <v>509950001</v>
      </c>
      <c r="D34">
        <v>5036002480</v>
      </c>
      <c r="E34" t="s">
        <v>47</v>
      </c>
      <c r="F34" t="s">
        <v>48</v>
      </c>
      <c r="G34">
        <v>2</v>
      </c>
    </row>
    <row r="35" spans="1:7" ht="30" x14ac:dyDescent="0.25">
      <c r="A35" s="33" t="s">
        <v>2257</v>
      </c>
      <c r="B35" t="s">
        <v>46</v>
      </c>
      <c r="C35">
        <v>509950001</v>
      </c>
      <c r="D35">
        <v>5036002480</v>
      </c>
      <c r="E35" t="s">
        <v>47</v>
      </c>
      <c r="F35" t="s">
        <v>48</v>
      </c>
      <c r="G35">
        <v>2</v>
      </c>
    </row>
    <row r="36" spans="1:7" ht="30" x14ac:dyDescent="0.25">
      <c r="A36" s="34" t="s">
        <v>2258</v>
      </c>
      <c r="B36" t="s">
        <v>46</v>
      </c>
      <c r="C36">
        <v>509950001</v>
      </c>
      <c r="D36">
        <v>5036002480</v>
      </c>
      <c r="E36" t="s">
        <v>47</v>
      </c>
      <c r="F36" t="s">
        <v>48</v>
      </c>
      <c r="G36">
        <v>2</v>
      </c>
    </row>
    <row r="37" spans="1:7" x14ac:dyDescent="0.25">
      <c r="A37" s="33" t="s">
        <v>2259</v>
      </c>
      <c r="B37" t="s">
        <v>46</v>
      </c>
      <c r="C37">
        <v>509950001</v>
      </c>
      <c r="D37">
        <v>5036002480</v>
      </c>
      <c r="E37" t="s">
        <v>47</v>
      </c>
      <c r="F37" t="s">
        <v>48</v>
      </c>
      <c r="G37">
        <v>2</v>
      </c>
    </row>
    <row r="38" spans="1:7" x14ac:dyDescent="0.25">
      <c r="A38" s="34" t="s">
        <v>2260</v>
      </c>
      <c r="B38" t="s">
        <v>49</v>
      </c>
      <c r="C38">
        <v>7802348846</v>
      </c>
      <c r="D38">
        <v>997350001</v>
      </c>
      <c r="E38" t="s">
        <v>50</v>
      </c>
      <c r="F38" t="s">
        <v>39</v>
      </c>
      <c r="G38">
        <v>2</v>
      </c>
    </row>
    <row r="39" spans="1:7" x14ac:dyDescent="0.25">
      <c r="A39" s="33" t="s">
        <v>2261</v>
      </c>
      <c r="B39" t="s">
        <v>49</v>
      </c>
      <c r="C39">
        <v>7802348846</v>
      </c>
      <c r="D39">
        <v>997350001</v>
      </c>
      <c r="E39" t="s">
        <v>50</v>
      </c>
      <c r="F39" t="s">
        <v>39</v>
      </c>
      <c r="G39">
        <v>2</v>
      </c>
    </row>
    <row r="40" spans="1:7" x14ac:dyDescent="0.25">
      <c r="A40" s="34" t="s">
        <v>2262</v>
      </c>
      <c r="B40" t="s">
        <v>44</v>
      </c>
      <c r="C40">
        <v>7802348846</v>
      </c>
      <c r="D40">
        <v>997350001</v>
      </c>
      <c r="E40" t="s">
        <v>45</v>
      </c>
      <c r="F40" t="s">
        <v>39</v>
      </c>
      <c r="G40">
        <v>2</v>
      </c>
    </row>
    <row r="41" spans="1:7" x14ac:dyDescent="0.25">
      <c r="A41" s="33" t="s">
        <v>2263</v>
      </c>
      <c r="B41" t="s">
        <v>40</v>
      </c>
      <c r="C41">
        <v>7802348846</v>
      </c>
      <c r="D41">
        <v>997350001</v>
      </c>
      <c r="E41" t="s">
        <v>41</v>
      </c>
      <c r="F41" t="s">
        <v>39</v>
      </c>
      <c r="G41">
        <v>2</v>
      </c>
    </row>
    <row r="42" spans="1:7" x14ac:dyDescent="0.25">
      <c r="A42" s="34" t="s">
        <v>2264</v>
      </c>
      <c r="B42" t="s">
        <v>40</v>
      </c>
      <c r="C42">
        <v>7802348846</v>
      </c>
      <c r="D42">
        <v>997350001</v>
      </c>
      <c r="E42" t="s">
        <v>41</v>
      </c>
      <c r="F42" t="s">
        <v>39</v>
      </c>
      <c r="G42">
        <v>2</v>
      </c>
    </row>
    <row r="43" spans="1:7" x14ac:dyDescent="0.25">
      <c r="A43" s="33" t="s">
        <v>2265</v>
      </c>
      <c r="B43" t="s">
        <v>44</v>
      </c>
      <c r="C43">
        <v>7802348846</v>
      </c>
      <c r="D43">
        <v>997350001</v>
      </c>
      <c r="E43" t="s">
        <v>45</v>
      </c>
      <c r="F43" t="s">
        <v>39</v>
      </c>
      <c r="G43">
        <v>2</v>
      </c>
    </row>
    <row r="44" spans="1:7" x14ac:dyDescent="0.25">
      <c r="A44" s="34" t="s">
        <v>2266</v>
      </c>
      <c r="B44" t="s">
        <v>49</v>
      </c>
      <c r="C44">
        <v>7802348846</v>
      </c>
      <c r="D44">
        <v>997350001</v>
      </c>
      <c r="E44" t="s">
        <v>50</v>
      </c>
      <c r="F44" t="s">
        <v>39</v>
      </c>
      <c r="G44">
        <v>2</v>
      </c>
    </row>
    <row r="45" spans="1:7" x14ac:dyDescent="0.25">
      <c r="A45" s="33" t="s">
        <v>2267</v>
      </c>
      <c r="B45" t="s">
        <v>51</v>
      </c>
      <c r="C45">
        <v>7802348846</v>
      </c>
      <c r="D45">
        <v>997350001</v>
      </c>
      <c r="E45" t="s">
        <v>52</v>
      </c>
      <c r="F45" t="s">
        <v>39</v>
      </c>
      <c r="G45">
        <v>2</v>
      </c>
    </row>
    <row r="46" spans="1:7" x14ac:dyDescent="0.25">
      <c r="A46" s="34" t="s">
        <v>2268</v>
      </c>
      <c r="B46" t="s">
        <v>49</v>
      </c>
      <c r="C46">
        <v>7802348846</v>
      </c>
      <c r="D46">
        <v>997350001</v>
      </c>
      <c r="E46" t="s">
        <v>50</v>
      </c>
      <c r="F46" t="s">
        <v>39</v>
      </c>
      <c r="G46">
        <v>2</v>
      </c>
    </row>
    <row r="47" spans="1:7" x14ac:dyDescent="0.25">
      <c r="A47" s="33" t="s">
        <v>2269</v>
      </c>
      <c r="B47" t="s">
        <v>51</v>
      </c>
      <c r="C47">
        <v>7802348846</v>
      </c>
      <c r="D47">
        <v>997350001</v>
      </c>
      <c r="E47" t="s">
        <v>52</v>
      </c>
      <c r="F47" t="s">
        <v>39</v>
      </c>
      <c r="G47">
        <v>2</v>
      </c>
    </row>
    <row r="48" spans="1:7" x14ac:dyDescent="0.25">
      <c r="A48" s="34" t="s">
        <v>2270</v>
      </c>
      <c r="B48" t="s">
        <v>51</v>
      </c>
      <c r="C48">
        <v>7802348846</v>
      </c>
      <c r="D48">
        <v>997350001</v>
      </c>
      <c r="E48" t="s">
        <v>52</v>
      </c>
      <c r="F48" t="s">
        <v>39</v>
      </c>
      <c r="G48">
        <v>2</v>
      </c>
    </row>
    <row r="49" spans="1:7" x14ac:dyDescent="0.25">
      <c r="A49" s="33" t="s">
        <v>2271</v>
      </c>
      <c r="B49" t="s">
        <v>49</v>
      </c>
      <c r="C49">
        <v>7802348846</v>
      </c>
      <c r="D49">
        <v>997350001</v>
      </c>
      <c r="E49" t="s">
        <v>50</v>
      </c>
      <c r="F49" t="s">
        <v>39</v>
      </c>
      <c r="G49">
        <v>2</v>
      </c>
    </row>
    <row r="50" spans="1:7" x14ac:dyDescent="0.25">
      <c r="A50" s="34" t="s">
        <v>2272</v>
      </c>
      <c r="B50" t="s">
        <v>49</v>
      </c>
      <c r="C50">
        <v>7802348846</v>
      </c>
      <c r="D50">
        <v>997350001</v>
      </c>
      <c r="E50" t="s">
        <v>50</v>
      </c>
      <c r="F50" t="s">
        <v>39</v>
      </c>
      <c r="G50">
        <v>2</v>
      </c>
    </row>
    <row r="51" spans="1:7" x14ac:dyDescent="0.25">
      <c r="A51" s="33" t="s">
        <v>2273</v>
      </c>
      <c r="B51" t="s">
        <v>49</v>
      </c>
      <c r="C51">
        <v>7802348846</v>
      </c>
      <c r="D51">
        <v>997350001</v>
      </c>
      <c r="E51" t="s">
        <v>50</v>
      </c>
      <c r="F51" t="s">
        <v>39</v>
      </c>
      <c r="G51">
        <v>2</v>
      </c>
    </row>
    <row r="52" spans="1:7" x14ac:dyDescent="0.25">
      <c r="A52" s="34" t="s">
        <v>2274</v>
      </c>
      <c r="B52" t="s">
        <v>53</v>
      </c>
      <c r="C52">
        <v>7802348846</v>
      </c>
      <c r="D52">
        <v>997350001</v>
      </c>
      <c r="E52" t="s">
        <v>54</v>
      </c>
      <c r="F52" t="s">
        <v>39</v>
      </c>
      <c r="G52">
        <v>2</v>
      </c>
    </row>
    <row r="53" spans="1:7" x14ac:dyDescent="0.25">
      <c r="A53" s="33" t="s">
        <v>2275</v>
      </c>
      <c r="B53" t="s">
        <v>53</v>
      </c>
      <c r="C53">
        <v>7802348846</v>
      </c>
      <c r="D53">
        <v>997350001</v>
      </c>
      <c r="E53" t="s">
        <v>54</v>
      </c>
      <c r="F53" t="s">
        <v>39</v>
      </c>
      <c r="G53">
        <v>2</v>
      </c>
    </row>
    <row r="54" spans="1:7" x14ac:dyDescent="0.25">
      <c r="A54" s="34" t="s">
        <v>2276</v>
      </c>
      <c r="B54" t="s">
        <v>53</v>
      </c>
      <c r="C54">
        <v>7802348846</v>
      </c>
      <c r="D54">
        <v>997350001</v>
      </c>
      <c r="E54" t="s">
        <v>54</v>
      </c>
      <c r="F54" t="s">
        <v>39</v>
      </c>
      <c r="G54">
        <v>2</v>
      </c>
    </row>
    <row r="55" spans="1:7" x14ac:dyDescent="0.25">
      <c r="A55" s="33" t="s">
        <v>2277</v>
      </c>
      <c r="B55" t="s">
        <v>56</v>
      </c>
      <c r="C55">
        <v>7802348846</v>
      </c>
      <c r="D55">
        <v>997350001</v>
      </c>
      <c r="E55" t="s">
        <v>57</v>
      </c>
      <c r="F55" t="s">
        <v>39</v>
      </c>
      <c r="G55">
        <v>2</v>
      </c>
    </row>
    <row r="56" spans="1:7" x14ac:dyDescent="0.25">
      <c r="A56" s="34" t="s">
        <v>2278</v>
      </c>
      <c r="B56" t="s">
        <v>49</v>
      </c>
      <c r="C56">
        <v>7802348846</v>
      </c>
      <c r="D56">
        <v>997350001</v>
      </c>
      <c r="E56" t="s">
        <v>50</v>
      </c>
      <c r="F56" t="s">
        <v>39</v>
      </c>
      <c r="G56">
        <v>2</v>
      </c>
    </row>
    <row r="57" spans="1:7" x14ac:dyDescent="0.25">
      <c r="A57" s="33" t="s">
        <v>2279</v>
      </c>
      <c r="B57" t="s">
        <v>49</v>
      </c>
      <c r="C57">
        <v>7802348846</v>
      </c>
      <c r="D57">
        <v>997350001</v>
      </c>
      <c r="E57" t="s">
        <v>50</v>
      </c>
      <c r="F57" t="s">
        <v>39</v>
      </c>
      <c r="G57">
        <v>2</v>
      </c>
    </row>
    <row r="58" spans="1:7" x14ac:dyDescent="0.25">
      <c r="A58" s="34" t="s">
        <v>2280</v>
      </c>
      <c r="B58" t="s">
        <v>53</v>
      </c>
      <c r="C58">
        <v>7802348846</v>
      </c>
      <c r="D58">
        <v>997350001</v>
      </c>
      <c r="E58" t="s">
        <v>54</v>
      </c>
      <c r="F58" t="s">
        <v>39</v>
      </c>
      <c r="G58">
        <v>2</v>
      </c>
    </row>
    <row r="59" spans="1:7" x14ac:dyDescent="0.25">
      <c r="A59" s="33" t="s">
        <v>2281</v>
      </c>
      <c r="B59" t="s">
        <v>53</v>
      </c>
      <c r="C59">
        <v>7802348846</v>
      </c>
      <c r="D59">
        <v>997350001</v>
      </c>
      <c r="E59" t="s">
        <v>54</v>
      </c>
      <c r="F59" t="s">
        <v>39</v>
      </c>
      <c r="G59">
        <v>2</v>
      </c>
    </row>
    <row r="60" spans="1:7" x14ac:dyDescent="0.25">
      <c r="A60" s="34" t="s">
        <v>2282</v>
      </c>
      <c r="B60" t="s">
        <v>53</v>
      </c>
      <c r="C60">
        <v>7802348846</v>
      </c>
      <c r="D60">
        <v>997350001</v>
      </c>
      <c r="E60" t="s">
        <v>54</v>
      </c>
      <c r="F60" t="s">
        <v>39</v>
      </c>
      <c r="G60">
        <v>2</v>
      </c>
    </row>
    <row r="61" spans="1:7" x14ac:dyDescent="0.25">
      <c r="A61" s="33" t="s">
        <v>2283</v>
      </c>
      <c r="B61" t="s">
        <v>53</v>
      </c>
      <c r="C61">
        <v>7802348846</v>
      </c>
      <c r="D61">
        <v>997350001</v>
      </c>
      <c r="E61" t="s">
        <v>54</v>
      </c>
      <c r="F61" t="s">
        <v>39</v>
      </c>
      <c r="G61">
        <v>2</v>
      </c>
    </row>
    <row r="62" spans="1:7" x14ac:dyDescent="0.25">
      <c r="A62" s="34" t="s">
        <v>2284</v>
      </c>
      <c r="B62" t="s">
        <v>53</v>
      </c>
      <c r="C62">
        <v>7802348846</v>
      </c>
      <c r="D62">
        <v>997350001</v>
      </c>
      <c r="E62" t="s">
        <v>54</v>
      </c>
      <c r="F62" t="s">
        <v>39</v>
      </c>
      <c r="G62">
        <v>2</v>
      </c>
    </row>
    <row r="63" spans="1:7" x14ac:dyDescent="0.25">
      <c r="A63" s="33" t="s">
        <v>2285</v>
      </c>
      <c r="B63" t="s">
        <v>53</v>
      </c>
      <c r="C63">
        <v>7802348846</v>
      </c>
      <c r="D63">
        <v>997350001</v>
      </c>
      <c r="E63" t="s">
        <v>54</v>
      </c>
      <c r="F63" t="s">
        <v>39</v>
      </c>
      <c r="G63">
        <v>2</v>
      </c>
    </row>
    <row r="64" spans="1:7" x14ac:dyDescent="0.25">
      <c r="A64" s="34" t="s">
        <v>2286</v>
      </c>
      <c r="B64" t="s">
        <v>53</v>
      </c>
      <c r="C64">
        <v>7802348846</v>
      </c>
      <c r="D64">
        <v>997350001</v>
      </c>
      <c r="E64" t="s">
        <v>54</v>
      </c>
      <c r="F64" t="s">
        <v>39</v>
      </c>
      <c r="G64">
        <v>2</v>
      </c>
    </row>
    <row r="65" spans="1:7" x14ac:dyDescent="0.25">
      <c r="A65" s="33" t="s">
        <v>2287</v>
      </c>
      <c r="B65" t="s">
        <v>53</v>
      </c>
      <c r="C65">
        <v>7802348846</v>
      </c>
      <c r="D65">
        <v>997350001</v>
      </c>
      <c r="E65" t="s">
        <v>54</v>
      </c>
      <c r="F65" t="s">
        <v>39</v>
      </c>
      <c r="G65">
        <v>2</v>
      </c>
    </row>
    <row r="66" spans="1:7" x14ac:dyDescent="0.25">
      <c r="A66" s="34" t="s">
        <v>2288</v>
      </c>
      <c r="B66" t="s">
        <v>53</v>
      </c>
      <c r="C66">
        <v>7802348846</v>
      </c>
      <c r="D66">
        <v>997350001</v>
      </c>
      <c r="E66" t="s">
        <v>54</v>
      </c>
      <c r="F66" t="s">
        <v>39</v>
      </c>
      <c r="G66">
        <v>2</v>
      </c>
    </row>
    <row r="67" spans="1:7" x14ac:dyDescent="0.25">
      <c r="A67" s="33" t="s">
        <v>2289</v>
      </c>
      <c r="B67" t="s">
        <v>53</v>
      </c>
      <c r="C67">
        <v>7802348846</v>
      </c>
      <c r="D67">
        <v>997350001</v>
      </c>
      <c r="E67" t="s">
        <v>54</v>
      </c>
      <c r="F67" t="s">
        <v>39</v>
      </c>
      <c r="G67">
        <v>2</v>
      </c>
    </row>
    <row r="68" spans="1:7" x14ac:dyDescent="0.25">
      <c r="A68" s="34" t="s">
        <v>2290</v>
      </c>
      <c r="B68" t="s">
        <v>49</v>
      </c>
      <c r="C68">
        <v>7802348846</v>
      </c>
      <c r="D68">
        <v>997350001</v>
      </c>
      <c r="E68" t="s">
        <v>50</v>
      </c>
      <c r="F68" t="s">
        <v>39</v>
      </c>
      <c r="G68">
        <v>2</v>
      </c>
    </row>
    <row r="69" spans="1:7" x14ac:dyDescent="0.25">
      <c r="A69" s="33" t="s">
        <v>2291</v>
      </c>
      <c r="B69" t="s">
        <v>58</v>
      </c>
      <c r="C69">
        <v>7802348846</v>
      </c>
      <c r="D69">
        <v>997350001</v>
      </c>
      <c r="E69" t="s">
        <v>59</v>
      </c>
      <c r="F69" t="s">
        <v>39</v>
      </c>
      <c r="G69">
        <v>2</v>
      </c>
    </row>
    <row r="70" spans="1:7" x14ac:dyDescent="0.25">
      <c r="A70" s="34" t="s">
        <v>2292</v>
      </c>
      <c r="B70" t="s">
        <v>49</v>
      </c>
      <c r="C70">
        <v>7802348846</v>
      </c>
      <c r="D70">
        <v>997350001</v>
      </c>
      <c r="E70" t="s">
        <v>50</v>
      </c>
      <c r="F70" t="s">
        <v>39</v>
      </c>
      <c r="G70">
        <v>2</v>
      </c>
    </row>
    <row r="71" spans="1:7" x14ac:dyDescent="0.25">
      <c r="A71" s="33" t="s">
        <v>2293</v>
      </c>
      <c r="B71" t="s">
        <v>49</v>
      </c>
      <c r="C71">
        <v>7802348846</v>
      </c>
      <c r="D71">
        <v>997350001</v>
      </c>
      <c r="E71" t="s">
        <v>50</v>
      </c>
      <c r="F71" t="s">
        <v>39</v>
      </c>
      <c r="G71">
        <v>2</v>
      </c>
    </row>
    <row r="72" spans="1:7" x14ac:dyDescent="0.25">
      <c r="A72" s="34" t="s">
        <v>2294</v>
      </c>
      <c r="B72" t="s">
        <v>42</v>
      </c>
      <c r="C72">
        <v>7802348846</v>
      </c>
      <c r="D72">
        <v>997350001</v>
      </c>
      <c r="E72" t="s">
        <v>43</v>
      </c>
      <c r="F72" t="s">
        <v>39</v>
      </c>
      <c r="G72">
        <v>2</v>
      </c>
    </row>
    <row r="73" spans="1:7" x14ac:dyDescent="0.25">
      <c r="A73" s="33" t="s">
        <v>2295</v>
      </c>
      <c r="B73" t="s">
        <v>44</v>
      </c>
      <c r="C73">
        <v>7802348846</v>
      </c>
      <c r="D73">
        <v>997350001</v>
      </c>
      <c r="E73" t="s">
        <v>45</v>
      </c>
      <c r="F73" t="s">
        <v>39</v>
      </c>
      <c r="G73">
        <v>2</v>
      </c>
    </row>
    <row r="74" spans="1:7" x14ac:dyDescent="0.25">
      <c r="A74" s="34" t="s">
        <v>2296</v>
      </c>
      <c r="B74" t="s">
        <v>44</v>
      </c>
      <c r="C74">
        <v>7802348846</v>
      </c>
      <c r="D74">
        <v>997350001</v>
      </c>
      <c r="E74" t="s">
        <v>45</v>
      </c>
      <c r="F74" t="s">
        <v>39</v>
      </c>
      <c r="G74">
        <v>2</v>
      </c>
    </row>
    <row r="75" spans="1:7" ht="45" x14ac:dyDescent="0.25">
      <c r="A75" s="33" t="s">
        <v>2311</v>
      </c>
      <c r="B75" t="s">
        <v>37</v>
      </c>
      <c r="C75">
        <v>7802348846</v>
      </c>
      <c r="D75">
        <v>997350001</v>
      </c>
      <c r="E75" t="s">
        <v>38</v>
      </c>
      <c r="F75" t="s">
        <v>3374</v>
      </c>
      <c r="G75">
        <v>2</v>
      </c>
    </row>
    <row r="76" spans="1:7" x14ac:dyDescent="0.25">
      <c r="A76" s="34" t="s">
        <v>2312</v>
      </c>
      <c r="B76" t="s">
        <v>49</v>
      </c>
      <c r="C76">
        <v>7802348846</v>
      </c>
      <c r="D76">
        <v>997350001</v>
      </c>
      <c r="E76" t="s">
        <v>50</v>
      </c>
      <c r="F76" t="s">
        <v>39</v>
      </c>
      <c r="G76">
        <v>2</v>
      </c>
    </row>
    <row r="77" spans="1:7" x14ac:dyDescent="0.25">
      <c r="A77" s="33" t="s">
        <v>2314</v>
      </c>
      <c r="B77" t="s">
        <v>44</v>
      </c>
      <c r="C77">
        <v>7802348846</v>
      </c>
      <c r="D77">
        <v>997350001</v>
      </c>
      <c r="E77" t="s">
        <v>45</v>
      </c>
      <c r="F77" t="s">
        <v>39</v>
      </c>
      <c r="G77">
        <v>2</v>
      </c>
    </row>
    <row r="78" spans="1:7" x14ac:dyDescent="0.25">
      <c r="A78" s="34" t="s">
        <v>2313</v>
      </c>
      <c r="B78" t="s">
        <v>44</v>
      </c>
      <c r="C78">
        <v>7802348846</v>
      </c>
      <c r="D78">
        <v>997350001</v>
      </c>
      <c r="E78" t="s">
        <v>45</v>
      </c>
      <c r="F78" t="s">
        <v>39</v>
      </c>
      <c r="G78">
        <v>2</v>
      </c>
    </row>
    <row r="79" spans="1:7" x14ac:dyDescent="0.25">
      <c r="A79" s="33" t="s">
        <v>2323</v>
      </c>
      <c r="B79" t="s">
        <v>44</v>
      </c>
      <c r="C79">
        <v>7802348846</v>
      </c>
      <c r="D79">
        <v>997350001</v>
      </c>
      <c r="E79" t="s">
        <v>45</v>
      </c>
      <c r="F79" t="s">
        <v>39</v>
      </c>
      <c r="G79">
        <v>2</v>
      </c>
    </row>
    <row r="80" spans="1:7" x14ac:dyDescent="0.25">
      <c r="A80" s="34" t="s">
        <v>2324</v>
      </c>
      <c r="B80" t="s">
        <v>44</v>
      </c>
      <c r="C80">
        <v>7802348846</v>
      </c>
      <c r="D80">
        <v>997350001</v>
      </c>
      <c r="E80" t="s">
        <v>45</v>
      </c>
      <c r="F80" t="s">
        <v>39</v>
      </c>
      <c r="G80">
        <v>2</v>
      </c>
    </row>
    <row r="81" spans="1:7" x14ac:dyDescent="0.25">
      <c r="A81" s="33" t="s">
        <v>2326</v>
      </c>
      <c r="B81" t="s">
        <v>35</v>
      </c>
      <c r="C81">
        <v>7802348846</v>
      </c>
      <c r="D81">
        <v>997350001</v>
      </c>
      <c r="E81" t="s">
        <v>36</v>
      </c>
      <c r="F81" t="s">
        <v>3374</v>
      </c>
      <c r="G81">
        <v>2</v>
      </c>
    </row>
    <row r="82" spans="1:7" x14ac:dyDescent="0.25">
      <c r="A82" s="34" t="s">
        <v>2327</v>
      </c>
      <c r="B82" t="s">
        <v>35</v>
      </c>
      <c r="C82">
        <v>7802348846</v>
      </c>
      <c r="D82">
        <v>997350001</v>
      </c>
      <c r="E82" t="s">
        <v>36</v>
      </c>
      <c r="F82" t="s">
        <v>3374</v>
      </c>
      <c r="G82">
        <v>2</v>
      </c>
    </row>
    <row r="83" spans="1:7" x14ac:dyDescent="0.25">
      <c r="A83" s="33" t="s">
        <v>2328</v>
      </c>
      <c r="B83" t="s">
        <v>35</v>
      </c>
      <c r="C83">
        <v>7802348846</v>
      </c>
      <c r="D83">
        <v>997350001</v>
      </c>
      <c r="E83" t="s">
        <v>36</v>
      </c>
      <c r="F83" t="s">
        <v>3374</v>
      </c>
      <c r="G83">
        <v>2</v>
      </c>
    </row>
    <row r="84" spans="1:7" x14ac:dyDescent="0.25">
      <c r="A84" s="34" t="s">
        <v>2329</v>
      </c>
      <c r="B84" t="s">
        <v>35</v>
      </c>
      <c r="C84">
        <v>7802348846</v>
      </c>
      <c r="D84">
        <v>997350001</v>
      </c>
      <c r="E84" t="s">
        <v>36</v>
      </c>
      <c r="F84" t="s">
        <v>3374</v>
      </c>
      <c r="G84">
        <v>2</v>
      </c>
    </row>
    <row r="85" spans="1:7" x14ac:dyDescent="0.25">
      <c r="A85" s="33" t="s">
        <v>2341</v>
      </c>
      <c r="B85" t="s">
        <v>35</v>
      </c>
      <c r="C85">
        <v>7802348846</v>
      </c>
      <c r="D85">
        <v>997350001</v>
      </c>
      <c r="E85" t="s">
        <v>36</v>
      </c>
      <c r="F85" t="s">
        <v>3374</v>
      </c>
      <c r="G85">
        <v>2</v>
      </c>
    </row>
    <row r="86" spans="1:7" x14ac:dyDescent="0.25">
      <c r="A86" s="34" t="s">
        <v>2330</v>
      </c>
      <c r="B86" t="s">
        <v>35</v>
      </c>
      <c r="C86">
        <v>7802348846</v>
      </c>
      <c r="D86">
        <v>997350001</v>
      </c>
      <c r="E86" t="s">
        <v>36</v>
      </c>
      <c r="F86" t="s">
        <v>3374</v>
      </c>
      <c r="G86">
        <v>2</v>
      </c>
    </row>
    <row r="87" spans="1:7" x14ac:dyDescent="0.25">
      <c r="A87" s="33" t="s">
        <v>2331</v>
      </c>
      <c r="B87" t="s">
        <v>35</v>
      </c>
      <c r="C87">
        <v>7802348846</v>
      </c>
      <c r="D87">
        <v>997350001</v>
      </c>
      <c r="E87" t="s">
        <v>36</v>
      </c>
      <c r="F87" t="s">
        <v>3374</v>
      </c>
      <c r="G87">
        <v>2</v>
      </c>
    </row>
    <row r="88" spans="1:7" x14ac:dyDescent="0.25">
      <c r="A88" s="34" t="s">
        <v>2333</v>
      </c>
      <c r="B88" t="s">
        <v>35</v>
      </c>
      <c r="C88">
        <v>7802348846</v>
      </c>
      <c r="D88">
        <v>997350001</v>
      </c>
      <c r="E88" t="s">
        <v>36</v>
      </c>
      <c r="F88" t="s">
        <v>3374</v>
      </c>
      <c r="G88">
        <v>2</v>
      </c>
    </row>
    <row r="89" spans="1:7" x14ac:dyDescent="0.25">
      <c r="A89" s="33" t="s">
        <v>2334</v>
      </c>
      <c r="B89" t="s">
        <v>35</v>
      </c>
      <c r="C89">
        <v>7802348846</v>
      </c>
      <c r="D89">
        <v>997350001</v>
      </c>
      <c r="E89" t="s">
        <v>36</v>
      </c>
      <c r="F89" t="s">
        <v>3374</v>
      </c>
      <c r="G89">
        <v>2</v>
      </c>
    </row>
    <row r="90" spans="1:7" x14ac:dyDescent="0.25">
      <c r="A90" s="34" t="s">
        <v>2335</v>
      </c>
      <c r="B90" t="s">
        <v>35</v>
      </c>
      <c r="C90">
        <v>7802348846</v>
      </c>
      <c r="D90">
        <v>997350001</v>
      </c>
      <c r="E90" t="s">
        <v>36</v>
      </c>
      <c r="F90" t="s">
        <v>3374</v>
      </c>
      <c r="G90">
        <v>2</v>
      </c>
    </row>
    <row r="91" spans="1:7" x14ac:dyDescent="0.25">
      <c r="A91" s="33" t="s">
        <v>2336</v>
      </c>
      <c r="B91" t="s">
        <v>35</v>
      </c>
      <c r="C91">
        <v>7802348846</v>
      </c>
      <c r="D91">
        <v>997350001</v>
      </c>
      <c r="E91" t="s">
        <v>36</v>
      </c>
      <c r="F91" t="s">
        <v>3374</v>
      </c>
      <c r="G91">
        <v>2</v>
      </c>
    </row>
    <row r="92" spans="1:7" x14ac:dyDescent="0.25">
      <c r="A92" s="34" t="s">
        <v>2332</v>
      </c>
      <c r="B92" t="s">
        <v>35</v>
      </c>
      <c r="C92">
        <v>7802348846</v>
      </c>
      <c r="D92">
        <v>997350001</v>
      </c>
      <c r="E92" t="s">
        <v>36</v>
      </c>
      <c r="F92" t="s">
        <v>3374</v>
      </c>
      <c r="G92">
        <v>2</v>
      </c>
    </row>
    <row r="93" spans="1:7" x14ac:dyDescent="0.25">
      <c r="A93" s="33" t="s">
        <v>2337</v>
      </c>
      <c r="B93" t="s">
        <v>35</v>
      </c>
      <c r="C93">
        <v>7802348846</v>
      </c>
      <c r="D93">
        <v>997350001</v>
      </c>
      <c r="E93" t="s">
        <v>36</v>
      </c>
      <c r="F93" t="s">
        <v>3374</v>
      </c>
      <c r="G93">
        <v>2</v>
      </c>
    </row>
    <row r="94" spans="1:7" x14ac:dyDescent="0.25">
      <c r="A94" s="34" t="s">
        <v>2338</v>
      </c>
      <c r="B94" t="s">
        <v>35</v>
      </c>
      <c r="C94">
        <v>7802348846</v>
      </c>
      <c r="D94">
        <v>997350001</v>
      </c>
      <c r="E94" t="s">
        <v>36</v>
      </c>
      <c r="F94" t="s">
        <v>3374</v>
      </c>
      <c r="G94">
        <v>2</v>
      </c>
    </row>
    <row r="95" spans="1:7" x14ac:dyDescent="0.25">
      <c r="A95" s="33" t="s">
        <v>2339</v>
      </c>
      <c r="B95" t="s">
        <v>35</v>
      </c>
      <c r="C95">
        <v>7802348846</v>
      </c>
      <c r="D95">
        <v>997350001</v>
      </c>
      <c r="E95" t="s">
        <v>36</v>
      </c>
      <c r="F95" t="s">
        <v>3374</v>
      </c>
      <c r="G95">
        <v>2</v>
      </c>
    </row>
    <row r="96" spans="1:7" x14ac:dyDescent="0.25">
      <c r="A96" s="34" t="s">
        <v>2340</v>
      </c>
      <c r="B96" t="s">
        <v>35</v>
      </c>
      <c r="C96">
        <v>7802348846</v>
      </c>
      <c r="D96">
        <v>997350001</v>
      </c>
      <c r="E96" t="s">
        <v>36</v>
      </c>
      <c r="F96" t="s">
        <v>3374</v>
      </c>
      <c r="G96">
        <v>2</v>
      </c>
    </row>
    <row r="97" spans="1:7" x14ac:dyDescent="0.25">
      <c r="A97" s="33" t="s">
        <v>2342</v>
      </c>
      <c r="B97" t="s">
        <v>2349</v>
      </c>
      <c r="C97" s="32">
        <v>7802348846</v>
      </c>
      <c r="D97" s="32">
        <v>997350001</v>
      </c>
      <c r="E97" t="s">
        <v>2350</v>
      </c>
      <c r="F97" t="s">
        <v>39</v>
      </c>
      <c r="G97">
        <v>1</v>
      </c>
    </row>
    <row r="98" spans="1:7" x14ac:dyDescent="0.25">
      <c r="A98" s="34" t="s">
        <v>2343</v>
      </c>
      <c r="B98" t="s">
        <v>2349</v>
      </c>
      <c r="C98" s="32">
        <v>7802348846</v>
      </c>
      <c r="D98" s="32">
        <v>997350001</v>
      </c>
      <c r="E98" t="s">
        <v>2350</v>
      </c>
      <c r="F98" t="s">
        <v>39</v>
      </c>
      <c r="G98">
        <v>1</v>
      </c>
    </row>
    <row r="99" spans="1:7" x14ac:dyDescent="0.25">
      <c r="A99" s="33" t="s">
        <v>2344</v>
      </c>
      <c r="B99" t="s">
        <v>2349</v>
      </c>
      <c r="C99" s="32">
        <v>7802348846</v>
      </c>
      <c r="D99" s="32">
        <v>997350001</v>
      </c>
      <c r="E99" t="s">
        <v>2350</v>
      </c>
      <c r="F99" t="s">
        <v>39</v>
      </c>
      <c r="G99">
        <v>1</v>
      </c>
    </row>
    <row r="100" spans="1:7" x14ac:dyDescent="0.25">
      <c r="A100" s="34" t="s">
        <v>2345</v>
      </c>
      <c r="B100" t="s">
        <v>2349</v>
      </c>
      <c r="C100" s="32">
        <v>7802348846</v>
      </c>
      <c r="D100" s="32">
        <v>997350001</v>
      </c>
      <c r="E100" t="s">
        <v>2350</v>
      </c>
      <c r="F100" t="s">
        <v>39</v>
      </c>
      <c r="G100">
        <v>1</v>
      </c>
    </row>
    <row r="101" spans="1:7" x14ac:dyDescent="0.25">
      <c r="A101" s="33" t="s">
        <v>2346</v>
      </c>
      <c r="B101" t="s">
        <v>2349</v>
      </c>
      <c r="C101" s="32">
        <v>7802348846</v>
      </c>
      <c r="D101" s="32">
        <v>997350001</v>
      </c>
      <c r="E101" t="s">
        <v>2350</v>
      </c>
      <c r="F101" t="s">
        <v>39</v>
      </c>
      <c r="G101">
        <v>1</v>
      </c>
    </row>
    <row r="102" spans="1:7" x14ac:dyDescent="0.25">
      <c r="A102" s="34" t="s">
        <v>2347</v>
      </c>
      <c r="B102" t="s">
        <v>2349</v>
      </c>
      <c r="C102" s="32">
        <v>7802348846</v>
      </c>
      <c r="D102" s="32">
        <v>997350001</v>
      </c>
      <c r="E102" t="s">
        <v>2350</v>
      </c>
      <c r="F102" t="s">
        <v>39</v>
      </c>
      <c r="G102">
        <v>1</v>
      </c>
    </row>
    <row r="103" spans="1:7" x14ac:dyDescent="0.25">
      <c r="A103" s="33" t="s">
        <v>2348</v>
      </c>
      <c r="B103" t="s">
        <v>2349</v>
      </c>
      <c r="C103" s="32">
        <v>7802348846</v>
      </c>
      <c r="D103" s="32">
        <v>997350001</v>
      </c>
      <c r="E103" t="s">
        <v>2350</v>
      </c>
      <c r="F103" t="s">
        <v>39</v>
      </c>
      <c r="G103">
        <v>1</v>
      </c>
    </row>
    <row r="104" spans="1:7" x14ac:dyDescent="0.25">
      <c r="A104" s="34" t="s">
        <v>2351</v>
      </c>
      <c r="B104" t="s">
        <v>37</v>
      </c>
      <c r="C104">
        <v>7802348846</v>
      </c>
      <c r="D104">
        <v>997350001</v>
      </c>
      <c r="E104" t="s">
        <v>38</v>
      </c>
      <c r="F104" t="s">
        <v>39</v>
      </c>
      <c r="G104">
        <v>1</v>
      </c>
    </row>
    <row r="105" spans="1:7" ht="60" x14ac:dyDescent="0.25">
      <c r="A105" s="33" t="s">
        <v>2352</v>
      </c>
      <c r="B105" t="s">
        <v>37</v>
      </c>
      <c r="C105">
        <v>7802348846</v>
      </c>
      <c r="D105">
        <v>997350001</v>
      </c>
      <c r="E105" t="s">
        <v>38</v>
      </c>
      <c r="F105" t="s">
        <v>39</v>
      </c>
      <c r="G105">
        <v>1</v>
      </c>
    </row>
    <row r="106" spans="1:7" ht="60" x14ac:dyDescent="0.25">
      <c r="A106" s="34" t="s">
        <v>2353</v>
      </c>
      <c r="B106" t="s">
        <v>37</v>
      </c>
      <c r="C106">
        <v>7802348846</v>
      </c>
      <c r="D106">
        <v>997350001</v>
      </c>
      <c r="E106" t="s">
        <v>38</v>
      </c>
      <c r="F106" t="s">
        <v>39</v>
      </c>
      <c r="G106">
        <v>1</v>
      </c>
    </row>
    <row r="107" spans="1:7" ht="60" x14ac:dyDescent="0.25">
      <c r="A107" s="33" t="s">
        <v>2354</v>
      </c>
      <c r="B107" t="s">
        <v>37</v>
      </c>
      <c r="C107">
        <v>7802348846</v>
      </c>
      <c r="D107">
        <v>997350001</v>
      </c>
      <c r="E107" t="s">
        <v>38</v>
      </c>
      <c r="F107" t="s">
        <v>39</v>
      </c>
      <c r="G107">
        <v>1</v>
      </c>
    </row>
    <row r="108" spans="1:7" x14ac:dyDescent="0.25">
      <c r="A108" s="34" t="s">
        <v>2355</v>
      </c>
      <c r="B108" t="s">
        <v>37</v>
      </c>
      <c r="C108">
        <v>7802348846</v>
      </c>
      <c r="D108">
        <v>997350001</v>
      </c>
      <c r="E108" t="s">
        <v>38</v>
      </c>
      <c r="F108" t="s">
        <v>39</v>
      </c>
      <c r="G108">
        <v>1</v>
      </c>
    </row>
    <row r="109" spans="1:7" x14ac:dyDescent="0.25">
      <c r="A109" s="33" t="s">
        <v>2356</v>
      </c>
      <c r="B109" t="s">
        <v>37</v>
      </c>
      <c r="C109">
        <v>7802348846</v>
      </c>
      <c r="D109">
        <v>997350001</v>
      </c>
      <c r="E109" t="s">
        <v>38</v>
      </c>
      <c r="F109" t="s">
        <v>39</v>
      </c>
      <c r="G109">
        <v>1</v>
      </c>
    </row>
    <row r="110" spans="1:7" x14ac:dyDescent="0.25">
      <c r="A110" s="34" t="s">
        <v>2357</v>
      </c>
      <c r="B110" t="s">
        <v>37</v>
      </c>
      <c r="C110">
        <v>7802348846</v>
      </c>
      <c r="D110">
        <v>997350001</v>
      </c>
      <c r="E110" t="s">
        <v>38</v>
      </c>
      <c r="F110" t="s">
        <v>39</v>
      </c>
      <c r="G110">
        <v>1</v>
      </c>
    </row>
    <row r="111" spans="1:7" ht="13.5" customHeight="1" x14ac:dyDescent="0.25">
      <c r="A111" s="33" t="s">
        <v>2358</v>
      </c>
      <c r="B111" t="s">
        <v>37</v>
      </c>
      <c r="C111">
        <v>7802348846</v>
      </c>
      <c r="D111">
        <v>997350001</v>
      </c>
      <c r="E111" t="s">
        <v>38</v>
      </c>
      <c r="F111" t="s">
        <v>39</v>
      </c>
      <c r="G111">
        <v>1</v>
      </c>
    </row>
    <row r="112" spans="1:7" x14ac:dyDescent="0.25">
      <c r="A112" s="34" t="s">
        <v>2359</v>
      </c>
      <c r="B112" t="s">
        <v>37</v>
      </c>
      <c r="C112">
        <v>7802348846</v>
      </c>
      <c r="D112">
        <v>997350001</v>
      </c>
      <c r="E112" t="s">
        <v>38</v>
      </c>
      <c r="F112" t="s">
        <v>39</v>
      </c>
      <c r="G112">
        <v>1</v>
      </c>
    </row>
    <row r="113" spans="1:7" x14ac:dyDescent="0.25">
      <c r="A113" s="33" t="s">
        <v>2360</v>
      </c>
      <c r="B113" t="s">
        <v>37</v>
      </c>
      <c r="C113">
        <v>7802348846</v>
      </c>
      <c r="D113">
        <v>997350001</v>
      </c>
      <c r="E113" t="s">
        <v>38</v>
      </c>
      <c r="F113" t="s">
        <v>39</v>
      </c>
      <c r="G113">
        <v>1</v>
      </c>
    </row>
    <row r="114" spans="1:7" ht="30" x14ac:dyDescent="0.25">
      <c r="A114" s="34" t="s">
        <v>2361</v>
      </c>
      <c r="B114" t="s">
        <v>37</v>
      </c>
      <c r="C114">
        <v>7802348846</v>
      </c>
      <c r="D114">
        <v>997350001</v>
      </c>
      <c r="E114" t="s">
        <v>38</v>
      </c>
      <c r="F114" t="s">
        <v>39</v>
      </c>
      <c r="G114">
        <v>1</v>
      </c>
    </row>
    <row r="115" spans="1:7" x14ac:dyDescent="0.25">
      <c r="A115" s="33" t="s">
        <v>2362</v>
      </c>
      <c r="B115" t="s">
        <v>37</v>
      </c>
      <c r="C115">
        <v>7802348846</v>
      </c>
      <c r="D115">
        <v>997350001</v>
      </c>
      <c r="E115" t="s">
        <v>38</v>
      </c>
      <c r="F115" t="s">
        <v>39</v>
      </c>
      <c r="G115">
        <v>1</v>
      </c>
    </row>
    <row r="116" spans="1:7" ht="30" x14ac:dyDescent="0.25">
      <c r="A116" s="34" t="s">
        <v>2363</v>
      </c>
      <c r="B116" t="s">
        <v>37</v>
      </c>
      <c r="C116">
        <v>7802348846</v>
      </c>
      <c r="D116">
        <v>997350001</v>
      </c>
      <c r="E116" t="s">
        <v>38</v>
      </c>
      <c r="F116" t="s">
        <v>39</v>
      </c>
      <c r="G116">
        <v>1</v>
      </c>
    </row>
    <row r="117" spans="1:7" ht="30" x14ac:dyDescent="0.25">
      <c r="A117" s="33" t="s">
        <v>2364</v>
      </c>
      <c r="B117" t="s">
        <v>37</v>
      </c>
      <c r="C117">
        <v>7802348846</v>
      </c>
      <c r="D117">
        <v>997350001</v>
      </c>
      <c r="E117" t="s">
        <v>38</v>
      </c>
      <c r="F117" t="s">
        <v>39</v>
      </c>
      <c r="G117">
        <v>1</v>
      </c>
    </row>
    <row r="118" spans="1:7" ht="30" x14ac:dyDescent="0.25">
      <c r="A118" s="34" t="s">
        <v>2365</v>
      </c>
      <c r="B118" t="s">
        <v>37</v>
      </c>
      <c r="C118">
        <v>7802348846</v>
      </c>
      <c r="D118">
        <v>997350001</v>
      </c>
      <c r="E118" t="s">
        <v>38</v>
      </c>
      <c r="F118" t="s">
        <v>39</v>
      </c>
      <c r="G118">
        <v>1</v>
      </c>
    </row>
    <row r="119" spans="1:7" x14ac:dyDescent="0.25">
      <c r="A119" s="33" t="s">
        <v>2366</v>
      </c>
      <c r="B119" t="s">
        <v>37</v>
      </c>
      <c r="C119">
        <v>7802348846</v>
      </c>
      <c r="D119">
        <v>997350001</v>
      </c>
      <c r="E119" t="s">
        <v>38</v>
      </c>
      <c r="F119" t="s">
        <v>39</v>
      </c>
      <c r="G119">
        <v>1</v>
      </c>
    </row>
    <row r="120" spans="1:7" x14ac:dyDescent="0.25">
      <c r="A120" s="34" t="s">
        <v>2367</v>
      </c>
      <c r="B120" t="s">
        <v>37</v>
      </c>
      <c r="C120">
        <v>7802348846</v>
      </c>
      <c r="D120">
        <v>997350001</v>
      </c>
      <c r="E120" t="s">
        <v>38</v>
      </c>
      <c r="F120" t="s">
        <v>39</v>
      </c>
      <c r="G120">
        <v>1</v>
      </c>
    </row>
    <row r="121" spans="1:7" x14ac:dyDescent="0.25">
      <c r="A121" s="33" t="s">
        <v>2368</v>
      </c>
      <c r="B121" t="s">
        <v>40</v>
      </c>
      <c r="C121">
        <v>7802348846</v>
      </c>
      <c r="D121">
        <v>997350001</v>
      </c>
      <c r="E121" t="s">
        <v>41</v>
      </c>
      <c r="F121" t="s">
        <v>39</v>
      </c>
      <c r="G121">
        <v>2</v>
      </c>
    </row>
    <row r="122" spans="1:7" x14ac:dyDescent="0.25">
      <c r="A122" s="34" t="s">
        <v>2369</v>
      </c>
      <c r="B122" t="s">
        <v>40</v>
      </c>
      <c r="C122">
        <v>7802348846</v>
      </c>
      <c r="D122">
        <v>997350001</v>
      </c>
      <c r="E122" t="s">
        <v>41</v>
      </c>
      <c r="F122" t="s">
        <v>39</v>
      </c>
      <c r="G122">
        <v>2</v>
      </c>
    </row>
    <row r="123" spans="1:7" x14ac:dyDescent="0.25">
      <c r="A123" s="33" t="s">
        <v>2370</v>
      </c>
      <c r="B123" t="s">
        <v>40</v>
      </c>
      <c r="C123">
        <v>7802348846</v>
      </c>
      <c r="D123">
        <v>997350001</v>
      </c>
      <c r="E123" t="s">
        <v>41</v>
      </c>
      <c r="F123" t="s">
        <v>39</v>
      </c>
      <c r="G123">
        <v>2</v>
      </c>
    </row>
    <row r="124" spans="1:7" x14ac:dyDescent="0.25">
      <c r="A124" s="34" t="s">
        <v>2371</v>
      </c>
      <c r="B124" t="s">
        <v>40</v>
      </c>
      <c r="C124">
        <v>7802348846</v>
      </c>
      <c r="D124">
        <v>997350001</v>
      </c>
      <c r="E124" t="s">
        <v>41</v>
      </c>
      <c r="F124" t="s">
        <v>39</v>
      </c>
      <c r="G124">
        <v>2</v>
      </c>
    </row>
    <row r="125" spans="1:7" x14ac:dyDescent="0.25">
      <c r="A125" s="33" t="s">
        <v>2372</v>
      </c>
      <c r="B125" t="s">
        <v>40</v>
      </c>
      <c r="C125">
        <v>7802348846</v>
      </c>
      <c r="D125">
        <v>997350001</v>
      </c>
      <c r="E125" t="s">
        <v>41</v>
      </c>
      <c r="F125" t="s">
        <v>39</v>
      </c>
      <c r="G125">
        <v>2</v>
      </c>
    </row>
    <row r="126" spans="1:7" x14ac:dyDescent="0.25">
      <c r="A126" s="34" t="s">
        <v>2378</v>
      </c>
      <c r="B126" t="s">
        <v>46</v>
      </c>
      <c r="C126">
        <v>7802348846</v>
      </c>
      <c r="D126">
        <v>997350001</v>
      </c>
      <c r="E126" t="s">
        <v>47</v>
      </c>
      <c r="F126" t="s">
        <v>48</v>
      </c>
      <c r="G126">
        <v>2</v>
      </c>
    </row>
    <row r="127" spans="1:7" x14ac:dyDescent="0.25">
      <c r="A127" s="33" t="s">
        <v>2377</v>
      </c>
      <c r="B127" t="s">
        <v>46</v>
      </c>
      <c r="C127">
        <v>7802348846</v>
      </c>
      <c r="D127">
        <v>997350001</v>
      </c>
      <c r="E127" t="s">
        <v>47</v>
      </c>
      <c r="F127" t="s">
        <v>48</v>
      </c>
      <c r="G127">
        <v>2</v>
      </c>
    </row>
    <row r="128" spans="1:7" x14ac:dyDescent="0.25">
      <c r="A128" s="34" t="s">
        <v>2376</v>
      </c>
      <c r="B128" t="s">
        <v>46</v>
      </c>
      <c r="C128">
        <v>7802348846</v>
      </c>
      <c r="D128">
        <v>997350001</v>
      </c>
      <c r="E128" t="s">
        <v>47</v>
      </c>
      <c r="F128" t="s">
        <v>48</v>
      </c>
      <c r="G128">
        <v>2</v>
      </c>
    </row>
    <row r="129" spans="1:7" x14ac:dyDescent="0.25">
      <c r="A129" s="33" t="s">
        <v>2375</v>
      </c>
      <c r="B129" t="s">
        <v>46</v>
      </c>
      <c r="C129">
        <v>7802348846</v>
      </c>
      <c r="D129">
        <v>997350001</v>
      </c>
      <c r="E129" t="s">
        <v>47</v>
      </c>
      <c r="F129" t="s">
        <v>48</v>
      </c>
      <c r="G129">
        <v>2</v>
      </c>
    </row>
    <row r="130" spans="1:7" x14ac:dyDescent="0.25">
      <c r="A130" s="34" t="s">
        <v>2374</v>
      </c>
      <c r="B130" t="s">
        <v>46</v>
      </c>
      <c r="C130">
        <v>7802348846</v>
      </c>
      <c r="D130">
        <v>997350001</v>
      </c>
      <c r="E130" t="s">
        <v>47</v>
      </c>
      <c r="F130" t="s">
        <v>48</v>
      </c>
      <c r="G130">
        <v>2</v>
      </c>
    </row>
    <row r="131" spans="1:7" x14ac:dyDescent="0.25">
      <c r="A131" s="33" t="s">
        <v>2373</v>
      </c>
      <c r="B131" t="s">
        <v>46</v>
      </c>
      <c r="C131">
        <v>7802348846</v>
      </c>
      <c r="D131">
        <v>997350001</v>
      </c>
      <c r="E131" t="s">
        <v>47</v>
      </c>
      <c r="F131" t="s">
        <v>48</v>
      </c>
      <c r="G131">
        <v>2</v>
      </c>
    </row>
    <row r="132" spans="1:7" x14ac:dyDescent="0.25">
      <c r="A132" s="34" t="s">
        <v>2379</v>
      </c>
      <c r="B132" t="s">
        <v>44</v>
      </c>
      <c r="C132">
        <v>7802348846</v>
      </c>
      <c r="D132">
        <v>997350001</v>
      </c>
      <c r="E132" t="s">
        <v>45</v>
      </c>
      <c r="F132" t="s">
        <v>39</v>
      </c>
      <c r="G132">
        <v>2</v>
      </c>
    </row>
    <row r="133" spans="1:7" x14ac:dyDescent="0.25">
      <c r="A133" s="33" t="s">
        <v>2381</v>
      </c>
      <c r="B133" t="s">
        <v>44</v>
      </c>
      <c r="C133">
        <v>7802348846</v>
      </c>
      <c r="D133">
        <v>997350001</v>
      </c>
      <c r="E133" t="s">
        <v>45</v>
      </c>
      <c r="F133" t="s">
        <v>39</v>
      </c>
      <c r="G133">
        <v>2</v>
      </c>
    </row>
    <row r="134" spans="1:7" x14ac:dyDescent="0.25">
      <c r="A134" s="34" t="s">
        <v>2398</v>
      </c>
      <c r="B134" t="s">
        <v>44</v>
      </c>
      <c r="C134">
        <v>7802348846</v>
      </c>
      <c r="D134">
        <v>997350001</v>
      </c>
      <c r="E134" t="s">
        <v>45</v>
      </c>
      <c r="F134" t="s">
        <v>39</v>
      </c>
      <c r="G134">
        <v>2</v>
      </c>
    </row>
    <row r="135" spans="1:7" x14ac:dyDescent="0.25">
      <c r="A135" s="33" t="s">
        <v>2382</v>
      </c>
      <c r="B135" t="s">
        <v>44</v>
      </c>
      <c r="C135">
        <v>7802348846</v>
      </c>
      <c r="D135">
        <v>997350001</v>
      </c>
      <c r="E135" t="s">
        <v>45</v>
      </c>
      <c r="F135" t="s">
        <v>39</v>
      </c>
      <c r="G135">
        <v>2</v>
      </c>
    </row>
    <row r="136" spans="1:7" x14ac:dyDescent="0.25">
      <c r="A136" s="34" t="s">
        <v>2383</v>
      </c>
      <c r="B136" t="s">
        <v>44</v>
      </c>
      <c r="C136">
        <v>7802348846</v>
      </c>
      <c r="D136">
        <v>997350001</v>
      </c>
      <c r="E136" t="s">
        <v>45</v>
      </c>
      <c r="F136" t="s">
        <v>39</v>
      </c>
      <c r="G136">
        <v>2</v>
      </c>
    </row>
    <row r="137" spans="1:7" x14ac:dyDescent="0.25">
      <c r="A137" s="33" t="s">
        <v>2384</v>
      </c>
      <c r="B137" t="s">
        <v>44</v>
      </c>
      <c r="C137">
        <v>7802348846</v>
      </c>
      <c r="D137">
        <v>997350001</v>
      </c>
      <c r="E137" t="s">
        <v>45</v>
      </c>
      <c r="F137" t="s">
        <v>39</v>
      </c>
      <c r="G137">
        <v>2</v>
      </c>
    </row>
    <row r="138" spans="1:7" x14ac:dyDescent="0.25">
      <c r="A138" s="34" t="s">
        <v>2385</v>
      </c>
      <c r="B138" t="s">
        <v>44</v>
      </c>
      <c r="C138">
        <v>7802348846</v>
      </c>
      <c r="D138">
        <v>997350001</v>
      </c>
      <c r="E138" t="s">
        <v>45</v>
      </c>
      <c r="F138" t="s">
        <v>39</v>
      </c>
      <c r="G138">
        <v>2</v>
      </c>
    </row>
    <row r="139" spans="1:7" x14ac:dyDescent="0.25">
      <c r="A139" s="33" t="s">
        <v>2386</v>
      </c>
      <c r="B139" t="s">
        <v>44</v>
      </c>
      <c r="C139">
        <v>7802348846</v>
      </c>
      <c r="D139">
        <v>997350001</v>
      </c>
      <c r="E139" t="s">
        <v>45</v>
      </c>
      <c r="F139" t="s">
        <v>39</v>
      </c>
      <c r="G139">
        <v>2</v>
      </c>
    </row>
    <row r="140" spans="1:7" x14ac:dyDescent="0.25">
      <c r="A140" s="34" t="s">
        <v>2394</v>
      </c>
      <c r="B140" t="s">
        <v>44</v>
      </c>
      <c r="C140">
        <v>7802348846</v>
      </c>
      <c r="D140">
        <v>997350001</v>
      </c>
      <c r="E140" t="s">
        <v>45</v>
      </c>
      <c r="F140" t="s">
        <v>39</v>
      </c>
      <c r="G140">
        <v>2</v>
      </c>
    </row>
    <row r="141" spans="1:7" x14ac:dyDescent="0.25">
      <c r="A141" s="33" t="s">
        <v>2395</v>
      </c>
      <c r="B141" t="s">
        <v>44</v>
      </c>
      <c r="C141">
        <v>7802348846</v>
      </c>
      <c r="D141">
        <v>997350001</v>
      </c>
      <c r="E141" t="s">
        <v>45</v>
      </c>
      <c r="F141" t="s">
        <v>39</v>
      </c>
      <c r="G141">
        <v>2</v>
      </c>
    </row>
    <row r="142" spans="1:7" x14ac:dyDescent="0.25">
      <c r="A142" s="34" t="s">
        <v>2396</v>
      </c>
      <c r="B142" t="s">
        <v>44</v>
      </c>
      <c r="C142">
        <v>7802348846</v>
      </c>
      <c r="D142">
        <v>997350001</v>
      </c>
      <c r="E142" t="s">
        <v>45</v>
      </c>
      <c r="F142" t="s">
        <v>39</v>
      </c>
      <c r="G142">
        <v>2</v>
      </c>
    </row>
    <row r="143" spans="1:7" x14ac:dyDescent="0.25">
      <c r="A143" s="33" t="s">
        <v>2387</v>
      </c>
      <c r="B143" t="s">
        <v>44</v>
      </c>
      <c r="C143">
        <v>7802348846</v>
      </c>
      <c r="D143">
        <v>997350001</v>
      </c>
      <c r="E143" t="s">
        <v>45</v>
      </c>
      <c r="F143" t="s">
        <v>39</v>
      </c>
      <c r="G143">
        <v>2</v>
      </c>
    </row>
    <row r="144" spans="1:7" x14ac:dyDescent="0.25">
      <c r="A144" s="34" t="s">
        <v>2397</v>
      </c>
      <c r="B144" t="s">
        <v>44</v>
      </c>
      <c r="C144">
        <v>7802348846</v>
      </c>
      <c r="D144">
        <v>997350001</v>
      </c>
      <c r="E144" t="s">
        <v>45</v>
      </c>
      <c r="F144" t="s">
        <v>39</v>
      </c>
      <c r="G144">
        <v>2</v>
      </c>
    </row>
    <row r="145" spans="1:7" x14ac:dyDescent="0.25">
      <c r="A145" s="33" t="s">
        <v>2388</v>
      </c>
      <c r="B145" t="s">
        <v>44</v>
      </c>
      <c r="C145">
        <v>7802348846</v>
      </c>
      <c r="D145">
        <v>997350001</v>
      </c>
      <c r="E145" t="s">
        <v>45</v>
      </c>
      <c r="F145" t="s">
        <v>39</v>
      </c>
      <c r="G145">
        <v>2</v>
      </c>
    </row>
    <row r="146" spans="1:7" x14ac:dyDescent="0.25">
      <c r="A146" s="34" t="s">
        <v>2389</v>
      </c>
      <c r="B146" t="s">
        <v>44</v>
      </c>
      <c r="C146">
        <v>7802348846</v>
      </c>
      <c r="D146">
        <v>997350001</v>
      </c>
      <c r="E146" t="s">
        <v>45</v>
      </c>
      <c r="F146" t="s">
        <v>39</v>
      </c>
      <c r="G146">
        <v>2</v>
      </c>
    </row>
    <row r="147" spans="1:7" x14ac:dyDescent="0.25">
      <c r="A147" s="33" t="s">
        <v>2390</v>
      </c>
      <c r="B147" t="s">
        <v>44</v>
      </c>
      <c r="C147">
        <v>7802348846</v>
      </c>
      <c r="D147">
        <v>997350001</v>
      </c>
      <c r="E147" t="s">
        <v>45</v>
      </c>
      <c r="F147" t="s">
        <v>39</v>
      </c>
      <c r="G147">
        <v>2</v>
      </c>
    </row>
    <row r="148" spans="1:7" x14ac:dyDescent="0.25">
      <c r="A148" s="34" t="s">
        <v>2380</v>
      </c>
      <c r="B148" t="s">
        <v>44</v>
      </c>
      <c r="C148">
        <v>7802348846</v>
      </c>
      <c r="D148">
        <v>997350001</v>
      </c>
      <c r="E148" t="s">
        <v>45</v>
      </c>
      <c r="F148" t="s">
        <v>39</v>
      </c>
      <c r="G148">
        <v>2</v>
      </c>
    </row>
    <row r="149" spans="1:7" x14ac:dyDescent="0.25">
      <c r="A149" s="33" t="s">
        <v>2391</v>
      </c>
      <c r="B149" t="s">
        <v>44</v>
      </c>
      <c r="C149">
        <v>7802348846</v>
      </c>
      <c r="D149">
        <v>997350001</v>
      </c>
      <c r="E149" t="s">
        <v>45</v>
      </c>
      <c r="F149" t="s">
        <v>39</v>
      </c>
      <c r="G149">
        <v>2</v>
      </c>
    </row>
    <row r="150" spans="1:7" x14ac:dyDescent="0.25">
      <c r="A150" s="34" t="s">
        <v>2392</v>
      </c>
      <c r="B150" t="s">
        <v>44</v>
      </c>
      <c r="C150">
        <v>7802348846</v>
      </c>
      <c r="D150">
        <v>997350001</v>
      </c>
      <c r="E150" t="s">
        <v>45</v>
      </c>
      <c r="F150" t="s">
        <v>39</v>
      </c>
      <c r="G150">
        <v>2</v>
      </c>
    </row>
    <row r="151" spans="1:7" x14ac:dyDescent="0.25">
      <c r="A151" s="33" t="s">
        <v>2393</v>
      </c>
      <c r="B151" t="s">
        <v>44</v>
      </c>
      <c r="C151">
        <v>7802348846</v>
      </c>
      <c r="D151">
        <v>997350001</v>
      </c>
      <c r="E151" t="s">
        <v>45</v>
      </c>
      <c r="F151" t="s">
        <v>39</v>
      </c>
      <c r="G151">
        <v>2</v>
      </c>
    </row>
    <row r="152" spans="1:7" x14ac:dyDescent="0.25">
      <c r="A152" s="34" t="s">
        <v>2399</v>
      </c>
      <c r="B152" t="s">
        <v>49</v>
      </c>
      <c r="C152">
        <v>7802348846</v>
      </c>
      <c r="D152">
        <v>997350001</v>
      </c>
      <c r="E152" t="s">
        <v>50</v>
      </c>
      <c r="F152" t="s">
        <v>39</v>
      </c>
      <c r="G152">
        <v>2</v>
      </c>
    </row>
    <row r="153" spans="1:7" x14ac:dyDescent="0.25">
      <c r="A153" s="33" t="s">
        <v>2400</v>
      </c>
      <c r="B153" t="s">
        <v>49</v>
      </c>
      <c r="C153">
        <v>7802348846</v>
      </c>
      <c r="D153">
        <v>997350001</v>
      </c>
      <c r="E153" t="s">
        <v>50</v>
      </c>
      <c r="F153" t="s">
        <v>39</v>
      </c>
      <c r="G153">
        <v>2</v>
      </c>
    </row>
    <row r="154" spans="1:7" x14ac:dyDescent="0.25">
      <c r="A154" s="34" t="s">
        <v>2401</v>
      </c>
      <c r="B154" t="s">
        <v>49</v>
      </c>
      <c r="C154">
        <v>7802348846</v>
      </c>
      <c r="D154">
        <v>997350001</v>
      </c>
      <c r="E154" t="s">
        <v>50</v>
      </c>
      <c r="F154" t="s">
        <v>39</v>
      </c>
      <c r="G154">
        <v>2</v>
      </c>
    </row>
    <row r="155" spans="1:7" x14ac:dyDescent="0.25">
      <c r="A155" s="33" t="s">
        <v>2402</v>
      </c>
      <c r="B155" t="s">
        <v>49</v>
      </c>
      <c r="C155">
        <v>7802348846</v>
      </c>
      <c r="D155">
        <v>997350001</v>
      </c>
      <c r="E155" t="s">
        <v>50</v>
      </c>
      <c r="F155" t="s">
        <v>39</v>
      </c>
      <c r="G155">
        <v>2</v>
      </c>
    </row>
    <row r="156" spans="1:7" x14ac:dyDescent="0.25">
      <c r="A156" s="34" t="s">
        <v>2403</v>
      </c>
      <c r="B156" t="s">
        <v>49</v>
      </c>
      <c r="C156">
        <v>7802348846</v>
      </c>
      <c r="D156">
        <v>997350001</v>
      </c>
      <c r="E156" t="s">
        <v>50</v>
      </c>
      <c r="F156" t="s">
        <v>39</v>
      </c>
      <c r="G156">
        <v>2</v>
      </c>
    </row>
    <row r="157" spans="1:7" x14ac:dyDescent="0.25">
      <c r="A157" s="33" t="s">
        <v>2404</v>
      </c>
      <c r="B157" t="s">
        <v>49</v>
      </c>
      <c r="C157">
        <v>7802348846</v>
      </c>
      <c r="D157">
        <v>997350001</v>
      </c>
      <c r="E157" t="s">
        <v>50</v>
      </c>
      <c r="F157" t="s">
        <v>39</v>
      </c>
      <c r="G157">
        <v>2</v>
      </c>
    </row>
    <row r="158" spans="1:7" x14ac:dyDescent="0.25">
      <c r="A158" s="34" t="s">
        <v>2405</v>
      </c>
      <c r="B158" t="s">
        <v>2406</v>
      </c>
      <c r="C158">
        <v>7723889433</v>
      </c>
      <c r="D158">
        <v>772401001</v>
      </c>
      <c r="E158" t="s">
        <v>2407</v>
      </c>
      <c r="F158" t="s">
        <v>2408</v>
      </c>
      <c r="G158">
        <v>2</v>
      </c>
    </row>
    <row r="159" spans="1:7" x14ac:dyDescent="0.25">
      <c r="A159" s="33" t="s">
        <v>2412</v>
      </c>
      <c r="B159" t="s">
        <v>2409</v>
      </c>
      <c r="C159">
        <v>5838002196</v>
      </c>
      <c r="D159">
        <v>583801001</v>
      </c>
      <c r="E159" t="s">
        <v>2411</v>
      </c>
      <c r="F159" t="s">
        <v>2410</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6"/>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42</vt:i4>
      </vt:variant>
    </vt:vector>
  </HeadingPairs>
  <TitlesOfParts>
    <vt:vector size="42" baseType="lpstr">
      <vt:lpstr>Шапка</vt:lpstr>
      <vt:lpstr>Анализ без формул</vt:lpstr>
      <vt:lpstr>Анализ</vt:lpstr>
      <vt:lpstr>КП_Компании</vt:lpstr>
      <vt:lpstr>ООО "ОНИКС"</vt:lpstr>
      <vt:lpstr>ООО "ГРЕМИР"</vt:lpstr>
      <vt:lpstr>ООО МЕТАЛЛСНАБ</vt:lpstr>
      <vt:lpstr>ООО "ГИДРО-АРМАТУРА"</vt:lpstr>
      <vt:lpstr>ООО «СтройНефтеГаз»</vt:lpstr>
      <vt:lpstr>ООО "ТЕХНИЧЕСКИЕ СРЕДСТВА"</vt:lpstr>
      <vt:lpstr>ООО «Химмашнефтекомплект»</vt:lpstr>
      <vt:lpstr>ООО «Компания Доминик»</vt:lpstr>
      <vt:lpstr>ООО "Завод Манометр"</vt:lpstr>
      <vt:lpstr>ООО ПКФ «КонРос»</vt:lpstr>
      <vt:lpstr>ООО Аверс</vt:lpstr>
      <vt:lpstr>ГК «РосАрмаТорг»</vt:lpstr>
      <vt:lpstr>ООО «САНТЕХКОМПЛЕКТ</vt:lpstr>
      <vt:lpstr>ООО "БИЛД ИНЖИНИРИНГ"</vt:lpstr>
      <vt:lpstr>ООО «Лунда» </vt:lpstr>
      <vt:lpstr>ООО «Челябинская арматура»</vt:lpstr>
      <vt:lpstr>ООО «ДСЛ»</vt:lpstr>
      <vt:lpstr>ООО «Генерация»</vt:lpstr>
      <vt:lpstr>ООО "ДН.ру"</vt:lpstr>
      <vt:lpstr>ООО «Среднеуральский Завод»</vt:lpstr>
      <vt:lpstr> ООО ПКФ Монарх</vt:lpstr>
      <vt:lpstr>ООО «БКК»</vt:lpstr>
      <vt:lpstr>ООО ТИНКО</vt:lpstr>
      <vt:lpstr>ООО «ОптикСтройКомплект»</vt:lpstr>
      <vt:lpstr>ООО 125 Микрон</vt:lpstr>
      <vt:lpstr>ЭТМ</vt:lpstr>
      <vt:lpstr>ООО «Электролайт»</vt:lpstr>
      <vt:lpstr>ООО ЭКС</vt:lpstr>
      <vt:lpstr>ООО Кабель РФ</vt:lpstr>
      <vt:lpstr>ООО АВТОМАТИКА ГРУПП</vt:lpstr>
      <vt:lpstr>ООО ГОРЭЛТЕХ</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2024-04-27T07:23:43Z</dcterms:modified>
</cp:coreProperties>
</file>