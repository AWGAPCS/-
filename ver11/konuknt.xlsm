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47" r:id="rId2"/>
    <sheet name="Запас" sheetId="45" r:id="rId3"/>
    <sheet name="Заметки" sheetId="31" state="hidden" r:id="rId4"/>
    <sheet name="Companies" sheetId="48" state="hidden" r:id="rId5"/>
    <sheet name="Классификатор" sheetId="29" state="hidden" r:id="rId6"/>
    <sheet name="ComboboxProducts" sheetId="3" state="hidden" r:id="rId7"/>
    <sheet name="ComboboxMeasure" sheetId="4" state="hidden" r:id="rId8"/>
  </sheet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50" i="47" l="1"/>
  <c r="L250" i="47" s="1"/>
  <c r="W250" i="47"/>
  <c r="G252" i="47" s="1"/>
  <c r="H252" i="47" s="1"/>
  <c r="L252" i="47" s="1"/>
  <c r="V250" i="47"/>
  <c r="G251" i="47" s="1"/>
  <c r="H251" i="47" s="1"/>
  <c r="L251" i="47" s="1"/>
  <c r="H247" i="47"/>
  <c r="L247" i="47" s="1"/>
  <c r="W247" i="47"/>
  <c r="G249" i="47" s="1"/>
  <c r="H249" i="47" s="1"/>
  <c r="L249" i="47" s="1"/>
  <c r="V247" i="47"/>
  <c r="G248" i="47" s="1"/>
  <c r="H248" i="47" s="1"/>
  <c r="L248" i="47" s="1"/>
  <c r="H244" i="47"/>
  <c r="L244" i="47" s="1"/>
  <c r="W244" i="47"/>
  <c r="G246" i="47" s="1"/>
  <c r="H246" i="47" s="1"/>
  <c r="L246" i="47" s="1"/>
  <c r="V244" i="47"/>
  <c r="G245" i="47" s="1"/>
  <c r="H245" i="47" s="1"/>
  <c r="L245" i="47" s="1"/>
  <c r="H241" i="47"/>
  <c r="L241" i="47" s="1"/>
  <c r="W241" i="47"/>
  <c r="G243" i="47" s="1"/>
  <c r="H243" i="47" s="1"/>
  <c r="L243" i="47" s="1"/>
  <c r="V241" i="47"/>
  <c r="G242" i="47" s="1"/>
  <c r="H242" i="47" s="1"/>
  <c r="L242" i="47" s="1"/>
  <c r="H238" i="47"/>
  <c r="L238" i="47" s="1"/>
  <c r="W238" i="47"/>
  <c r="G240" i="47" s="1"/>
  <c r="H240" i="47" s="1"/>
  <c r="L240" i="47" s="1"/>
  <c r="V238" i="47"/>
  <c r="G239" i="47" s="1"/>
  <c r="H239" i="47" s="1"/>
  <c r="L239" i="47" s="1"/>
  <c r="H235" i="47"/>
  <c r="L235" i="47" s="1"/>
  <c r="W235" i="47"/>
  <c r="G237" i="47" s="1"/>
  <c r="H237" i="47" s="1"/>
  <c r="L237" i="47" s="1"/>
  <c r="V235" i="47"/>
  <c r="G236" i="47" s="1"/>
  <c r="H236" i="47" s="1"/>
  <c r="L236" i="47" s="1"/>
  <c r="H232" i="47"/>
  <c r="L232" i="47" s="1"/>
  <c r="W232" i="47"/>
  <c r="G234" i="47" s="1"/>
  <c r="H234" i="47" s="1"/>
  <c r="L234" i="47" s="1"/>
  <c r="V232" i="47"/>
  <c r="G233" i="47" s="1"/>
  <c r="H233" i="47" s="1"/>
  <c r="L233" i="47" s="1"/>
  <c r="H229" i="47"/>
  <c r="L229" i="47" s="1"/>
  <c r="W229" i="47"/>
  <c r="G231" i="47" s="1"/>
  <c r="H231" i="47" s="1"/>
  <c r="L231" i="47" s="1"/>
  <c r="V229" i="47"/>
  <c r="G230" i="47" s="1"/>
  <c r="H230" i="47" s="1"/>
  <c r="L230" i="47" s="1"/>
  <c r="H226" i="47"/>
  <c r="L226" i="47" s="1"/>
  <c r="W226" i="47"/>
  <c r="G228" i="47" s="1"/>
  <c r="H228" i="47" s="1"/>
  <c r="L228" i="47" s="1"/>
  <c r="V226" i="47"/>
  <c r="G227" i="47" s="1"/>
  <c r="H227" i="47" s="1"/>
  <c r="L227" i="47" s="1"/>
  <c r="H223" i="47"/>
  <c r="L223" i="47" s="1"/>
  <c r="W223" i="47"/>
  <c r="G225" i="47" s="1"/>
  <c r="H225" i="47" s="1"/>
  <c r="L225" i="47" s="1"/>
  <c r="V223" i="47"/>
  <c r="G224" i="47" s="1"/>
  <c r="H224" i="47" s="1"/>
  <c r="L224" i="47" s="1"/>
  <c r="H220" i="47"/>
  <c r="L220" i="47" s="1"/>
  <c r="W220" i="47"/>
  <c r="G222" i="47" s="1"/>
  <c r="H222" i="47" s="1"/>
  <c r="L222" i="47" s="1"/>
  <c r="V220" i="47"/>
  <c r="G221" i="47" s="1"/>
  <c r="H221" i="47" s="1"/>
  <c r="L221" i="47" s="1"/>
  <c r="H217" i="47"/>
  <c r="L217" i="47" s="1"/>
  <c r="W217" i="47"/>
  <c r="G219" i="47" s="1"/>
  <c r="H219" i="47" s="1"/>
  <c r="L219" i="47" s="1"/>
  <c r="V217" i="47"/>
  <c r="G218" i="47" s="1"/>
  <c r="H218" i="47" s="1"/>
  <c r="L218" i="47" s="1"/>
  <c r="H214" i="47"/>
  <c r="L214" i="47" s="1"/>
  <c r="W214" i="47"/>
  <c r="G216" i="47" s="1"/>
  <c r="H216" i="47" s="1"/>
  <c r="L216" i="47" s="1"/>
  <c r="V214" i="47"/>
  <c r="G215" i="47" s="1"/>
  <c r="H215" i="47" s="1"/>
  <c r="L215" i="47" s="1"/>
  <c r="H211" i="47"/>
  <c r="L211" i="47" s="1"/>
  <c r="W211" i="47"/>
  <c r="G213" i="47" s="1"/>
  <c r="H213" i="47" s="1"/>
  <c r="L213" i="47" s="1"/>
  <c r="V211" i="47"/>
  <c r="G212" i="47" s="1"/>
  <c r="H212" i="47" s="1"/>
  <c r="L212" i="47" s="1"/>
  <c r="H208" i="47"/>
  <c r="L208" i="47" s="1"/>
  <c r="W208" i="47"/>
  <c r="G210" i="47" s="1"/>
  <c r="H210" i="47" s="1"/>
  <c r="L210" i="47" s="1"/>
  <c r="V208" i="47"/>
  <c r="G209" i="47" s="1"/>
  <c r="H209" i="47" s="1"/>
  <c r="L209" i="47" s="1"/>
  <c r="H205" i="47"/>
  <c r="L205" i="47" s="1"/>
  <c r="W205" i="47"/>
  <c r="G207" i="47" s="1"/>
  <c r="H207" i="47" s="1"/>
  <c r="L207" i="47" s="1"/>
  <c r="V205" i="47"/>
  <c r="G206" i="47" s="1"/>
  <c r="H206" i="47" s="1"/>
  <c r="L206" i="47" s="1"/>
  <c r="H202" i="47"/>
  <c r="L202" i="47" s="1"/>
  <c r="W202" i="47"/>
  <c r="G204" i="47" s="1"/>
  <c r="H204" i="47" s="1"/>
  <c r="L204" i="47" s="1"/>
  <c r="V202" i="47"/>
  <c r="G203" i="47" s="1"/>
  <c r="H203" i="47" s="1"/>
  <c r="L203" i="47" s="1"/>
  <c r="H199" i="47"/>
  <c r="L199" i="47" s="1"/>
  <c r="W199" i="47"/>
  <c r="G201" i="47" s="1"/>
  <c r="H201" i="47" s="1"/>
  <c r="L201" i="47" s="1"/>
  <c r="V199" i="47"/>
  <c r="G200" i="47" s="1"/>
  <c r="H200" i="47" s="1"/>
  <c r="L200" i="47" s="1"/>
  <c r="H196" i="47"/>
  <c r="L196" i="47" s="1"/>
  <c r="W196" i="47"/>
  <c r="G198" i="47" s="1"/>
  <c r="H198" i="47" s="1"/>
  <c r="L198" i="47" s="1"/>
  <c r="V196" i="47"/>
  <c r="G197" i="47" s="1"/>
  <c r="H197" i="47" s="1"/>
  <c r="L197" i="47" s="1"/>
  <c r="H193" i="47"/>
  <c r="L193" i="47" s="1"/>
  <c r="W193" i="47"/>
  <c r="G195" i="47" s="1"/>
  <c r="H195" i="47" s="1"/>
  <c r="L195" i="47" s="1"/>
  <c r="V193" i="47"/>
  <c r="G194" i="47" s="1"/>
  <c r="H194" i="47" s="1"/>
  <c r="L194" i="47" s="1"/>
  <c r="H190" i="47"/>
  <c r="L190" i="47" s="1"/>
  <c r="W190" i="47"/>
  <c r="G192" i="47" s="1"/>
  <c r="H192" i="47" s="1"/>
  <c r="L192" i="47" s="1"/>
  <c r="V190" i="47"/>
  <c r="G191" i="47" s="1"/>
  <c r="H191" i="47" s="1"/>
  <c r="L191" i="47" s="1"/>
  <c r="H187" i="47"/>
  <c r="L187" i="47" s="1"/>
  <c r="W187" i="47"/>
  <c r="G189" i="47" s="1"/>
  <c r="H189" i="47" s="1"/>
  <c r="L189" i="47" s="1"/>
  <c r="V187" i="47"/>
  <c r="G188" i="47" s="1"/>
  <c r="H188" i="47" s="1"/>
  <c r="L188" i="47" s="1"/>
  <c r="H184" i="47"/>
  <c r="L184" i="47" s="1"/>
  <c r="W184" i="47"/>
  <c r="G186" i="47" s="1"/>
  <c r="H186" i="47" s="1"/>
  <c r="L186" i="47" s="1"/>
  <c r="V184" i="47"/>
  <c r="G185" i="47" s="1"/>
  <c r="H185" i="47" s="1"/>
  <c r="L185" i="47" s="1"/>
  <c r="H181" i="47"/>
  <c r="L181" i="47" s="1"/>
  <c r="W181" i="47"/>
  <c r="G183" i="47" s="1"/>
  <c r="H183" i="47" s="1"/>
  <c r="L183" i="47" s="1"/>
  <c r="V181" i="47"/>
  <c r="G182" i="47" s="1"/>
  <c r="H182" i="47" s="1"/>
  <c r="L182" i="47" s="1"/>
  <c r="H178" i="47"/>
  <c r="L178" i="47" s="1"/>
  <c r="W178" i="47"/>
  <c r="G180" i="47" s="1"/>
  <c r="H180" i="47" s="1"/>
  <c r="L180" i="47" s="1"/>
  <c r="V178" i="47"/>
  <c r="G179" i="47" s="1"/>
  <c r="H179" i="47" s="1"/>
  <c r="L179" i="47" s="1"/>
  <c r="H175" i="47"/>
  <c r="L175" i="47" s="1"/>
  <c r="W175" i="47"/>
  <c r="G177" i="47" s="1"/>
  <c r="H177" i="47" s="1"/>
  <c r="L177" i="47" s="1"/>
  <c r="V175" i="47"/>
  <c r="G176" i="47" s="1"/>
  <c r="H176" i="47" s="1"/>
  <c r="L176" i="47" s="1"/>
  <c r="H172" i="47"/>
  <c r="L172" i="47" s="1"/>
  <c r="W172" i="47"/>
  <c r="G174" i="47" s="1"/>
  <c r="H174" i="47" s="1"/>
  <c r="L174" i="47" s="1"/>
  <c r="V172" i="47"/>
  <c r="G173" i="47" s="1"/>
  <c r="H173" i="47" s="1"/>
  <c r="L173" i="47" s="1"/>
  <c r="H169" i="47"/>
  <c r="L169" i="47" s="1"/>
  <c r="W169" i="47"/>
  <c r="G171" i="47" s="1"/>
  <c r="H171" i="47" s="1"/>
  <c r="L171" i="47" s="1"/>
  <c r="V169" i="47"/>
  <c r="G170" i="47" s="1"/>
  <c r="H170" i="47" s="1"/>
  <c r="L170" i="47" s="1"/>
  <c r="H166" i="47"/>
  <c r="L166" i="47" s="1"/>
  <c r="W166" i="47"/>
  <c r="G168" i="47" s="1"/>
  <c r="H168" i="47" s="1"/>
  <c r="L168" i="47" s="1"/>
  <c r="V166" i="47"/>
  <c r="G167" i="47" s="1"/>
  <c r="H167" i="47" s="1"/>
  <c r="L167" i="47" s="1"/>
  <c r="H163" i="47"/>
  <c r="L163" i="47" s="1"/>
  <c r="W163" i="47"/>
  <c r="G165" i="47" s="1"/>
  <c r="H165" i="47" s="1"/>
  <c r="L165" i="47" s="1"/>
  <c r="V163" i="47"/>
  <c r="G164" i="47" s="1"/>
  <c r="H164" i="47" s="1"/>
  <c r="L164" i="47" s="1"/>
  <c r="H160" i="47"/>
  <c r="L160" i="47" s="1"/>
  <c r="W160" i="47"/>
  <c r="G162" i="47" s="1"/>
  <c r="H162" i="47" s="1"/>
  <c r="L162" i="47" s="1"/>
  <c r="V160" i="47"/>
  <c r="G161" i="47" s="1"/>
  <c r="H161" i="47" s="1"/>
  <c r="L161" i="47" s="1"/>
  <c r="H157" i="47"/>
  <c r="L157" i="47" s="1"/>
  <c r="W157" i="47"/>
  <c r="G159" i="47" s="1"/>
  <c r="H159" i="47" s="1"/>
  <c r="L159" i="47" s="1"/>
  <c r="V157" i="47"/>
  <c r="G158" i="47" s="1"/>
  <c r="H158" i="47" s="1"/>
  <c r="L158" i="47" s="1"/>
  <c r="H154" i="47"/>
  <c r="L154" i="47" s="1"/>
  <c r="W154" i="47"/>
  <c r="G156" i="47" s="1"/>
  <c r="H156" i="47" s="1"/>
  <c r="L156" i="47" s="1"/>
  <c r="V154" i="47"/>
  <c r="G155" i="47" s="1"/>
  <c r="H155" i="47" s="1"/>
  <c r="L155" i="47" s="1"/>
  <c r="H151" i="47"/>
  <c r="L151" i="47" s="1"/>
  <c r="W151" i="47"/>
  <c r="G153" i="47" s="1"/>
  <c r="H153" i="47" s="1"/>
  <c r="L153" i="47" s="1"/>
  <c r="V151" i="47"/>
  <c r="G152" i="47" s="1"/>
  <c r="H152" i="47" s="1"/>
  <c r="L152" i="47" s="1"/>
  <c r="H148" i="47"/>
  <c r="L148" i="47" s="1"/>
  <c r="W148" i="47"/>
  <c r="G150" i="47" s="1"/>
  <c r="H150" i="47" s="1"/>
  <c r="L150" i="47" s="1"/>
  <c r="V148" i="47"/>
  <c r="G149" i="47" s="1"/>
  <c r="H149" i="47" s="1"/>
  <c r="L149" i="47" s="1"/>
  <c r="H145" i="47"/>
  <c r="L145" i="47" s="1"/>
  <c r="W145" i="47"/>
  <c r="G147" i="47" s="1"/>
  <c r="H147" i="47" s="1"/>
  <c r="L147" i="47" s="1"/>
  <c r="V145" i="47"/>
  <c r="G146" i="47" s="1"/>
  <c r="H146" i="47" s="1"/>
  <c r="L146" i="47" s="1"/>
  <c r="H142" i="47"/>
  <c r="L142" i="47" s="1"/>
  <c r="W142" i="47"/>
  <c r="G144" i="47" s="1"/>
  <c r="H144" i="47" s="1"/>
  <c r="L144" i="47" s="1"/>
  <c r="V142" i="47"/>
  <c r="G143" i="47" s="1"/>
  <c r="H143" i="47" s="1"/>
  <c r="L143" i="47" s="1"/>
  <c r="H139" i="47"/>
  <c r="L139" i="47" s="1"/>
  <c r="W139" i="47"/>
  <c r="G141" i="47" s="1"/>
  <c r="H141" i="47" s="1"/>
  <c r="L141" i="47" s="1"/>
  <c r="V139" i="47"/>
  <c r="G140" i="47" s="1"/>
  <c r="H140" i="47" s="1"/>
  <c r="L140" i="47" s="1"/>
  <c r="H136" i="47"/>
  <c r="L136" i="47" s="1"/>
  <c r="W136" i="47"/>
  <c r="G138" i="47" s="1"/>
  <c r="H138" i="47" s="1"/>
  <c r="L138" i="47" s="1"/>
  <c r="V136" i="47"/>
  <c r="G137" i="47" s="1"/>
  <c r="H137" i="47" s="1"/>
  <c r="L137" i="47" s="1"/>
  <c r="H133" i="47"/>
  <c r="L133" i="47" s="1"/>
  <c r="W133" i="47"/>
  <c r="G135" i="47" s="1"/>
  <c r="H135" i="47" s="1"/>
  <c r="L135" i="47" s="1"/>
  <c r="V133" i="47"/>
  <c r="G134" i="47" s="1"/>
  <c r="H134" i="47" s="1"/>
  <c r="L134" i="47" s="1"/>
  <c r="H130" i="47"/>
  <c r="L130" i="47" s="1"/>
  <c r="W130" i="47"/>
  <c r="G132" i="47" s="1"/>
  <c r="H132" i="47" s="1"/>
  <c r="L132" i="47" s="1"/>
  <c r="V130" i="47"/>
  <c r="G131" i="47" s="1"/>
  <c r="H131" i="47" s="1"/>
  <c r="L131" i="47" s="1"/>
  <c r="H127" i="47"/>
  <c r="L127" i="47" s="1"/>
  <c r="W127" i="47"/>
  <c r="G129" i="47" s="1"/>
  <c r="H129" i="47" s="1"/>
  <c r="L129" i="47" s="1"/>
  <c r="V127" i="47"/>
  <c r="G128" i="47" s="1"/>
  <c r="H128" i="47" s="1"/>
  <c r="L128" i="47" s="1"/>
  <c r="H124" i="47"/>
  <c r="L124" i="47" s="1"/>
  <c r="W124" i="47"/>
  <c r="G126" i="47" s="1"/>
  <c r="H126" i="47" s="1"/>
  <c r="L126" i="47" s="1"/>
  <c r="V124" i="47"/>
  <c r="G125" i="47" s="1"/>
  <c r="H125" i="47" s="1"/>
  <c r="L125" i="47" s="1"/>
  <c r="H121" i="47"/>
  <c r="L121" i="47" s="1"/>
  <c r="W121" i="47"/>
  <c r="G123" i="47" s="1"/>
  <c r="H123" i="47" s="1"/>
  <c r="L123" i="47" s="1"/>
  <c r="V121" i="47"/>
  <c r="G122" i="47" s="1"/>
  <c r="H122" i="47" s="1"/>
  <c r="L122" i="47" s="1"/>
  <c r="H118" i="47"/>
  <c r="L118" i="47" s="1"/>
  <c r="W118" i="47"/>
  <c r="G120" i="47" s="1"/>
  <c r="H120" i="47" s="1"/>
  <c r="L120" i="47" s="1"/>
  <c r="V118" i="47"/>
  <c r="G119" i="47" s="1"/>
  <c r="H119" i="47" s="1"/>
  <c r="L119" i="47" s="1"/>
  <c r="H115" i="47"/>
  <c r="L115" i="47" s="1"/>
  <c r="W115" i="47"/>
  <c r="G117" i="47" s="1"/>
  <c r="H117" i="47" s="1"/>
  <c r="L117" i="47" s="1"/>
  <c r="V115" i="47"/>
  <c r="G116" i="47" s="1"/>
  <c r="H116" i="47" s="1"/>
  <c r="L116" i="47" s="1"/>
  <c r="H112" i="47"/>
  <c r="L112" i="47" s="1"/>
  <c r="W112" i="47"/>
  <c r="G114" i="47" s="1"/>
  <c r="H114" i="47" s="1"/>
  <c r="L114" i="47" s="1"/>
  <c r="V112" i="47"/>
  <c r="G113" i="47" s="1"/>
  <c r="H113" i="47" s="1"/>
  <c r="L113" i="47" s="1"/>
  <c r="H109" i="47"/>
  <c r="L109" i="47" s="1"/>
  <c r="W109" i="47"/>
  <c r="G111" i="47" s="1"/>
  <c r="H111" i="47" s="1"/>
  <c r="L111" i="47" s="1"/>
  <c r="V109" i="47"/>
  <c r="G110" i="47" s="1"/>
  <c r="H110" i="47" s="1"/>
  <c r="L110" i="47" s="1"/>
  <c r="H106" i="47"/>
  <c r="L106" i="47" s="1"/>
  <c r="W106" i="47"/>
  <c r="G108" i="47" s="1"/>
  <c r="H108" i="47" s="1"/>
  <c r="L108" i="47" s="1"/>
  <c r="V106" i="47"/>
  <c r="G107" i="47" s="1"/>
  <c r="H107" i="47" s="1"/>
  <c r="L107" i="47" s="1"/>
  <c r="H103" i="47"/>
  <c r="L103" i="47" s="1"/>
  <c r="W103" i="47"/>
  <c r="G105" i="47" s="1"/>
  <c r="H105" i="47" s="1"/>
  <c r="L105" i="47" s="1"/>
  <c r="V103" i="47"/>
  <c r="G104" i="47" s="1"/>
  <c r="H104" i="47" s="1"/>
  <c r="L104" i="47" s="1"/>
  <c r="H100" i="47"/>
  <c r="L100" i="47" s="1"/>
  <c r="W100" i="47"/>
  <c r="G102" i="47" s="1"/>
  <c r="H102" i="47" s="1"/>
  <c r="L102" i="47" s="1"/>
  <c r="V100" i="47"/>
  <c r="G101" i="47" s="1"/>
  <c r="H101" i="47" s="1"/>
  <c r="L101" i="47" s="1"/>
  <c r="H97" i="47"/>
  <c r="L97" i="47" s="1"/>
  <c r="W97" i="47"/>
  <c r="G99" i="47" s="1"/>
  <c r="H99" i="47" s="1"/>
  <c r="L99" i="47" s="1"/>
  <c r="V97" i="47"/>
  <c r="G98" i="47" s="1"/>
  <c r="H98" i="47" s="1"/>
  <c r="L98" i="47" s="1"/>
  <c r="H94" i="47"/>
  <c r="L94" i="47" s="1"/>
  <c r="W94" i="47"/>
  <c r="G96" i="47" s="1"/>
  <c r="H96" i="47" s="1"/>
  <c r="L96" i="47" s="1"/>
  <c r="V94" i="47"/>
  <c r="G95" i="47" s="1"/>
  <c r="H95" i="47" s="1"/>
  <c r="L95" i="47" s="1"/>
  <c r="H91" i="47"/>
  <c r="L91" i="47" s="1"/>
  <c r="W91" i="47"/>
  <c r="G93" i="47" s="1"/>
  <c r="H93" i="47" s="1"/>
  <c r="L93" i="47" s="1"/>
  <c r="V91" i="47"/>
  <c r="G92" i="47" s="1"/>
  <c r="H92" i="47" s="1"/>
  <c r="L92" i="47" s="1"/>
  <c r="H88" i="47"/>
  <c r="L88" i="47" s="1"/>
  <c r="W88" i="47"/>
  <c r="G90" i="47" s="1"/>
  <c r="H90" i="47" s="1"/>
  <c r="L90" i="47" s="1"/>
  <c r="V88" i="47"/>
  <c r="G89" i="47" s="1"/>
  <c r="H89" i="47" s="1"/>
  <c r="L89" i="47" s="1"/>
  <c r="H85" i="47"/>
  <c r="L85" i="47" s="1"/>
  <c r="W85" i="47"/>
  <c r="G87" i="47" s="1"/>
  <c r="H87" i="47" s="1"/>
  <c r="L87" i="47" s="1"/>
  <c r="V85" i="47"/>
  <c r="G86" i="47" s="1"/>
  <c r="H86" i="47" s="1"/>
  <c r="L86" i="47" s="1"/>
  <c r="H82" i="47"/>
  <c r="L82" i="47" s="1"/>
  <c r="W82" i="47"/>
  <c r="G84" i="47" s="1"/>
  <c r="H84" i="47" s="1"/>
  <c r="L84" i="47" s="1"/>
  <c r="V82" i="47"/>
  <c r="G83" i="47" s="1"/>
  <c r="H83" i="47" s="1"/>
  <c r="L83" i="47" s="1"/>
  <c r="H79" i="47"/>
  <c r="L79" i="47" s="1"/>
  <c r="W79" i="47"/>
  <c r="G81" i="47" s="1"/>
  <c r="H81" i="47" s="1"/>
  <c r="L81" i="47" s="1"/>
  <c r="V79" i="47"/>
  <c r="G80" i="47" s="1"/>
  <c r="H80" i="47" s="1"/>
  <c r="L80" i="47" s="1"/>
  <c r="H76" i="47"/>
  <c r="L76" i="47" s="1"/>
  <c r="W76" i="47"/>
  <c r="G78" i="47" s="1"/>
  <c r="H78" i="47" s="1"/>
  <c r="L78" i="47" s="1"/>
  <c r="V76" i="47"/>
  <c r="G77" i="47" s="1"/>
  <c r="H77" i="47" s="1"/>
  <c r="L77" i="47" s="1"/>
  <c r="H73" i="47"/>
  <c r="L73" i="47" s="1"/>
  <c r="W73" i="47"/>
  <c r="G75" i="47" s="1"/>
  <c r="H75" i="47" s="1"/>
  <c r="L75" i="47" s="1"/>
  <c r="V73" i="47"/>
  <c r="G74" i="47" s="1"/>
  <c r="H74" i="47" s="1"/>
  <c r="L74" i="47" s="1"/>
  <c r="H70" i="47"/>
  <c r="L70" i="47" s="1"/>
  <c r="W70" i="47"/>
  <c r="G72" i="47" s="1"/>
  <c r="H72" i="47" s="1"/>
  <c r="L72" i="47" s="1"/>
  <c r="V70" i="47"/>
  <c r="G71" i="47" s="1"/>
  <c r="H71" i="47" s="1"/>
  <c r="L71" i="47" s="1"/>
  <c r="H67" i="47"/>
  <c r="L67" i="47" s="1"/>
  <c r="W67" i="47"/>
  <c r="G69" i="47" s="1"/>
  <c r="H69" i="47" s="1"/>
  <c r="L69" i="47" s="1"/>
  <c r="V67" i="47"/>
  <c r="G68" i="47" s="1"/>
  <c r="H68" i="47" s="1"/>
  <c r="L68" i="47" s="1"/>
  <c r="H64" i="47"/>
  <c r="L64" i="47" s="1"/>
  <c r="W64" i="47"/>
  <c r="G66" i="47" s="1"/>
  <c r="H66" i="47" s="1"/>
  <c r="L66" i="47" s="1"/>
  <c r="V64" i="47"/>
  <c r="G65" i="47" s="1"/>
  <c r="H65" i="47" s="1"/>
  <c r="L65" i="47" s="1"/>
  <c r="H61" i="47"/>
  <c r="L61" i="47" s="1"/>
  <c r="W61" i="47"/>
  <c r="G63" i="47" s="1"/>
  <c r="H63" i="47" s="1"/>
  <c r="L63" i="47" s="1"/>
  <c r="V61" i="47"/>
  <c r="G62" i="47" s="1"/>
  <c r="H62" i="47" s="1"/>
  <c r="L62" i="47" s="1"/>
  <c r="H58" i="47"/>
  <c r="L58" i="47" s="1"/>
  <c r="W58" i="47"/>
  <c r="G60" i="47" s="1"/>
  <c r="H60" i="47" s="1"/>
  <c r="L60" i="47" s="1"/>
  <c r="V58" i="47"/>
  <c r="G59" i="47" s="1"/>
  <c r="H59" i="47" s="1"/>
  <c r="L59" i="47" s="1"/>
  <c r="H55" i="47"/>
  <c r="L55" i="47" s="1"/>
  <c r="W55" i="47"/>
  <c r="G57" i="47" s="1"/>
  <c r="H57" i="47" s="1"/>
  <c r="L57" i="47" s="1"/>
  <c r="V55" i="47"/>
  <c r="G56" i="47" s="1"/>
  <c r="H56" i="47" s="1"/>
  <c r="L56" i="47" s="1"/>
  <c r="H52" i="47"/>
  <c r="L52" i="47" s="1"/>
  <c r="W52" i="47"/>
  <c r="G54" i="47" s="1"/>
  <c r="H54" i="47" s="1"/>
  <c r="L54" i="47" s="1"/>
  <c r="V52" i="47"/>
  <c r="G53" i="47" s="1"/>
  <c r="H53" i="47" s="1"/>
  <c r="L53" i="47" s="1"/>
  <c r="H49" i="47"/>
  <c r="L49" i="47" s="1"/>
  <c r="W49" i="47"/>
  <c r="G51" i="47" s="1"/>
  <c r="H51" i="47" s="1"/>
  <c r="L51" i="47" s="1"/>
  <c r="V49" i="47"/>
  <c r="G50" i="47" s="1"/>
  <c r="H50" i="47" s="1"/>
  <c r="L50" i="47" s="1"/>
  <c r="H46" i="47"/>
  <c r="L46" i="47" s="1"/>
  <c r="W46" i="47"/>
  <c r="G48" i="47" s="1"/>
  <c r="H48" i="47" s="1"/>
  <c r="L48" i="47" s="1"/>
  <c r="V46" i="47"/>
  <c r="G47" i="47" s="1"/>
  <c r="H47" i="47" s="1"/>
  <c r="L47" i="47" s="1"/>
  <c r="H43" i="47"/>
  <c r="L43" i="47" s="1"/>
  <c r="W43" i="47"/>
  <c r="G45" i="47" s="1"/>
  <c r="H45" i="47" s="1"/>
  <c r="L45" i="47" s="1"/>
  <c r="V43" i="47"/>
  <c r="G44" i="47" s="1"/>
  <c r="H44" i="47" s="1"/>
  <c r="L44" i="47" s="1"/>
  <c r="H40" i="47"/>
  <c r="L40" i="47" s="1"/>
  <c r="W40" i="47"/>
  <c r="G42" i="47" s="1"/>
  <c r="H42" i="47" s="1"/>
  <c r="L42" i="47" s="1"/>
  <c r="V40" i="47"/>
  <c r="G41" i="47" s="1"/>
  <c r="H41" i="47" s="1"/>
  <c r="L41" i="47" s="1"/>
  <c r="H37" i="47"/>
  <c r="L37" i="47" s="1"/>
  <c r="W37" i="47"/>
  <c r="G39" i="47" s="1"/>
  <c r="H39" i="47" s="1"/>
  <c r="L39" i="47" s="1"/>
  <c r="V37" i="47"/>
  <c r="G38" i="47" s="1"/>
  <c r="H38" i="47" s="1"/>
  <c r="L38" i="47" s="1"/>
  <c r="H34" i="47"/>
  <c r="L34" i="47" s="1"/>
  <c r="W34" i="47"/>
  <c r="G36" i="47" s="1"/>
  <c r="H36" i="47" s="1"/>
  <c r="L36" i="47" s="1"/>
  <c r="V34" i="47"/>
  <c r="G35" i="47" s="1"/>
  <c r="H35" i="47" s="1"/>
  <c r="L35" i="47" s="1"/>
  <c r="H13" i="47" l="1"/>
  <c r="L13" i="47" s="1"/>
  <c r="V13" i="47"/>
  <c r="W13" i="47"/>
  <c r="G15" i="47" s="1"/>
  <c r="H15" i="47" s="1"/>
  <c r="L15" i="47" s="1"/>
  <c r="H16" i="47"/>
  <c r="L16" i="47" s="1"/>
  <c r="V16" i="47"/>
  <c r="G17" i="47" s="1"/>
  <c r="H17" i="47" s="1"/>
  <c r="L17" i="47" s="1"/>
  <c r="W16" i="47"/>
  <c r="G18" i="47" s="1"/>
  <c r="H18" i="47" s="1"/>
  <c r="L18" i="47" s="1"/>
  <c r="H19" i="47"/>
  <c r="L19" i="47" s="1"/>
  <c r="V19" i="47"/>
  <c r="G20" i="47" s="1"/>
  <c r="H20" i="47" s="1"/>
  <c r="L20" i="47" s="1"/>
  <c r="W19" i="47"/>
  <c r="G21" i="47" s="1"/>
  <c r="H21" i="47" s="1"/>
  <c r="L21" i="47" s="1"/>
  <c r="H22" i="47"/>
  <c r="L22" i="47" s="1"/>
  <c r="V22" i="47"/>
  <c r="G23" i="47" s="1"/>
  <c r="H23" i="47" s="1"/>
  <c r="L23" i="47" s="1"/>
  <c r="W22" i="47"/>
  <c r="G24" i="47" s="1"/>
  <c r="H24" i="47" s="1"/>
  <c r="L24" i="47" s="1"/>
  <c r="H25" i="47"/>
  <c r="L25" i="47" s="1"/>
  <c r="V25" i="47"/>
  <c r="G26" i="47" s="1"/>
  <c r="H26" i="47" s="1"/>
  <c r="L26" i="47" s="1"/>
  <c r="W25" i="47"/>
  <c r="G27" i="47" s="1"/>
  <c r="H27" i="47" s="1"/>
  <c r="L27" i="47" s="1"/>
  <c r="H28" i="47"/>
  <c r="L28" i="47" s="1"/>
  <c r="V28" i="47"/>
  <c r="G29" i="47" s="1"/>
  <c r="H29" i="47" s="1"/>
  <c r="L29" i="47" s="1"/>
  <c r="W28" i="47"/>
  <c r="G30" i="47" s="1"/>
  <c r="H30" i="47" s="1"/>
  <c r="L30" i="47" s="1"/>
  <c r="H31" i="47"/>
  <c r="L31" i="47" s="1"/>
  <c r="V31" i="47"/>
  <c r="G32" i="47" s="1"/>
  <c r="H32" i="47" s="1"/>
  <c r="L32" i="47" s="1"/>
  <c r="W31" i="47"/>
  <c r="G33" i="47" s="1"/>
  <c r="H33" i="47" s="1"/>
  <c r="L33" i="47" s="1"/>
  <c r="G14" i="47" l="1"/>
  <c r="H14" i="47" s="1"/>
  <c r="L14" i="47" s="1"/>
  <c r="W4" i="45"/>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<sst xmlns="http://schemas.openxmlformats.org/spreadsheetml/2006/main" count="5200" uniqueCount="2840">
  <si>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</si>
  <si>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</si>
  <si>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</si>
  <si>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</si>
  <si>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</si>
  <si>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</si>
  <si>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</si>
  <si>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</si>
  <si>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</si>
  <si>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</si>
  <si>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</si>
  <si>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</si>
  <si>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</si>
  <si>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</si>
  <si>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</si>
  <si>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</si>
  <si>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</si>
  <si>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</si>
  <si>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</si>
  <si>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</si>
  <si>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</si>
  <si>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</si>
  <si>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</si>
  <si>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</si>
  <si>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</si>
  <si>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</si>
  <si>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</si>
  <si>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</si>
  <si>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</si>
  <si>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</si>
  <si>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</si>
  <si>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</si>
  <si>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</si>
  <si>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</si>
  <si>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</si>
  <si>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</si>
  <si>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</si>
  <si>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</si>
  <si>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</si>
  <si>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</si>
  <si>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</si>
  <si>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</si>
  <si>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</si>
  <si>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</si>
  <si>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</si>
  <si>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</si>
  <si>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</si>
  <si>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</si>
  <si>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</si>
  <si>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</si>
  <si>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</si>
  <si>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</si>
  <si>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</si>
  <si>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</si>
  <si>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</si>
  <si>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</si>
  <si>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</si>
  <si>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</si>
  <si>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</si>
  <si>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</si>
  <si>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</si>
  <si>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</si>
  <si>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</si>
  <si>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</si>
  <si>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</si>
  <si>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</si>
  <si>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</si>
  <si>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</si>
  <si>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</si>
  <si>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</si>
  <si>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</si>
  <si>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</si>
  <si>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</si>
  <si>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</si>
  <si>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</si>
  <si>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</si>
  <si>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</si>
  <si>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</si>
  <si>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</si>
  <si>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</si>
  <si>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</si>
  <si>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</si>
  <si>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</si>
  <si>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</si>
  <si>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</si>
  <si>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</si>
  <si>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</si>
  <si>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</si>
  <si>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</si>
  <si>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</si>
  <si>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</si>
  <si>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</si>
  <si>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</si>
  <si>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</si>
  <si>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</si>
  <si>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</si>
  <si>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</si>
  <si>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</si>
  <si>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</si>
  <si>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</si>
  <si>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</si>
  <si>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</si>
  <si>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</si>
  <si>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</si>
  <si>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</si>
  <si>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</si>
  <si>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</si>
  <si>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</si>
  <si>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</si>
  <si>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</si>
  <si>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</si>
  <si>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</si>
  <si>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</si>
  <si>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</si>
  <si>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</si>
  <si>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</si>
  <si>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</si>
  <si>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</si>
  <si>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</si>
  <si>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</si>
  <si>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</si>
  <si>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</si>
  <si>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</si>
  <si>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</si>
  <si>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</si>
  <si>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</si>
  <si>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</si>
  <si>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</si>
  <si>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</si>
  <si>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</si>
  <si>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</si>
  <si>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</si>
  <si>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</si>
  <si>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</si>
  <si>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</si>
  <si>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</si>
  <si>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</si>
  <si>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</si>
  <si>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</si>
  <si>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</si>
  <si>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</si>
  <si>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</si>
  <si>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</si>
  <si>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</si>
  <si>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</si>
  <si>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</si>
  <si>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</si>
  <si>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</si>
  <si>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</si>
  <si>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</si>
  <si>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</si>
  <si>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</si>
  <si>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</si>
  <si>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</si>
  <si>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</si>
  <si>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</si>
  <si>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</si>
  <si>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</si>
  <si>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</si>
  <si>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</si>
  <si>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</si>
  <si>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</si>
  <si>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</si>
  <si>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</si>
  <si>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</si>
  <si>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</si>
  <si>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</si>
  <si>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</si>
  <si>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</si>
  <si>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</si>
  <si>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</si>
  <si>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</si>
  <si>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</si>
  <si>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</si>
  <si>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</si>
  <si>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</si>
  <si>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</si>
  <si>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</si>
  <si>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</si>
  <si>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</si>
  <si>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</si>
  <si>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</si>
  <si>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</si>
  <si>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</si>
  <si>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</si>
  <si>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</si>
  <si>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</si>
  <si>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</si>
  <si>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</si>
  <si>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</si>
  <si>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</si>
  <si>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</si>
  <si>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</si>
  <si>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</si>
  <si>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</si>
  <si>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</si>
  <si>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</si>
  <si>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</si>
  <si>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</si>
  <si>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</si>
  <si>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</si>
  <si>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</si>
  <si>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</si>
  <si>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</si>
  <si>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</si>
  <si>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</si>
  <si>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</si>
  <si>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</si>
  <si>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</si>
  <si>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</si>
  <si>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</si>
  <si>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</si>
  <si>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</si>
  <si>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</si>
  <si>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</si>
  <si>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</si>
  <si>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</si>
  <si>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</si>
  <si>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</si>
  <si>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</si>
  <si>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</si>
  <si>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</si>
  <si>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</si>
  <si>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</si>
  <si>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</si>
  <si>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</si>
  <si>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</si>
  <si>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</si>
  <si>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</si>
  <si>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</si>
  <si>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</si>
  <si>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</si>
  <si>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</si>
  <si>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</si>
  <si>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</si>
  <si>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</si>
  <si>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</si>
  <si>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</si>
  <si>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</si>
  <si>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</si>
  <si>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</si>
  <si>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</si>
  <si>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</si>
  <si>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</si>
  <si>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</si>
  <si>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</si>
  <si>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</si>
  <si>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</si>
  <si>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</si>
  <si>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</si>
  <si>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</si>
  <si>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</si>
  <si>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</si>
  <si>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</si>
  <si>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</si>
  <si>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</si>
  <si>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</si>
  <si>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</si>
  <si>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</si>
  <si>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</si>
  <si>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</si>
  <si>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</si>
  <si>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</si>
  <si>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</si>
  <si>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</si>
  <si>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</si>
  <si>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</si>
  <si>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</si>
  <si>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</si>
  <si>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</si>
  <si>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</si>
  <si>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</si>
  <si>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</si>
  <si>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</si>
  <si>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</si>
  <si>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</si>
  <si>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</si>
  <si>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</si>
  <si>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</si>
  <si>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</si>
  <si>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</si>
  <si>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</si>
  <si>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</si>
  <si>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</si>
  <si>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</si>
  <si>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</si>
  <si>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</si>
  <si>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</si>
  <si>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</si>
  <si>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</si>
  <si>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</si>
  <si>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</si>
  <si>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</si>
  <si>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</si>
  <si>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</si>
  <si>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</si>
  <si>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</si>
  <si>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</si>
  <si>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</si>
  <si>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</si>
  <si>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</si>
  <si>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</si>
  <si>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</si>
  <si>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</si>
  <si>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</si>
  <si>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</si>
  <si>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</si>
  <si>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</si>
  <si>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</si>
  <si>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</si>
  <si>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</si>
  <si>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</si>
  <si>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</si>
  <si>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</si>
  <si>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</si>
  <si>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</si>
  <si>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</si>
  <si>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</si>
  <si>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</si>
  <si>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</si>
  <si>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</si>
  <si>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</si>
  <si>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</si>
  <si>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</si>
  <si>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</si>
  <si>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</si>
  <si>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</si>
  <si>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</si>
  <si>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</si>
  <si>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</si>
  <si>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</si>
  <si>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</si>
  <si>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</si>
  <si>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</si>
  <si>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</si>
  <si>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</si>
  <si>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</si>
  <si>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</si>
  <si>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</si>
  <si>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</si>
  <si>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</si>
  <si>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</si>
  <si>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</si>
  <si>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</si>
  <si>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</si>
  <si>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</si>
  <si>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</si>
  <si>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</si>
  <si>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</si>
  <si>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</si>
  <si>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</si>
  <si>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</si>
  <si>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</si>
  <si>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</si>
  <si>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</si>
  <si>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</si>
  <si>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</si>
  <si>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</si>
  <si>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</si>
  <si>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</si>
  <si>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</si>
  <si>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</si>
  <si>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</si>
  <si>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</si>
  <si>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</si>
  <si>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</si>
  <si>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</si>
  <si>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</si>
  <si>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</si>
  <si>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</si>
  <si>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</si>
  <si>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</si>
  <si>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</si>
  <si>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</si>
  <si>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</si>
  <si>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</si>
  <si>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</si>
  <si>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</si>
  <si>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</si>
  <si>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</si>
  <si>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</si>
  <si>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</si>
  <si>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</si>
  <si>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</si>
  <si>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</si>
  <si>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</si>
  <si>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</si>
  <si>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</si>
  <si>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</si>
  <si>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</si>
  <si>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</si>
  <si>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</si>
  <si>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</si>
  <si>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</si>
  <si>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</si>
  <si>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</si>
  <si>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</si>
  <si>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</si>
  <si>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</si>
  <si>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</si>
  <si>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</si>
  <si>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</si>
  <si>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</si>
  <si>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</si>
  <si>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</si>
  <si>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</si>
  <si>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</si>
  <si>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</si>
  <si>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</si>
  <si>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</si>
  <si>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</si>
  <si>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</si>
  <si>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</si>
  <si>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</si>
  <si>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</si>
  <si>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</si>
  <si>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</si>
  <si>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</si>
  <si>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</si>
  <si>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</si>
  <si>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</si>
  <si>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</si>
  <si>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</si>
  <si>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</si>
  <si>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</si>
  <si>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</si>
  <si>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</si>
  <si>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</si>
  <si>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</si>
  <si>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</si>
  <si>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</si>
  <si>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</si>
  <si>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</si>
  <si>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</si>
  <si>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</si>
  <si>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</si>
  <si>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</si>
  <si>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</si>
  <si>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</si>
  <si>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</si>
  <si>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</si>
  <si>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</si>
  <si>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</si>
  <si>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</si>
  <si>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</si>
  <si>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</si>
  <si>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</si>
  <si>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</si>
  <si>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</si>
  <si>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</si>
  <si>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</si>
  <si>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</si>
  <si>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</si>
  <si>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</si>
  <si>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</si>
  <si>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</si>
  <si>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</si>
  <si>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</si>
  <si>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</si>
  <si>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</si>
  <si>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</si>
  <si>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</si>
  <si>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</si>
  <si>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</si>
  <si>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</si>
  <si>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</si>
  <si>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</si>
  <si>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</si>
  <si>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</si>
  <si>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</si>
  <si>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</si>
  <si>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</si>
  <si>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</si>
  <si>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</si>
  <si>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</si>
  <si>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</si>
  <si>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</si>
  <si>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</si>
  <si>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</si>
  <si>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</si>
  <si>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</si>
  <si>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</si>
  <si>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</si>
  <si>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</si>
  <si>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</si>
  <si>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</si>
  <si>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</si>
  <si>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</si>
  <si>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</si>
  <si>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</si>
  <si>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</si>
  <si>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</si>
  <si>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</si>
  <si>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</si>
  <si>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</si>
  <si>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</si>
  <si>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</si>
  <si>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</si>
  <si>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</si>
  <si>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</si>
  <si>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</si>
  <si>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</si>
  <si>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</si>
  <si>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</si>
  <si>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</si>
  <si>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</si>
  <si>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</si>
  <si>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</si>
  <si>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</si>
  <si>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</si>
  <si>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</si>
  <si>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</si>
  <si>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</si>
  <si>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</si>
  <si>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</si>
  <si>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</si>
  <si>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</si>
  <si>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</si>
  <si>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</si>
  <si>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</si>
  <si>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</si>
  <si>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</si>
  <si>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</si>
  <si>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</si>
  <si>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</si>
  <si>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</si>
  <si>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</si>
  <si>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</si>
  <si>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</si>
  <si>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</si>
  <si>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</si>
  <si>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</si>
  <si>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</si>
  <si>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</si>
  <si>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</si>
  <si>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</si>
  <si>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</si>
  <si>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</si>
  <si>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</si>
  <si>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</si>
  <si>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</si>
  <si>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</si>
  <si>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</si>
  <si>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</si>
  <si>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</si>
  <si>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</si>
  <si>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</si>
  <si>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</si>
  <si>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</si>
  <si>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</si>
  <si>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</si>
  <si>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</si>
  <si>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</si>
  <si>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</si>
  <si>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</si>
  <si>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</si>
  <si>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</si>
  <si>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</si>
  <si>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</si>
  <si>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</si>
  <si>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</si>
  <si>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</si>
  <si>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</si>
  <si>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</si>
  <si>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</si>
  <si>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</si>
  <si>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</si>
  <si>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</si>
  <si>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</si>
  <si>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</si>
  <si>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</si>
  <si>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</si>
  <si>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</si>
  <si>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</si>
  <si>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</si>
  <si>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</si>
  <si>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</si>
  <si>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</si>
  <si>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</si>
  <si>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</si>
  <si>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</si>
  <si>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</si>
  <si>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</si>
  <si>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</si>
  <si>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</si>
  <si>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</si>
  <si>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</si>
  <si>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</si>
  <si>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</si>
  <si>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</si>
  <si>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</si>
  <si>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</si>
  <si>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</si>
  <si>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</si>
  <si>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</si>
  <si>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</si>
  <si>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</si>
  <si>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</si>
  <si>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</si>
  <si>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</si>
  <si>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</si>
  <si>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</si>
  <si>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</si>
  <si>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</si>
  <si>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</si>
  <si>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</si>
  <si>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</si>
  <si>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</si>
  <si>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</si>
  <si>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</si>
  <si>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</si>
  <si>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</si>
  <si>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</si>
  <si>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</si>
  <si>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</si>
  <si>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</si>
  <si>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</si>
  <si>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</si>
  <si>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</si>
  <si>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</si>
  <si>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</si>
  <si>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</si>
  <si>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</si>
  <si>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</si>
  <si>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</si>
  <si>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</si>
  <si>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</si>
  <si>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</si>
  <si>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</si>
  <si>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</si>
  <si>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</si>
  <si>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</si>
  <si>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</si>
  <si>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</si>
  <si>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</si>
  <si>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</si>
  <si>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</si>
  <si>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</si>
  <si>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</si>
  <si>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</si>
  <si>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</si>
  <si>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</si>
  <si>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</si>
  <si>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</si>
  <si>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</si>
  <si>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</si>
  <si>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</si>
  <si>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</si>
  <si>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</si>
  <si>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</si>
  <si>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</si>
  <si>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</si>
  <si>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</si>
  <si>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</si>
  <si>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</si>
  <si>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</si>
  <si>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</si>
  <si>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</si>
  <si>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</si>
  <si>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</si>
  <si>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</si>
  <si>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</si>
  <si>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</si>
  <si>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</si>
  <si>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</si>
  <si>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</si>
  <si>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</si>
  <si>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</si>
  <si>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</si>
  <si>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</si>
  <si>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</si>
  <si>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</si>
  <si>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</si>
  <si>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</si>
  <si>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</si>
  <si>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</si>
  <si>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</si>
  <si>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</si>
  <si>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</si>
  <si>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</si>
  <si>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</si>
  <si>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</si>
  <si>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</si>
  <si>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</si>
  <si>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</si>
  <si>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</si>
  <si>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</si>
  <si>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</si>
  <si>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</si>
  <si>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</si>
  <si>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</si>
  <si>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</si>
  <si>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</si>
  <si>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</si>
  <si>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</si>
  <si>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</si>
  <si>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</si>
  <si>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</si>
  <si>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</si>
  <si>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</si>
  <si>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</si>
  <si>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</si>
  <si>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</si>
  <si>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</si>
  <si>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</si>
  <si>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</si>
  <si>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</si>
  <si>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</si>
  <si>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</si>
  <si>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</si>
  <si>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</si>
  <si>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</si>
  <si>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</si>
  <si>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</si>
  <si>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</si>
  <si>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</si>
  <si>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</si>
  <si>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</si>
  <si>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</si>
  <si>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</si>
  <si>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</si>
  <si>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</si>
  <si>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</si>
  <si>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</si>
  <si>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</si>
  <si>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</si>
  <si>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</si>
  <si>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</si>
  <si>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</si>
  <si>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</si>
  <si>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</si>
  <si>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</si>
  <si>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</si>
  <si>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</si>
  <si>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</si>
  <si>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</si>
  <si>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</si>
  <si>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</si>
  <si>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</si>
  <si>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</si>
  <si>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</si>
  <si>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</si>
  <si>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</si>
  <si>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</si>
  <si>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</si>
  <si>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</si>
  <si>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</si>
  <si>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</si>
  <si>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</si>
  <si>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</si>
  <si>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</si>
  <si>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</si>
  <si>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</si>
  <si>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</si>
  <si>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</si>
  <si>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</si>
  <si>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</si>
  <si>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</si>
  <si>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</si>
  <si>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</si>
  <si>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</si>
  <si>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</si>
  <si>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</si>
  <si>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</si>
  <si>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</si>
  <si>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</si>
  <si>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</si>
  <si>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</si>
  <si>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</si>
  <si>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</si>
  <si>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</si>
  <si>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</si>
  <si>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</si>
  <si>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</si>
  <si>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</si>
  <si>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</si>
  <si>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</si>
  <si>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</si>
  <si>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</si>
  <si>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</si>
  <si>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</si>
  <si>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</si>
  <si>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</si>
  <si>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</si>
  <si>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</si>
  <si>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</si>
  <si>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</si>
  <si>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</si>
  <si>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</si>
  <si>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</si>
  <si>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</si>
  <si>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</si>
  <si>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</si>
  <si>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</si>
  <si>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</si>
  <si>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</si>
  <si>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</si>
  <si>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</si>
  <si>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</si>
  <si>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</si>
  <si>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</si>
  <si>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</si>
  <si>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</si>
  <si>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</si>
  <si>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</si>
  <si>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</si>
  <si>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</si>
  <si>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</si>
  <si>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</si>
  <si>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</si>
  <si>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</si>
  <si>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</si>
  <si>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</si>
  <si>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</si>
  <si>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</si>
  <si>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</si>
  <si>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</si>
  <si>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</si>
  <si>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</si>
  <si>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</si>
  <si>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</si>
  <si>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</si>
  <si>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</si>
  <si>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</si>
  <si>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</si>
  <si>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</si>
  <si>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</si>
  <si>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</si>
  <si>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</si>
  <si>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</si>
  <si>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</si>
  <si>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</si>
  <si>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</si>
  <si>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</si>
  <si>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</si>
  <si>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</si>
  <si>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</si>
  <si>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</si>
  <si>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</si>
  <si>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</si>
  <si>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</si>
  <si>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</si>
  <si>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</si>
  <si>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</si>
  <si>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</si>
  <si>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</si>
  <si>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</si>
  <si>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</si>
  <si>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</si>
  <si>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</si>
  <si>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</si>
  <si>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</si>
  <si>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</si>
  <si>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</si>
  <si>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</si>
  <si>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</si>
  <si>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</si>
  <si>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</si>
  <si>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</si>
  <si>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</si>
  <si>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</si>
  <si>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</si>
  <si>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</si>
  <si>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</si>
  <si>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</si>
  <si>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</si>
  <si>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</si>
  <si>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</si>
  <si>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</si>
  <si>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</si>
  <si>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</si>
  <si>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</si>
  <si>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</si>
  <si>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</si>
  <si>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</si>
  <si>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</si>
  <si>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</si>
  <si>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</si>
  <si>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</si>
  <si>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</si>
  <si>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</si>
  <si>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</si>
  <si>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</si>
  <si>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</si>
  <si>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</si>
  <si>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</si>
  <si>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</si>
  <si>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</si>
  <si>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</si>
  <si>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</si>
  <si>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</si>
  <si>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</si>
  <si>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</si>
  <si>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</si>
  <si>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</si>
  <si>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</si>
  <si>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</si>
  <si>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</si>
  <si>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</si>
  <si>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</si>
  <si>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</si>
  <si>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</si>
  <si>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</si>
  <si>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</si>
  <si>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</si>
  <si>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</si>
  <si>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</si>
  <si>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</si>
  <si>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</si>
  <si>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</si>
  <si>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</si>
  <si>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</si>
  <si>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</si>
  <si>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</si>
  <si>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</si>
  <si>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</si>
  <si>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</si>
  <si>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</si>
  <si>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</si>
  <si>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</si>
  <si>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</si>
  <si>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</si>
  <si>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</si>
  <si>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</si>
  <si>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</si>
  <si>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</si>
  <si>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</si>
  <si>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</si>
  <si>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</si>
  <si>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</si>
  <si>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</si>
  <si>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</si>
  <si>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</si>
  <si>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</si>
  <si>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</si>
  <si>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</si>
  <si>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</si>
  <si>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</si>
  <si>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</si>
  <si>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</si>
  <si>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</si>
  <si>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</si>
  <si>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</si>
  <si>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</si>
  <si>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</si>
  <si>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</si>
  <si>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</si>
  <si>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</si>
  <si>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</si>
  <si>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</si>
  <si>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</si>
  <si>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</si>
  <si>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</si>
  <si>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</si>
  <si>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</si>
  <si>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</si>
  <si>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</si>
  <si>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</si>
  <si>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</si>
  <si>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</si>
  <si>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</si>
  <si>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</si>
  <si>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</si>
  <si>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</si>
  <si>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</si>
  <si>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</si>
  <si>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</si>
  <si>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</si>
  <si>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</si>
  <si>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</si>
  <si>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</si>
  <si>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</si>
  <si>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</si>
  <si>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</si>
  <si>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</si>
  <si>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</si>
  <si>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</si>
  <si>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</si>
  <si>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</si>
  <si>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</si>
  <si>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</si>
  <si>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</si>
  <si>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</si>
  <si>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</si>
  <si>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</si>
  <si>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</si>
  <si>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</si>
  <si>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</si>
  <si>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</si>
  <si>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</si>
  <si>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</si>
  <si>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</si>
  <si>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</si>
  <si>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</si>
  <si>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</si>
  <si>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</si>
  <si>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</si>
  <si>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</si>
  <si>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</si>
  <si>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</si>
  <si>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</si>
  <si>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</si>
  <si>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</si>
  <si>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</si>
  <si>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</si>
  <si>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</si>
  <si>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</si>
  <si>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</si>
  <si>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</si>
  <si>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</si>
  <si>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</si>
  <si>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</si>
  <si>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</si>
  <si>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</si>
  <si>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</si>
  <si>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</si>
  <si>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</si>
  <si>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</si>
  <si>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</si>
  <si>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</si>
  <si>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</si>
  <si>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</si>
  <si>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</si>
  <si>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</si>
  <si>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</si>
  <si>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</si>
  <si>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</si>
  <si>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</si>
  <si>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</si>
  <si>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</si>
  <si>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</si>
  <si>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</si>
  <si>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</si>
  <si>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</si>
  <si>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</si>
  <si>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</si>
  <si>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</si>
  <si>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</si>
  <si>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</si>
  <si>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</si>
  <si>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</si>
  <si>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</si>
  <si>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</si>
  <si>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</si>
  <si>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</si>
  <si>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</si>
  <si>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</si>
  <si>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</si>
  <si>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</si>
  <si>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</si>
  <si>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</si>
  <si>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</si>
  <si>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</si>
  <si>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</si>
  <si>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</si>
  <si>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</si>
  <si>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</si>
  <si>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</si>
  <si>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</si>
  <si>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</si>
  <si>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</si>
  <si>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</si>
  <si>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</si>
  <si>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</si>
  <si>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</si>
  <si>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</si>
  <si>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</si>
  <si>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</si>
  <si>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</si>
  <si>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</si>
  <si>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</si>
  <si>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</si>
  <si>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</si>
  <si>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</si>
  <si>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</si>
  <si>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</si>
  <si>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</si>
  <si>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</si>
  <si>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</si>
  <si>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</si>
  <si>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</si>
  <si>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</si>
  <si>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</si>
  <si>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</si>
  <si>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</si>
  <si>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</si>
  <si>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</si>
  <si>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</si>
  <si>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</si>
  <si>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</si>
  <si>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</si>
  <si>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</si>
  <si>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</si>
  <si>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</si>
  <si>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</si>
  <si>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</si>
  <si>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</si>
  <si>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</si>
  <si>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</si>
  <si>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</si>
  <si>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</si>
  <si>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</si>
  <si>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</si>
  <si>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</si>
  <si>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</si>
  <si>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</si>
  <si>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</si>
  <si>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</si>
  <si>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</si>
  <si>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</si>
  <si>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</si>
  <si>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</si>
  <si>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</si>
  <si>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</si>
  <si>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</si>
  <si>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</si>
  <si>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</si>
  <si>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</si>
  <si>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</si>
  <si>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</si>
  <si>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</si>
  <si>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</si>
  <si>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</si>
  <si>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</si>
  <si>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</si>
  <si>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</si>
  <si>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</si>
  <si>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</si>
  <si>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</si>
  <si>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</si>
  <si>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</si>
  <si>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</si>
  <si>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</si>
  <si>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</si>
  <si>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</si>
  <si>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</si>
  <si>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</si>
  <si>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</si>
  <si>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</si>
  <si>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</si>
  <si>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</si>
  <si>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</si>
  <si>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</si>
  <si>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</si>
  <si>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</si>
  <si>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</si>
  <si>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</si>
  <si>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</si>
  <si>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</si>
  <si>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</si>
  <si>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</si>
  <si>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</si>
  <si>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</si>
  <si>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</si>
  <si>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</si>
  <si>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</si>
  <si>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</si>
  <si>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</si>
  <si>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</si>
  <si>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</si>
  <si>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</si>
  <si>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</si>
  <si>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</si>
  <si>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</si>
  <si>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</si>
  <si>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</si>
  <si>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</si>
  <si>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</si>
  <si>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</si>
  <si>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</si>
  <si>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</si>
  <si>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</si>
  <si>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</si>
  <si>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</si>
  <si>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</si>
  <si>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</si>
  <si>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</si>
  <si>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</si>
  <si>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</si>
  <si>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</si>
  <si>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</si>
  <si>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</si>
  <si>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</si>
  <si>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</si>
  <si>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</si>
  <si>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</si>
  <si>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</si>
  <si>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</si>
  <si>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</si>
  <si>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</si>
  <si>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</si>
  <si>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</si>
  <si>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</si>
  <si>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</si>
  <si>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</si>
  <si>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</si>
  <si>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</si>
  <si>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</si>
  <si>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</si>
  <si>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</si>
  <si>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</si>
  <si>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</si>
  <si>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</si>
  <si>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</si>
  <si>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</si>
  <si>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</si>
  <si>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</si>
  <si>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</si>
  <si>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</si>
  <si>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</si>
  <si>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</si>
  <si>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</si>
  <si>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</si>
  <si>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</si>
  <si>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</si>
  <si>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</si>
  <si>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</si>
  <si>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</si>
  <si>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</si>
  <si>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</si>
  <si>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</si>
  <si>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</si>
  <si>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</si>
  <si>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</si>
  <si>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</si>
  <si>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</si>
  <si>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</si>
  <si>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</si>
  <si>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</si>
  <si>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</si>
  <si>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</si>
  <si>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</si>
  <si>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</si>
  <si>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</si>
  <si>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</si>
  <si>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</si>
  <si>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</si>
  <si>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</si>
  <si>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</si>
  <si>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</si>
  <si>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</si>
  <si>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</si>
  <si>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</si>
  <si>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</si>
  <si>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</si>
  <si>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</si>
  <si>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</si>
  <si>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</si>
  <si>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</si>
  <si>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</si>
  <si>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</si>
  <si>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</si>
  <si>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</si>
  <si>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</si>
  <si>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</si>
  <si>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</si>
  <si>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</si>
  <si>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</si>
  <si>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</si>
  <si>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</si>
  <si>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</si>
  <si>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</si>
  <si>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</si>
  <si>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</si>
  <si>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</si>
  <si>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</si>
  <si>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</si>
  <si>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</si>
  <si>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</si>
  <si>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</si>
  <si>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</si>
  <si>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</si>
  <si>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</si>
  <si>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</si>
  <si>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</si>
  <si>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</si>
  <si>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</si>
  <si>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</si>
  <si>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</si>
  <si>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</si>
  <si>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</si>
  <si>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</si>
  <si>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</si>
  <si>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</si>
  <si>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</si>
  <si>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</si>
  <si>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</si>
  <si>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</si>
  <si>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</si>
  <si>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</si>
  <si>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</si>
  <si>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</si>
  <si>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</si>
  <si>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</si>
  <si>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</si>
  <si>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</si>
  <si>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</si>
  <si>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</si>
  <si>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</si>
  <si>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</si>
  <si>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</si>
  <si>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</si>
  <si>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</si>
  <si>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</si>
  <si>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</si>
  <si>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</si>
  <si>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</si>
  <si>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</si>
  <si>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</si>
  <si>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</si>
  <si>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</si>
  <si>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</si>
  <si>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</si>
  <si>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</si>
  <si>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</si>
  <si>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</si>
  <si>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</si>
  <si>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</si>
  <si>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</si>
  <si>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</si>
  <si>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</si>
  <si>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</si>
  <si>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</si>
  <si>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</si>
  <si>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</si>
  <si>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</si>
  <si>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</si>
  <si>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</si>
  <si>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</si>
  <si>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</si>
  <si>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</si>
  <si>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</si>
  <si>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</si>
  <si>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</si>
  <si>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</si>
  <si>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</si>
  <si>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</si>
  <si>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</si>
  <si>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</si>
  <si>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</si>
  <si>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</si>
  <si>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</si>
  <si>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</si>
  <si>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</si>
  <si>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</si>
  <si>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</si>
  <si>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</si>
  <si>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</si>
  <si>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</si>
  <si>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</si>
  <si>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</si>
  <si>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</si>
  <si>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</si>
  <si>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</si>
  <si>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</si>
  <si>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</si>
  <si>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</si>
  <si>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</si>
  <si>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</si>
  <si>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</si>
  <si>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</si>
  <si>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</si>
  <si>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</si>
  <si>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</si>
  <si>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</si>
  <si>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</si>
  <si>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</si>
  <si>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</si>
  <si>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</si>
  <si>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</si>
  <si>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</si>
  <si>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</si>
  <si>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</si>
  <si>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</si>
  <si>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</si>
  <si>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</si>
  <si>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</si>
  <si>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</si>
  <si>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</si>
  <si>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</si>
  <si>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</si>
  <si>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</si>
  <si>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</si>
  <si>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</si>
  <si>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</si>
  <si>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</si>
  <si>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</si>
  <si>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</si>
  <si>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</si>
  <si>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</si>
  <si>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</si>
  <si>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</si>
  <si>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</si>
  <si>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</si>
  <si>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</si>
  <si>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</si>
  <si>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</si>
  <si>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</si>
  <si>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</si>
  <si>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</si>
  <si>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</si>
  <si>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</si>
  <si>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</si>
  <si>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</si>
  <si>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</si>
  <si>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</si>
  <si>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</si>
  <si>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</si>
  <si>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</si>
  <si>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</si>
  <si>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</si>
  <si>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</si>
  <si>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</si>
  <si>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</si>
  <si>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</si>
  <si>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</si>
  <si>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</si>
  <si>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</si>
  <si>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</si>
  <si>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</si>
  <si>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</si>
  <si>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</si>
  <si>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</si>
  <si>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</si>
  <si>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</si>
  <si>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</si>
  <si>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</si>
  <si>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</si>
  <si>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</si>
  <si>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</si>
  <si>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</si>
  <si>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</si>
  <si>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</si>
  <si>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</si>
  <si>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</si>
  <si>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</si>
  <si>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</si>
  <si>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</si>
  <si>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</si>
  <si>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</si>
  <si>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</si>
  <si>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</si>
  <si>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</si>
  <si>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</si>
  <si>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</si>
  <si>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</si>
  <si>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</si>
  <si>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</si>
  <si>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</si>
  <si>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</si>
  <si>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</si>
  <si>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</si>
  <si>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</si>
  <si>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</si>
  <si>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</si>
  <si>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</si>
  <si>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</si>
  <si>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</si>
  <si>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</si>
  <si>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</si>
  <si>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</si>
  <si>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</si>
  <si>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</si>
  <si>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</si>
  <si>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</si>
  <si>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</si>
  <si>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</si>
  <si>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</si>
  <si>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</si>
  <si>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</si>
  <si>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</si>
  <si>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</si>
  <si>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</si>
  <si>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</si>
  <si>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</si>
  <si>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</si>
  <si>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</si>
  <si>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</si>
  <si>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</si>
  <si>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</si>
  <si>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</si>
  <si>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</si>
  <si>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</si>
  <si>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</si>
  <si>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</si>
  <si>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</si>
  <si>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</si>
  <si>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</si>
  <si>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</si>
  <si>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</si>
  <si>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</si>
  <si>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</si>
  <si>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</si>
  <si>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</si>
  <si>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</si>
  <si>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</si>
  <si>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</si>
  <si>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</si>
  <si>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</si>
  <si>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</si>
  <si>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</si>
  <si>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</si>
  <si>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</si>
  <si>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</si>
  <si>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</si>
  <si>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</si>
  <si>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</si>
  <si>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</si>
  <si>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</si>
  <si>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</si>
  <si>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</si>
  <si>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</si>
  <si>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</si>
  <si>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</si>
  <si>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</si>
  <si>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</si>
  <si>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</si>
  <si>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</si>
  <si>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</si>
  <si>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</si>
  <si>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</si>
  <si>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</si>
  <si>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</si>
  <si>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</si>
  <si>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</si>
  <si>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</si>
  <si>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</si>
  <si>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</si>
  <si>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</si>
  <si>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</si>
  <si>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</si>
  <si>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</si>
  <si>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</si>
  <si>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</si>
  <si>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</si>
  <si>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</si>
  <si>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</si>
  <si>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</si>
  <si>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</si>
  <si>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</si>
  <si>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</si>
  <si>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</si>
  <si>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</si>
  <si>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</si>
  <si>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</si>
  <si>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</si>
  <si>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</si>
  <si>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</si>
  <si>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</si>
  <si>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</si>
  <si>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</si>
  <si>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</si>
  <si>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</si>
  <si>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</si>
  <si>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</si>
  <si>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</si>
  <si>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</si>
  <si>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</si>
  <si>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</si>
  <si>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</si>
  <si>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</si>
  <si>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</si>
  <si>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</si>
  <si>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</si>
  <si>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</si>
  <si>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</si>
  <si>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</si>
  <si>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</si>
  <si>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</si>
  <si>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</si>
  <si>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</si>
  <si>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</si>
  <si>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</si>
  <si>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</si>
  <si>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</si>
  <si>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</si>
  <si>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</si>
  <si>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</si>
  <si>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</si>
  <si>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</si>
  <si>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</si>
  <si>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</si>
  <si>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</si>
  <si>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</si>
  <si>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</si>
  <si>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</si>
  <si>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</si>
  <si>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</si>
  <si>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</si>
  <si>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</si>
  <si>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</si>
  <si>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</si>
  <si>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</si>
  <si>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</si>
  <si>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</si>
  <si>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</si>
  <si>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</si>
  <si>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</si>
  <si>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</si>
  <si>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</si>
  <si>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</si>
  <si>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</si>
  <si>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</si>
  <si>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</si>
  <si>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</si>
  <si>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</si>
  <si>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</si>
  <si>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</si>
  <si>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</si>
  <si>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</si>
  <si>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</si>
  <si>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</si>
  <si>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</si>
  <si>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</si>
  <si>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</si>
  <si>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</si>
  <si>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</si>
  <si>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</si>
  <si>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</si>
  <si>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</si>
  <si>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</si>
  <si>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</si>
  <si>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</si>
  <si>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</si>
  <si>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</si>
  <si>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</si>
  <si>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</si>
  <si>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</si>
  <si>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</si>
  <si>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</si>
  <si>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</si>
  <si>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</si>
  <si>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</si>
  <si>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</si>
  <si>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</si>
  <si>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</si>
  <si>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</si>
  <si>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</si>
  <si>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</si>
  <si>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</si>
  <si>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</si>
  <si>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</si>
  <si>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</si>
  <si>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</si>
  <si>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</si>
  <si>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</si>
  <si>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</si>
  <si>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</si>
  <si>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</si>
  <si>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</si>
  <si>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</si>
  <si>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</si>
  <si>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</si>
  <si>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</si>
  <si>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</si>
  <si>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</si>
  <si>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</si>
  <si>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</si>
  <si>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</si>
  <si>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</si>
  <si>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</si>
  <si>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</si>
  <si>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</si>
  <si>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</si>
  <si>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</si>
  <si>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</si>
  <si>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</si>
  <si>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</si>
  <si>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</si>
  <si>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</si>
  <si>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</si>
  <si>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</si>
  <si>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</si>
  <si>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</si>
  <si>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</si>
  <si>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</si>
  <si>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</si>
  <si>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</si>
  <si>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</si>
  <si>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</si>
  <si>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</si>
  <si>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</si>
  <si>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</si>
  <si>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</si>
  <si>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</si>
  <si>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</si>
  <si>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</si>
  <si>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</si>
  <si>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</si>
  <si>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</si>
  <si>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</si>
  <si>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</si>
  <si>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</si>
  <si>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</si>
  <si>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</si>
  <si>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</si>
  <si>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</si>
  <si>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</si>
  <si>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</si>
  <si>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</si>
  <si>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</si>
  <si>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</si>
  <si>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</si>
  <si>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</si>
  <si>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</si>
  <si>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</si>
  <si>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</si>
  <si>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</si>
  <si>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</si>
  <si>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</si>
  <si>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</si>
  <si>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</si>
  <si>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</si>
  <si>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</si>
  <si>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</si>
  <si>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</si>
  <si>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</si>
  <si>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</si>
  <si>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</si>
  <si>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</si>
  <si>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</si>
  <si>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</si>
  <si>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</si>
  <si>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</si>
  <si>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</si>
  <si>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</si>
  <si>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</si>
  <si>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</si>
  <si>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</si>
  <si>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</si>
  <si>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</si>
  <si>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</si>
  <si>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</si>
  <si>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</si>
  <si>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</si>
  <si>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</si>
  <si>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</si>
  <si>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</si>
  <si>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</si>
  <si>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</si>
  <si>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</si>
  <si>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</si>
  <si>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</si>
  <si>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</si>
  <si>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</si>
  <si>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</si>
  <si>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</si>
  <si>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</si>
  <si>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</si>
  <si>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</si>
  <si>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</si>
  <si>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</si>
  <si>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</si>
  <si>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</si>
  <si>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</si>
  <si>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</si>
  <si>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</si>
  <si>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</si>
  <si>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</si>
  <si>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</si>
  <si>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</si>
  <si>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</si>
  <si>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</si>
  <si>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</si>
  <si>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</si>
  <si>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</si>
  <si>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</si>
  <si>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</si>
  <si>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</si>
  <si>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</si>
  <si>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</si>
  <si>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</si>
  <si>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</si>
  <si>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</si>
  <si>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</si>
  <si>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</si>
  <si>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</si>
  <si>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</si>
  <si>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</si>
  <si>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</si>
  <si>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</si>
  <si>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</si>
  <si>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</si>
  <si>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</si>
  <si>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</si>
  <si>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</si>
  <si>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</si>
  <si>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</si>
  <si>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</si>
  <si>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</si>
  <si>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</si>
  <si>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</si>
  <si>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</si>
  <si>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</si>
  <si>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</si>
  <si>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</si>
  <si>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</si>
  <si>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</si>
  <si>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</si>
  <si>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</si>
  <si>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</si>
  <si>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</si>
  <si>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</si>
  <si>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</si>
  <si>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</si>
  <si>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</si>
  <si>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</si>
  <si>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</si>
  <si>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</si>
  <si>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</si>
  <si>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</si>
  <si>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</si>
  <si>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</si>
  <si>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</si>
  <si>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</si>
  <si>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</si>
  <si>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</si>
  <si>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</si>
  <si>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</si>
  <si>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</si>
  <si>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</si>
  <si>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</si>
  <si>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</si>
  <si>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</si>
  <si>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</si>
  <si>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</si>
  <si>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</si>
  <si>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</si>
  <si>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</si>
  <si>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</si>
  <si>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</si>
  <si>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</si>
  <si>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</si>
  <si>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</si>
  <si>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</si>
  <si>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</si>
  <si>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</si>
  <si>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</si>
  <si>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</si>
  <si>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</si>
  <si>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</si>
  <si>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</si>
  <si>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</si>
  <si>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</si>
  <si>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</si>
  <si>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</si>
  <si>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</si>
  <si>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</si>
  <si>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</si>
  <si>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</si>
  <si>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</si>
  <si>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</si>
  <si>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</si>
  <si>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</si>
  <si>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</si>
  <si>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</si>
  <si>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</si>
  <si>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</si>
  <si>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</si>
  <si>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</si>
  <si>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</si>
  <si>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</si>
  <si>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</si>
  <si>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</si>
  <si>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</si>
  <si>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</si>
  <si>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</si>
  <si>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</si>
  <si>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</si>
  <si>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</si>
  <si>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</si>
  <si>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</si>
  <si>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</si>
  <si>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</si>
  <si>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</si>
  <si>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</si>
  <si>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</si>
  <si>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</si>
  <si>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</si>
  <si>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</si>
  <si>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</si>
  <si>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</si>
  <si>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</si>
  <si>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</si>
  <si>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</si>
  <si>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</si>
  <si>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</si>
  <si>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</si>
  <si>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</si>
  <si>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</si>
  <si>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</si>
  <si>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</si>
  <si>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</si>
  <si>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</si>
  <si>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</si>
  <si>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</si>
  <si>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</si>
  <si>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</si>
  <si>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</si>
  <si>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</si>
  <si>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</si>
  <si>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</si>
  <si>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</si>
  <si>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</si>
  <si>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</si>
  <si>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</si>
  <si>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</si>
  <si>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</si>
  <si>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</si>
  <si>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</si>
  <si>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</si>
  <si>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</si>
  <si>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</si>
  <si>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</si>
  <si>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</si>
  <si>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</si>
  <si>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</si>
  <si>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</si>
  <si>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</si>
  <si>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</si>
  <si>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</si>
  <si>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</si>
  <si>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</si>
  <si>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</si>
  <si>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</si>
  <si>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</si>
  <si>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</si>
  <si>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</si>
  <si>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</si>
  <si>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</si>
  <si>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</si>
  <si>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</si>
  <si>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</si>
  <si>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</si>
  <si>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</si>
  <si>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</si>
  <si>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</si>
  <si>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</si>
  <si>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</si>
  <si>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</si>
  <si>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</si>
  <si>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</si>
  <si>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</si>
  <si>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</si>
  <si>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</si>
  <si>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</si>
  <si>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</si>
  <si>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</si>
  <si>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</si>
  <si>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</si>
  <si>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</si>
  <si>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</si>
  <si>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</si>
  <si>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</si>
  <si>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</si>
  <si>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</si>
  <si>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</si>
  <si>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</si>
  <si>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</si>
  <si>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</si>
  <si>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</si>
  <si>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</si>
  <si>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</si>
  <si>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</si>
  <si>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</si>
  <si>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</si>
  <si>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</si>
  <si>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</si>
  <si>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</si>
  <si>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</si>
  <si>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</si>
  <si>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</si>
  <si>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</si>
  <si>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</si>
  <si>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</si>
  <si>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</si>
  <si>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</si>
  <si>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</si>
  <si>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</si>
  <si>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</si>
  <si>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</si>
  <si>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</si>
  <si>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</si>
  <si>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</si>
  <si>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</si>
  <si>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</si>
  <si>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</si>
  <si>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</si>
  <si>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</si>
  <si>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</si>
  <si>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</si>
  <si>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</si>
  <si>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</si>
  <si>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</si>
  <si>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</si>
  <si>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</si>
  <si>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</si>
  <si>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</si>
  <si>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</si>
  <si>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</si>
  <si>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</si>
  <si>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</si>
  <si>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</si>
  <si>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</si>
  <si>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</si>
  <si>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</si>
  <si>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</si>
  <si>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</si>
  <si>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</si>
  <si>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</si>
  <si>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</si>
  <si>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</si>
  <si>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</si>
  <si>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</si>
  <si>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</si>
  <si>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</si>
  <si>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</si>
  <si>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</si>
  <si>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</si>
  <si>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</si>
  <si>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</si>
  <si>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</si>
  <si>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</si>
  <si>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</si>
  <si>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</si>
  <si>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</si>
  <si>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</si>
  <si>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</si>
  <si>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</si>
  <si>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</si>
  <si>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</si>
  <si>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</si>
  <si>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</si>
  <si>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</si>
  <si>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</si>
  <si>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</si>
  <si>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</si>
  <si>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</si>
  <si>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</si>
  <si>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</si>
  <si>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</si>
  <si>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</si>
  <si>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</si>
  <si>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</si>
  <si>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</si>
  <si>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</si>
  <si>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</si>
  <si>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</si>
  <si>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</si>
  <si>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</si>
  <si>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</si>
  <si>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</si>
  <si>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</si>
  <si>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</si>
  <si>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</si>
  <si>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</si>
  <si>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</si>
  <si>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</si>
  <si>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</si>
  <si>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</si>
  <si>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</si>
  <si>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</si>
  <si>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</si>
  <si>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</si>
  <si>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</si>
  <si>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</si>
  <si>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</si>
  <si>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</si>
  <si>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</si>
  <si>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</si>
  <si>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</si>
  <si>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</si>
  <si>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</si>
  <si>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</si>
  <si>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</si>
  <si>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</si>
  <si>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</si>
  <si>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</si>
  <si>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Компенсатор сильфонный, условное давление 0,25 МПа (2,5 кгс/см2), условный проход 350 мм, 3Л-класс безопасности, С-Группа оборудования, 1 Категория сейсмостойкости</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</si>
  <si>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</si>
  <si>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</si>
  <si>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</si>
  <si>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</si>
  <si>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</si>
  <si>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</si>
  <si>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</si>
  <si>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</si>
  <si>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</si>
  <si>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</si>
  <si>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</si>
  <si>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</si>
  <si>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</si>
  <si>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</si>
  <si>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</si>
  <si>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</si>
  <si>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</si>
  <si>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</si>
  <si>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</si>
  <si>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</si>
  <si>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</si>
  <si>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</si>
  <si>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</si>
  <si>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</si>
  <si>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</si>
  <si>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</si>
  <si>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</si>
  <si>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</si>
  <si>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</si>
  <si>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</si>
  <si>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</si>
  <si>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</si>
  <si>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</si>
  <si>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</si>
  <si>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</si>
  <si>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</si>
  <si>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</si>
  <si>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</si>
  <si>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</si>
  <si>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</si>
  <si>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</si>
  <si>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</si>
  <si>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</si>
  <si>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</si>
  <si>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</si>
  <si>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</si>
  <si>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</si>
  <si>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</si>
  <si>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</si>
  <si>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</si>
  <si>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</si>
  <si>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</si>
  <si>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</si>
  <si>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</si>
  <si>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</si>
  <si>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</si>
  <si>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</si>
  <si>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</si>
  <si>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</si>
  <si>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</si>
  <si>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</si>
  <si>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</si>
  <si>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</si>
  <si>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</si>
  <si>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</si>
  <si>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</si>
  <si>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</si>
  <si>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</si>
  <si>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</si>
  <si>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</si>
  <si>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</si>
  <si>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</si>
  <si>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</si>
  <si>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</si>
  <si>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</si>
  <si>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</si>
  <si>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</si>
  <si>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</si>
  <si>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</si>
  <si>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</si>
  <si>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</si>
  <si>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</si>
  <si>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</si>
  <si>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</si>
  <si>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</si>
  <si>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</si>
  <si>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</si>
  <si>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</si>
  <si>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</si>
  <si>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</si>
  <si>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</si>
  <si>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</si>
  <si>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</si>
  <si>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</si>
  <si>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</si>
  <si>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</si>
  <si>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</si>
  <si>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</si>
  <si>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</si>
  <si>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</si>
  <si>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</si>
  <si>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</si>
  <si>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</si>
  <si>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</si>
  <si>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</si>
  <si>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</si>
  <si>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</si>
  <si>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</si>
  <si>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</si>
  <si>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</si>
  <si>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</si>
  <si>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</si>
  <si>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</si>
  <si>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</si>
  <si>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</si>
  <si>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</si>
  <si>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</si>
  <si>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</si>
  <si>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</si>
  <si>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</si>
  <si>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</si>
  <si>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</si>
  <si>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</si>
  <si>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</si>
  <si>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</si>
  <si>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</si>
  <si>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</si>
  <si>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</si>
  <si>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</si>
  <si>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</si>
  <si>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</si>
  <si>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</si>
  <si>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</si>
  <si>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</si>
  <si>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</si>
  <si>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</si>
  <si>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</si>
  <si>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</si>
  <si>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</si>
  <si>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</si>
  <si>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</si>
  <si>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</si>
  <si>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</si>
  <si>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</si>
  <si>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</si>
  <si>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</si>
  <si>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</si>
  <si>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</si>
  <si>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</si>
  <si>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</si>
  <si>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</si>
  <si>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</si>
  <si>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</si>
  <si>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</si>
  <si>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</si>
  <si>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</si>
  <si>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</si>
  <si>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</si>
  <si>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</si>
  <si>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</si>
  <si>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</si>
  <si>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</si>
  <si>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</si>
  <si>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</si>
  <si>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Детали фасонные к листам хризотилцементным</t>
  </si>
  <si>
    <t>Картоны асбестовые</t>
  </si>
  <si>
    <t>Кабины душевые</t>
  </si>
  <si>
    <t>Колодцы кабельные полимерные</t>
  </si>
  <si>
    <t>Кабели волоконно-оптические</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</si>
  <si>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</si>
  <si>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</si>
  <si>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</si>
  <si>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</si>
  <si>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</si>
  <si>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</si>
  <si>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</si>
  <si>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</si>
  <si>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</si>
  <si>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</si>
  <si>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</si>
  <si>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</si>
  <si>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</si>
  <si>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</si>
  <si>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</si>
  <si>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</si>
  <si>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</si>
  <si>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</si>
  <si>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</si>
  <si>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</si>
  <si>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</si>
  <si>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</si>
  <si>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</si>
  <si>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</si>
  <si>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</si>
  <si>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</si>
  <si>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</si>
  <si>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</si>
  <si>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</si>
  <si>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</si>
  <si>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</si>
  <si>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</si>
  <si>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</si>
  <si>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</si>
  <si>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</si>
  <si>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</si>
  <si>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</si>
  <si>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</si>
  <si>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</si>
  <si>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</si>
  <si>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</si>
  <si>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</si>
  <si>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</si>
  <si>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</si>
  <si>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</si>
  <si>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</si>
  <si>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</si>
  <si>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</si>
  <si>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</si>
  <si>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</si>
  <si>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</si>
  <si>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</si>
  <si>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</si>
  <si>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</si>
  <si>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</si>
  <si>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</si>
  <si>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</si>
  <si>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</si>
  <si>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</si>
  <si>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</si>
  <si>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</si>
  <si>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</si>
  <si>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</si>
  <si>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</si>
  <si>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</si>
  <si>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</si>
  <si>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</si>
  <si>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</si>
  <si>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</si>
  <si>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</si>
  <si>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</si>
  <si>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</si>
  <si>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</si>
  <si>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</si>
  <si>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</si>
  <si>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</si>
  <si>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</si>
  <si>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</si>
  <si>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</si>
  <si>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</si>
  <si>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</si>
  <si>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</si>
  <si>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</si>
  <si>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</si>
  <si>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</si>
  <si>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</si>
  <si>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</si>
  <si>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</si>
  <si>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</si>
  <si>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</si>
  <si>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</si>
  <si>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</si>
  <si>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</si>
  <si>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</si>
  <si>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</si>
  <si>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</si>
  <si>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</si>
  <si>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</si>
  <si>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</si>
  <si>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</si>
  <si>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</si>
  <si>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</si>
  <si>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</si>
  <si>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</si>
  <si>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</si>
  <si>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</si>
  <si>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</si>
  <si>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</si>
  <si>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</si>
  <si>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</si>
  <si>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</si>
  <si>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</si>
  <si>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</si>
  <si>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</si>
  <si>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</si>
  <si>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</si>
  <si>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</si>
  <si>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</si>
  <si>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</si>
  <si>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</si>
  <si>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</si>
  <si>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</si>
  <si>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</si>
  <si>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</si>
  <si>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</si>
  <si>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</si>
  <si>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</si>
  <si>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</si>
  <si>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</si>
  <si>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</si>
  <si>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</si>
  <si>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</si>
  <si>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</si>
  <si>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</si>
  <si>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</si>
  <si>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</si>
  <si>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</si>
  <si>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</si>
  <si>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</si>
  <si>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</si>
  <si>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</si>
  <si>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</si>
  <si>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</si>
  <si>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</si>
  <si>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</si>
  <si>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</si>
  <si>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</si>
  <si>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</si>
  <si>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</si>
  <si>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</si>
  <si>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</si>
  <si>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</si>
  <si>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</si>
  <si>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</si>
  <si>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</si>
  <si>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</si>
  <si>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</si>
  <si>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</si>
  <si>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</si>
  <si>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</si>
  <si>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</si>
  <si>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</si>
  <si>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</si>
  <si>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</si>
  <si>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</si>
  <si>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</si>
  <si>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</si>
  <si>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</si>
  <si>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</si>
  <si>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</si>
  <si>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</si>
  <si>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</si>
  <si>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</si>
  <si>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</si>
  <si>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1QTН2S -1.1</t>
  </si>
  <si>
    <t>27.02.2024</t>
  </si>
  <si>
    <t>ТЦ_ 61.2.04.02_67_997350001_27.02.24_2</t>
  </si>
  <si>
    <t>1QTС2Н4-2.12QTС2Н4-2.11QTС2Н4-1.1</t>
  </si>
  <si>
    <t>1QTН2-1.1,1QTН2-1.2,2QTН2-1.1,2QTН2-1.3,2QTН2-1.2,2QTН2-1.4,2QTН2-2.1,2QTН2-2.2,2QTН2-2.3,2QTН2-2.4,2QTН2-3.1,2QTН2-3.2</t>
  </si>
  <si>
    <t>3.1</t>
  </si>
  <si>
    <t>3.2</t>
  </si>
  <si>
    <t>3.3</t>
  </si>
  <si>
    <t>2QTС2Н5OH-2.1</t>
  </si>
  <si>
    <t>4.1</t>
  </si>
  <si>
    <t>4.2</t>
  </si>
  <si>
    <t>4.3</t>
  </si>
  <si>
    <t>2QTС6Н6-3.1</t>
  </si>
  <si>
    <t>5.1</t>
  </si>
  <si>
    <t>5.2</t>
  </si>
  <si>
    <t>5.3</t>
  </si>
  <si>
    <t>2QTCI2-1.1</t>
  </si>
  <si>
    <t>6.1</t>
  </si>
  <si>
    <t>6.2</t>
  </si>
  <si>
    <t>6.3</t>
  </si>
  <si>
    <t>2QTС7Н8-3.1</t>
  </si>
  <si>
    <t>7.1</t>
  </si>
  <si>
    <t>7.2</t>
  </si>
  <si>
    <t>7.3</t>
  </si>
  <si>
    <t>8.1</t>
  </si>
  <si>
    <t>8.2</t>
  </si>
  <si>
    <t>8.3</t>
  </si>
  <si>
    <t>Компания 1</t>
  </si>
  <si>
    <t>Компания 2</t>
  </si>
  <si>
    <t>9.1</t>
  </si>
  <si>
    <t>9.2</t>
  </si>
  <si>
    <t>9.3</t>
  </si>
  <si>
    <t>URL</t>
  </si>
  <si>
    <t>П/П</t>
  </si>
  <si>
    <t xml:space="preserve">Вентиль точной регулировки ВТР </t>
  </si>
  <si>
    <t>ТЦ_ 18.1.10.01_67_673201001_27.02.24_2</t>
  </si>
  <si>
    <t>Вентиль точной регулировки ВТР</t>
  </si>
  <si>
    <t>10.1</t>
  </si>
  <si>
    <t>10.2</t>
  </si>
  <si>
    <t>10.3</t>
  </si>
  <si>
    <t xml:space="preserve">Индикатор расхода ИР </t>
  </si>
  <si>
    <t>ТЦ_ 18.1.11.05_67_673201001_27.02.24_2</t>
  </si>
  <si>
    <t>11.1</t>
  </si>
  <si>
    <t>11.2</t>
  </si>
  <si>
    <t>11.3</t>
  </si>
  <si>
    <t xml:space="preserve">Индикатор расхода ИР (регулируемый) </t>
  </si>
  <si>
    <t>12.1</t>
  </si>
  <si>
    <t>12.2</t>
  </si>
  <si>
    <t>12.3</t>
  </si>
  <si>
    <t>Стилус ИБЯЛ</t>
  </si>
  <si>
    <t>382,80</t>
  </si>
  <si>
    <t>ТЦ_ 18.2.03.02_67_997350001_27.02.24_2</t>
  </si>
  <si>
    <t>13.1</t>
  </si>
  <si>
    <t>13.2</t>
  </si>
  <si>
    <t>13.3</t>
  </si>
  <si>
    <t xml:space="preserve">Поверочная газовая смесь ПГС воздух, кл.1 </t>
  </si>
  <si>
    <t>14266,80</t>
  </si>
  <si>
    <t>14.1</t>
  </si>
  <si>
    <t>14.2</t>
  </si>
  <si>
    <t>14.3</t>
  </si>
  <si>
    <t>ТЦ_  01.3.02.09_67_673201001_27.02.24_2</t>
  </si>
  <si>
    <t xml:space="preserve">Поверочная газовая смесь ПГС CH4 </t>
  </si>
  <si>
    <t>17437,20</t>
  </si>
  <si>
    <t>ТЦ_ 01.3.02.09_67_997350001_27.02.24_2</t>
  </si>
  <si>
    <t>15.1</t>
  </si>
  <si>
    <t>15.2</t>
  </si>
  <si>
    <t>15.3</t>
  </si>
  <si>
    <t xml:space="preserve">Газ поверочный нулевой ПНГ воздух </t>
  </si>
  <si>
    <t>36027,60</t>
  </si>
  <si>
    <t>16.1</t>
  </si>
  <si>
    <t>16.2</t>
  </si>
  <si>
    <t>16.3</t>
  </si>
  <si>
    <t xml:space="preserve">Источник микропотока ИМ09–М–А2 (Cl2) </t>
  </si>
  <si>
    <t>47988,00</t>
  </si>
  <si>
    <t>17.1</t>
  </si>
  <si>
    <t>17.2</t>
  </si>
  <si>
    <t>17.3</t>
  </si>
  <si>
    <t>18.1</t>
  </si>
  <si>
    <t>18.2</t>
  </si>
  <si>
    <t>18.3</t>
  </si>
  <si>
    <t xml:space="preserve">Стационарный газоанализатор ИГМ-13М-3А </t>
  </si>
  <si>
    <t xml:space="preserve">216 300,00 </t>
  </si>
  <si>
    <t>07.03.2024</t>
  </si>
  <si>
    <t>19.1</t>
  </si>
  <si>
    <t>19.2</t>
  </si>
  <si>
    <t>19.3</t>
  </si>
  <si>
    <t>ТЦ_ 61.2.04.02_78_780201001_07.03.24_1</t>
  </si>
  <si>
    <t>20.1</t>
  </si>
  <si>
    <t>20.2</t>
  </si>
  <si>
    <t>20.3</t>
  </si>
  <si>
    <t>21.1</t>
  </si>
  <si>
    <t>21.2</t>
  </si>
  <si>
    <t>21.3</t>
  </si>
  <si>
    <t>22.1</t>
  </si>
  <si>
    <t>22.2</t>
  </si>
  <si>
    <t>22.3</t>
  </si>
  <si>
    <t>23.1</t>
  </si>
  <si>
    <t>23.2</t>
  </si>
  <si>
    <t>23.3</t>
  </si>
  <si>
    <t>24.1</t>
  </si>
  <si>
    <t>24.2</t>
  </si>
  <si>
    <t>24.3</t>
  </si>
  <si>
    <t xml:space="preserve">Калибровочный набор </t>
  </si>
  <si>
    <t xml:space="preserve">939 360,00 </t>
  </si>
  <si>
    <t>25.1</t>
  </si>
  <si>
    <t>25.2</t>
  </si>
  <si>
    <t>25.3</t>
  </si>
  <si>
    <t xml:space="preserve">	Калибровочный набор в составе: 1.	Азот О.ч. сорт 2-й по ГОСТ 9293-74 баллон 4 л. - 1 шт. 2.	ГСО 10332-2013 изобутан/азот 5 млн-1 +/-10% баллон 4 л. - 1 шт. 3.	ГСО 10332-2013 изобутан/азот 500 млн-1 +/-10% баллон 4 л. - 1 шт. 4.	ГСО 10332-2013 изобутан/азот 900 млн-1 +/-10% баллон 4 л. - 1 шт. 5.	ГСО 10245-2013 бутан/азот 5 млн-1 +/-10% баллон 4 л. - 1 шт. 6.	ГСО 10245-2013 бутан/азот 500 млн-1 +/-10% баллон 4 л. - 1 шт. 7.	ГСО 10245-2013 бутан/азот 900 млн-1 +/-10% баллон 4 л. - 1 шт. 8.	ГСО 10243-2013 этан/азот 5 млн-1 +/-10% баллон 4 л. - 1 шт. 9.	ГСО 10243-2013 этан/азот 260 млн-1 +/-10% баллон 4 л. - 1 шт. 10.	ГСО 10243-2013 этан/азот 560 млн-1 +/-10% баллон 4 л. - 1 шт. 11.	ГСО 10262-2013 пропан/азот 5 млн-1 +/-10% баллон 4 л. - 1 шт.12. ГСО 10262-2013 пропан/азот 500 млн-1 +/-10% баллон 4 л. - 1 шт. 13.	ГСО 10262-2013 пропан/азот 900 млн-1 +/-10% баллон 4 л. - 1 шт. 14.	ГСО 10524-2013 этилбензол/азот 0,5 млн-1 +/-10% баллон 4 л. - 1 шт. 15.	ГСО 10524-2013 этилбензол/азот 25 млн-1 +/-10% баллон 4 л. - 1 шт. 16.	ГСО 10524-2013 этилбензол/азот 45 млн-1 +/-10% баллон 4 л. - 1 шт. 17.	Натекатель Н-12 с манометром и оливкой - 1 шт. 18.	Ротаметр РМ-А-0,063 - 1 шт. 19.	Трубка ПВХ 3 м</t>
  </si>
  <si>
    <t>Коробка клеммная взрывозащищенная 1Ex db IIC T5 Gb X IP66</t>
  </si>
  <si>
    <t xml:space="preserve">Коробка клеммная взрывозащищенная </t>
  </si>
  <si>
    <t>24 297,00</t>
  </si>
  <si>
    <t>04.03.2024</t>
  </si>
  <si>
    <t>ТЦ_ 20.5.02.03_78_780601001_04.03.24_1</t>
  </si>
  <si>
    <t>26.1</t>
  </si>
  <si>
    <t>26.2</t>
  </si>
  <si>
    <t>26.3</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</si>
  <si>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Домкрат монтажный универсальный НТМ-ДМУ - 1 шт; -	Пластина опорная фиксационная НТМ-ОПФ60 - 1 шт; -	Транзитный модуль НТМ20/3-16 - 8 шт;- Модуль-заглушка НТМ20/0 - 1 шт.</t>
  </si>
  <si>
    <t>НТМ-РМ10у.1x1/КПГ Проходка кабельная взрывозащищенная 1Ex e IIC Gb IP66</t>
  </si>
  <si>
    <t>29 231,00</t>
  </si>
  <si>
    <t>05.03.2024</t>
  </si>
  <si>
    <t>ТЦ_ 20.2.03.04_78_780601001_05.03.24_1</t>
  </si>
  <si>
    <t>27.1</t>
  </si>
  <si>
    <t>27.2</t>
  </si>
  <si>
    <t>27.3</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</si>
  <si>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</si>
  <si>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27 686,00</t>
  </si>
  <si>
    <t>28.1</t>
  </si>
  <si>
    <t>28.2</t>
  </si>
  <si>
    <t>28.3</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</si>
  <si>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</si>
  <si>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НТМ-РМ22у.1x1/КПГ Проходка кабельная взрывозащищенная 1Ex e IIC Gb IP66</t>
  </si>
  <si>
    <t>49 836,00</t>
  </si>
  <si>
    <t>29.1</t>
  </si>
  <si>
    <t>29.2</t>
  </si>
  <si>
    <t>29.3</t>
  </si>
  <si>
    <t>ПГС-ИТ11-24DC/ЗАГАЗОВАНО/К-1КНВМ1М-15НК/ УВГ1030Р24Ф000627 Табло светодиодное взрывозащищенное 1Ex db IIC T6 Gb, IP66. Надпись "ЗАГАЗОВАНО". Цвет подсветки - красный</t>
  </si>
  <si>
    <t>Табло светодиодное взрывозащищенное 1Ex db IIC T6 Gb, IP66. Надпись "ЗАГАЗОВАНО".</t>
  </si>
  <si>
    <t>14 261,00</t>
  </si>
  <si>
    <t>ТЦ_ 61.2.04.07_78_780601001_04.03.24_1</t>
  </si>
  <si>
    <t>30.1</t>
  </si>
  <si>
    <t>30.2</t>
  </si>
  <si>
    <t>30.3</t>
  </si>
  <si>
    <t>ПГС-ИТ11-24DC/ЗАГАЗОВАНО/К-1КНВМ1М-15НК/ УВГ1030Р24Ф000628 Табло светодиодное взрывозащищенное 1Ex db IIC T6 Gb, IP66. Надпись "ЗАГАЗОВАНО". Цвет подсветки - красный. В комплекте кабельный ввод для небронированного кабеля d=6-12мм с возможностью присоединения металлорукава Ду=15 мм - 1шт.</t>
  </si>
  <si>
    <t>31.1</t>
  </si>
  <si>
    <t>31.2</t>
  </si>
  <si>
    <t>31.3</t>
  </si>
  <si>
    <t>ШГВ423222-О3020/УВГ1030Р24Ф000603 Шкаф взрывозащищённый 1Ex db IIC T4 Gb X IP66 согласно чертежу 1894.03.24.02</t>
  </si>
  <si>
    <t xml:space="preserve">Шкаф взрывозащищённый 1Ex db IIC T4 Gb X IP66 </t>
  </si>
  <si>
    <t>204 069,00</t>
  </si>
  <si>
    <t>ТЦ_ 20.4.04.01_78_780601001_04.03.24_1</t>
  </si>
  <si>
    <t>32.1</t>
  </si>
  <si>
    <t>32.2</t>
  </si>
  <si>
    <t>32.3</t>
  </si>
  <si>
    <t xml:space="preserve">Коробка клеммная взрывозащищенная 1Ex db </t>
  </si>
  <si>
    <t>50 389,00</t>
  </si>
  <si>
    <t>ТЦ_ 20.5.02.03_78_780601001_27.02.24_1</t>
  </si>
  <si>
    <t>33.1</t>
  </si>
  <si>
    <t>33.2</t>
  </si>
  <si>
    <t>33.3</t>
  </si>
  <si>
    <t>42 251,00</t>
  </si>
  <si>
    <t>34.1</t>
  </si>
  <si>
    <t>34.2</t>
  </si>
  <si>
    <t>34.3</t>
  </si>
  <si>
    <t>40 186,00</t>
  </si>
  <si>
    <t>35.1</t>
  </si>
  <si>
    <t>35.2</t>
  </si>
  <si>
    <t>35.3</t>
  </si>
  <si>
    <t>48 829,00</t>
  </si>
  <si>
    <t>36.1</t>
  </si>
  <si>
    <t>36.2</t>
  </si>
  <si>
    <t>36.3</t>
  </si>
  <si>
    <t>ЩОРВ281811(2PYK2,5ET-6PYK2,5E-9)-1КНВМ2M -20HK(А)-3КНВМ1M-15HK(А)/УВГ1030Р24Ф00062 0 Коробка клеммная взрывозащищенная 1Ex db IIC T5 Gb X IP66 3XV-2</t>
  </si>
  <si>
    <t>29 860,00</t>
  </si>
  <si>
    <t>37.1</t>
  </si>
  <si>
    <t>37.2</t>
  </si>
  <si>
    <t>37.3</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</si>
  <si>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 В комплекте кабельный ввод для небронированного кабеля d=6-12мм с возможностью присоединения металлорукава Ду=15 мм - 1шт.</t>
  </si>
  <si>
    <t>Табло светозвуковое взрывозащищенное 1Ex db e mb IIC T6 Gb, IP66</t>
  </si>
  <si>
    <t>38 089,00</t>
  </si>
  <si>
    <t>ТЦ_ 61.2.04.07_78_780601001_27.02.24_1</t>
  </si>
  <si>
    <t>38.1</t>
  </si>
  <si>
    <t>38.2</t>
  </si>
  <si>
    <t>38.3</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</si>
  <si>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 В комплекте кабельный ввод для небронированного кабеля d=6-12мм с возможностью присоединения металлорукава Ду=15 мм - 1шт.</t>
  </si>
  <si>
    <t>Табло светозвуковое взрывозащищенное 1Ex db e mb IIC T6 Gb, IP66. 24В DC, 250mA, 106Дб.</t>
  </si>
  <si>
    <t>39.1</t>
  </si>
  <si>
    <t>39.2</t>
  </si>
  <si>
    <t>39.3</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</si>
  <si>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 В комплекте кабельный ввод для небронированного кабеля d=6-12мм с возможностью присоединения металлорукава Ду=15 мм - 1шт.</t>
  </si>
  <si>
    <t>40.1</t>
  </si>
  <si>
    <t>40.2</t>
  </si>
  <si>
    <t>40.3</t>
  </si>
  <si>
    <t>ПГЗ-СИРЕНА2-24DC-1КНВМ1M-15HK/УВГ1030Р2 3Ф000624 Пост звуковой сигнализации взрывозащищенный 1Ex db e mb IIC T6 Gb, IP66. В комплекте кабельный ввод для небронированного кабеля d=6-12мм с возможностью присоединения металлорукава Ду=15 мм - 1шт.</t>
  </si>
  <si>
    <t>Пост звуковой сигнализации взрывозащищенный 1Ex db e mb IIC T6 Gb, IP66</t>
  </si>
  <si>
    <t>31 653,00</t>
  </si>
  <si>
    <t>41.1</t>
  </si>
  <si>
    <t>41.2</t>
  </si>
  <si>
    <t>41.3</t>
  </si>
  <si>
    <t xml:space="preserve">ПКИЕ-П1008091КГЕ01Ч11-1КНВМ1M-15HK(Г)-1E T6/M2(Г)/УВГ1030Р24Ф000626 Пост управления взрывозащищенный 1Ex db e IIC T6 Gb IP66 </t>
  </si>
  <si>
    <t xml:space="preserve">Пост управления взрывозащищенный 1Ex db e IIC T6 Gb IP66 </t>
  </si>
  <si>
    <t>7 130,00</t>
  </si>
  <si>
    <t>42.1</t>
  </si>
  <si>
    <t>42.2</t>
  </si>
  <si>
    <t>42.3</t>
  </si>
  <si>
    <t>Щит автоматики 1ЩА-№1. Габаритные размеры (ВхШхГ,мм): 1800х800х400 (в соответствии с опросным листом АВТГ.2З103.АТХ.ОЛ1)</t>
  </si>
  <si>
    <t>Щит автоматики 1ЩА-№1.</t>
  </si>
  <si>
    <t>43.1</t>
  </si>
  <si>
    <t>43.2</t>
  </si>
  <si>
    <t>43.3</t>
  </si>
  <si>
    <t>Щит автоматики 1ЩА-№2 . Габаритные размеры (ВхШхГ,мм): 600х400х250 (в соответствии с опросным листом АВТГ.2З103.АТХ.ОЛ2)</t>
  </si>
  <si>
    <t>Щит автоматики 1ЩА-№2 .</t>
  </si>
  <si>
    <t>44.1</t>
  </si>
  <si>
    <t>44.2</t>
  </si>
  <si>
    <t>44.3</t>
  </si>
  <si>
    <t>Комплект прикладного программного обеспечения для щитов автоматики 1ЩА-№1, 1ЩА№2, сенсорных панелей 1ПС-1, 1пс-2, 2пс-1, 2ПС-2, 2пс-з.</t>
  </si>
  <si>
    <t xml:space="preserve">Комплект прикладного программного обеспечения для щитов автоматики 1ЩА-№1, 1ЩА№2, </t>
  </si>
  <si>
    <t xml:space="preserve">05.03.2024 </t>
  </si>
  <si>
    <t>ТЦ_ 20.4.04.02_78_783901001_05.03.24_2</t>
  </si>
  <si>
    <t>45.1</t>
  </si>
  <si>
    <t>45.2</t>
  </si>
  <si>
    <t>45.3</t>
  </si>
  <si>
    <t xml:space="preserve">Бирка кабельная маркировочная </t>
  </si>
  <si>
    <t>уп.</t>
  </si>
  <si>
    <t>ТЦ_ 25.2.01.01_78_783901001_05.03.24_2</t>
  </si>
  <si>
    <t>46.1</t>
  </si>
  <si>
    <t>46.2</t>
  </si>
  <si>
    <t>46.3</t>
  </si>
  <si>
    <t xml:space="preserve">Бирка проводная маркировочная </t>
  </si>
  <si>
    <t>47.1</t>
  </si>
  <si>
    <t>47.2</t>
  </si>
  <si>
    <t>47.3</t>
  </si>
  <si>
    <t xml:space="preserve">Кабель контрольный МКЭШВнг(А)   2х 2х 1.0 </t>
  </si>
  <si>
    <t xml:space="preserve">Кабель контрольный МКЭШВнг(А)   </t>
  </si>
  <si>
    <t xml:space="preserve">193 068,00 </t>
  </si>
  <si>
    <t>ТЦ_ 21.1.08.03_50_503601001_05.03.24_2</t>
  </si>
  <si>
    <t>48.1</t>
  </si>
  <si>
    <t>48.2</t>
  </si>
  <si>
    <t>48.3</t>
  </si>
  <si>
    <t xml:space="preserve">Кабель КГВВнг(А)-LS   2х 1.0-0.66 </t>
  </si>
  <si>
    <t xml:space="preserve">Кабель КГВВнг(А)-LS   </t>
  </si>
  <si>
    <t>60 012,00</t>
  </si>
  <si>
    <t>49.1</t>
  </si>
  <si>
    <t>49.2</t>
  </si>
  <si>
    <t>49.3</t>
  </si>
  <si>
    <t xml:space="preserve">Кабель контрольный КГВЭВнг(А)-LS  4х 2.5-0.66 </t>
  </si>
  <si>
    <t xml:space="preserve">Кабель контрольный КГВЭВнг(А)-LS  </t>
  </si>
  <si>
    <t xml:space="preserve">0,500 </t>
  </si>
  <si>
    <t xml:space="preserve">306 360,00 </t>
  </si>
  <si>
    <t>50.1</t>
  </si>
  <si>
    <t>50.2</t>
  </si>
  <si>
    <t>50.3</t>
  </si>
  <si>
    <t xml:space="preserve">Кабель контрольный КГВЭВнг(А)-LS  5х 1.0-0.66 </t>
  </si>
  <si>
    <t xml:space="preserve">0,760 </t>
  </si>
  <si>
    <t xml:space="preserve">207 996,00 </t>
  </si>
  <si>
    <t>51.1</t>
  </si>
  <si>
    <t>51.2</t>
  </si>
  <si>
    <t>51.3</t>
  </si>
  <si>
    <t xml:space="preserve">Кабель силовой ВВГнг(А)-LS   3х 2.5ок(N,PE)-0.66 </t>
  </si>
  <si>
    <t xml:space="preserve">Кабель силовой ВВГнг(А)-LS   </t>
  </si>
  <si>
    <t xml:space="preserve">0,300 </t>
  </si>
  <si>
    <t xml:space="preserve">107 568,00 </t>
  </si>
  <si>
    <t>ТЦ_ 21.1.02.01_50_503601001_05.03.24_2</t>
  </si>
  <si>
    <t>52.1</t>
  </si>
  <si>
    <t>52.2</t>
  </si>
  <si>
    <t>52.3</t>
  </si>
  <si>
    <t xml:space="preserve">Провод силовой ПуГВнг(А)-LS  1х 6(PE) </t>
  </si>
  <si>
    <t xml:space="preserve">Провод силовой ПуГВнг(А)-LS  </t>
  </si>
  <si>
    <t xml:space="preserve">88 428,00 </t>
  </si>
  <si>
    <t>ТЦ_ 21.2.03.04_50_503601001_05.03.24_2</t>
  </si>
  <si>
    <t>53.1</t>
  </si>
  <si>
    <t>53.2</t>
  </si>
  <si>
    <t>53.3</t>
  </si>
  <si>
    <t>Витая пара F/UTP 4PR 24AWG Cat.5e LSZH(LSOH) экранированная не распространяющяя горение</t>
  </si>
  <si>
    <t>Витая пара экранированная не распространяющяя горение</t>
  </si>
  <si>
    <t>ТЦ_ 21.1.04.01_78_780401001_06.03.24_2</t>
  </si>
  <si>
    <t>54.1</t>
  </si>
  <si>
    <t>54.2</t>
  </si>
  <si>
    <t>54.3</t>
  </si>
  <si>
    <t>Металлорукав в ПВХ изоляции РЗ-ЦП нг-LS 15 (50 м) с протяжкой</t>
  </si>
  <si>
    <t xml:space="preserve">Металлорукав в ПВХ изоляции РЗ-ЦП нг-LS 15 </t>
  </si>
  <si>
    <t>ТЦ_ 08.1.02.13_78_780401001_06.03.24_2</t>
  </si>
  <si>
    <t>55.1</t>
  </si>
  <si>
    <t>55.2</t>
  </si>
  <si>
    <t>55.3</t>
  </si>
  <si>
    <t>Металлорукав в ПВХ изоляции РЗ-ЦП нг-LS 20 (50 м) с протяжкой</t>
  </si>
  <si>
    <t xml:space="preserve">Металлорукав в ПВХ изоляции РЗ-ЦП нг-LS 20 </t>
  </si>
  <si>
    <t>56.1</t>
  </si>
  <si>
    <t>56.2</t>
  </si>
  <si>
    <t>56.3</t>
  </si>
  <si>
    <t>Скоба двухлапковая СД 14-15</t>
  </si>
  <si>
    <t>ТЦ_ 20.2.03.17_78_780401001_06.03.24_2</t>
  </si>
  <si>
    <t>57.1</t>
  </si>
  <si>
    <t>57.2</t>
  </si>
  <si>
    <t>57.3</t>
  </si>
  <si>
    <t>Скоба двухлапковая СД 25-26</t>
  </si>
  <si>
    <t>58.1</t>
  </si>
  <si>
    <t>58.2</t>
  </si>
  <si>
    <t>58.3</t>
  </si>
  <si>
    <t>Стяжка кабельная PRNS 150х3,5 черная атмосферостойкая (100 шт)</t>
  </si>
  <si>
    <t>ТЦ_ 20.1.02.18_78_780401001_06.03.24_2</t>
  </si>
  <si>
    <t>59.1</t>
  </si>
  <si>
    <t>59.2</t>
  </si>
  <si>
    <t>59.3</t>
  </si>
  <si>
    <t>Стяжка кабельная нейлоновая PRNS 290x4.8 черная атмосферостойкая (100шт.)</t>
  </si>
  <si>
    <t>Стяжка кабельная нейлоновая PRNS 290x4.8 черная атмосферостойкая (100ш</t>
  </si>
  <si>
    <t>60.1</t>
  </si>
  <si>
    <t>60.2</t>
  </si>
  <si>
    <t>60.3</t>
  </si>
  <si>
    <t>Стяжки стальные с полимерным покрытием СКС-П (304) 4,6*300 FORTISFLEX</t>
  </si>
  <si>
    <t>61.1</t>
  </si>
  <si>
    <t>61.2</t>
  </si>
  <si>
    <t>61.3</t>
  </si>
  <si>
    <t>Наконечник НШВИ 1.0-12</t>
  </si>
  <si>
    <t xml:space="preserve">Наконечник НШВИ </t>
  </si>
  <si>
    <t>ТЦ_ 20.2.10.04_78_780401001_06.03.24_2</t>
  </si>
  <si>
    <t>62.1</t>
  </si>
  <si>
    <t>62.2</t>
  </si>
  <si>
    <t>62.3</t>
  </si>
  <si>
    <t>Наконечник ТМЛ 16-6-6 луженый</t>
  </si>
  <si>
    <t>63.1</t>
  </si>
  <si>
    <t>63.2</t>
  </si>
  <si>
    <t>63.3</t>
  </si>
  <si>
    <t>Трубка термоусадочная ТТУ 40/20 черная 1м GENERICA</t>
  </si>
  <si>
    <t>ТЦ_ 18.5.07.04_78_780401001_06.03.24_2</t>
  </si>
  <si>
    <t>64.1</t>
  </si>
  <si>
    <t>64.2</t>
  </si>
  <si>
    <t>64.3</t>
  </si>
  <si>
    <t>U-образный болт оцинкованный 1 '' М8</t>
  </si>
  <si>
    <t>ТЦ_ 25.1.04.01_78_780401001_06.03.24_2</t>
  </si>
  <si>
    <t>65.1</t>
  </si>
  <si>
    <t>65.2</t>
  </si>
  <si>
    <t>65.3</t>
  </si>
  <si>
    <t>Трос 4,0 мм стальной оцинкованный (20м)</t>
  </si>
  <si>
    <t>ТЦ_ 20.1.02.19_78_780401001_06.03.24_2</t>
  </si>
  <si>
    <t>66.1</t>
  </si>
  <si>
    <t>66.2</t>
  </si>
  <si>
    <t>66.3</t>
  </si>
  <si>
    <t>СОЕДИНИТЕЛЬ ДЛЯ ТРОСА А4 DIN741 ART.400-03E нержавейка</t>
  </si>
  <si>
    <t>ТЦ_ 25.1.06.21_78_780401001_06.03.24_2</t>
  </si>
  <si>
    <t>67.1</t>
  </si>
  <si>
    <t>67.2</t>
  </si>
  <si>
    <t>67.3</t>
  </si>
  <si>
    <t>ТЦ_ 20.1.01.04_78_780401001_06.03.24_2</t>
  </si>
  <si>
    <t>68.1</t>
  </si>
  <si>
    <t>68.2</t>
  </si>
  <si>
    <t>68.3</t>
  </si>
  <si>
    <t>Хомут трубный ТХК комплект 1 1/4'' (39-46мм) М8 (Fortisflex)</t>
  </si>
  <si>
    <t>ТЦ_ 24.1.02.01_78_780401001_06.03.24_2</t>
  </si>
  <si>
    <t>69.1</t>
  </si>
  <si>
    <t>69.2</t>
  </si>
  <si>
    <t>69.3</t>
  </si>
  <si>
    <t>Шпилька DIN 976-1 М8х1000 резьбовая покрытие цинк</t>
  </si>
  <si>
    <t>ТЦ_ 01.7.15.12_78_780401001_06.03.24_2</t>
  </si>
  <si>
    <t>70.1</t>
  </si>
  <si>
    <t>70.2</t>
  </si>
  <si>
    <t>70.3</t>
  </si>
  <si>
    <t>Резьбовой крепежный элемент с внутренней резьбой РКв-20 У2 IP54</t>
  </si>
  <si>
    <t>ТЦ_ 07.2.06.04_78_780401001_06.03.24_2</t>
  </si>
  <si>
    <t>71.1</t>
  </si>
  <si>
    <t>71.2</t>
  </si>
  <si>
    <t>71.3</t>
  </si>
  <si>
    <t>72.1</t>
  </si>
  <si>
    <t>72.2</t>
  </si>
  <si>
    <t>72.3</t>
  </si>
  <si>
    <t>0,90</t>
  </si>
  <si>
    <t>232,00</t>
  </si>
  <si>
    <t>ТЦ_ 01.2.03.02_78_780401001_06.03.24_2</t>
  </si>
  <si>
    <t>73.1</t>
  </si>
  <si>
    <t>73.2</t>
  </si>
  <si>
    <t>73.3</t>
  </si>
  <si>
    <t xml:space="preserve">ООО "Строительный Торговый Дом "Петрович" </t>
  </si>
  <si>
    <t>info@petrovich.ru</t>
  </si>
  <si>
    <t>74.1</t>
  </si>
  <si>
    <t>74.2</t>
  </si>
  <si>
    <t>74.3</t>
  </si>
  <si>
    <t>Эмаль ПФ-115 Faktor черная</t>
  </si>
  <si>
    <t>0,91</t>
  </si>
  <si>
    <t>190,00</t>
  </si>
  <si>
    <t>ТЦ_ 14.4.04.03_78_997350001_06.03.24_</t>
  </si>
  <si>
    <t>Пена монтажная профессиональная</t>
  </si>
  <si>
    <t>0,93</t>
  </si>
  <si>
    <t>831,00</t>
  </si>
  <si>
    <t>ТЦ_ 14.5.01.10_78_997350001_06.03.24_</t>
  </si>
  <si>
    <t>75.1</t>
  </si>
  <si>
    <t>75.2</t>
  </si>
  <si>
    <t>75.3</t>
  </si>
  <si>
    <t xml:space="preserve">Шпаклевка полимерная </t>
  </si>
  <si>
    <t>534,00</t>
  </si>
  <si>
    <t>ТЦ_ 14.5.11.09_78_997350001_06.03.24_</t>
  </si>
  <si>
    <t>76.1</t>
  </si>
  <si>
    <t>76.2</t>
  </si>
  <si>
    <t>76.3</t>
  </si>
  <si>
    <t xml:space="preserve">Труба стальная водогазопроводная оцинкованная </t>
  </si>
  <si>
    <t>1 008,00</t>
  </si>
  <si>
    <t>ТЦ_ 23.3.09.01_78_997350001_06.03.24_</t>
  </si>
  <si>
    <t>77.1</t>
  </si>
  <si>
    <t>77.2</t>
  </si>
  <si>
    <t>77.3</t>
  </si>
  <si>
    <t>Труба стальная</t>
  </si>
  <si>
    <t>1 300,00</t>
  </si>
  <si>
    <t>78.1</t>
  </si>
  <si>
    <t>78.2</t>
  </si>
  <si>
    <t>78.3</t>
  </si>
  <si>
    <t>75,51</t>
  </si>
  <si>
    <t>ТЦ_ 25.1.03.07_78_997350001_06.03.24_</t>
  </si>
  <si>
    <t>79.1</t>
  </si>
  <si>
    <t>79.2</t>
  </si>
  <si>
    <t>79.3</t>
  </si>
  <si>
    <t>80.1</t>
  </si>
  <si>
    <t>80.2</t>
  </si>
  <si>
    <t>80.3</t>
  </si>
  <si>
    <t>Клапан СЕНС-ПФ DN15PN25-24В-СВ-G1/2-0</t>
  </si>
  <si>
    <t xml:space="preserve">Клапан СЕНС-ПФ </t>
  </si>
  <si>
    <t>61 400</t>
  </si>
  <si>
    <t>19.03.2024</t>
  </si>
  <si>
    <t>ТЦ_ 18.1.06.02_0_583801001_19.03.24_2</t>
  </si>
  <si>
    <t>ООО Сибур-Инновации</t>
  </si>
  <si>
    <t>Строение 285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</si>
</sst>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3"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8">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9" fillId="2" borderId="0" xfId="3" applyFill="1" applyAlignment="1" applyProtection="1">
      <alignment horizontal="left" vertical="center" wrapText="1"/>
    </xf>
    <xf numFmtId="0" fontId="0" fillId="3" borderId="5" xfId="0" applyFont="1" applyFill="1" applyBorder="1"/>
    <xf numFmtId="0" fontId="0" fillId="0" borderId="5" xfId="0" applyFont="1" applyBorder="1"/>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49" fontId="7" fillId="0" borderId="3" xfId="0" applyNumberFormat="1" applyFont="1" applyFill="1" applyBorder="1" applyAlignment="1">
      <alignment horizontal="center" vertical="center" wrapText="1"/>
    </xf>
    <xf numFmtId="4" fontId="0" fillId="4" borderId="0" xfId="0" applyNumberFormat="1" applyFill="1"/>
    <xf numFmtId="0" fontId="0" fillId="0" borderId="6" xfId="0" applyFont="1" applyBorder="1"/>
    <xf numFmtId="0" fontId="0" fillId="3" borderId="6" xfId="0" applyFont="1" applyFill="1" applyBorder="1"/>
    <xf numFmtId="0" fontId="0" fillId="3" borderId="7" xfId="0" applyFont="1" applyFill="1" applyBorder="1"/>
    <xf numFmtId="4" fontId="0" fillId="0" borderId="0" xfId="0" applyNumberFormat="1"/>
    <xf numFmtId="0" fontId="12" fillId="0" borderId="8" xfId="0" applyFont="1" applyBorder="1"/>
    <xf numFmtId="3" fontId="0" fillId="4" borderId="0" xfId="0" applyNumberFormat="1" applyFill="1"/>
    <xf numFmtId="14" fontId="0" fillId="4" borderId="0" xfId="0" applyNumberFormat="1" applyFill="1"/>
    <xf numFmtId="14" fontId="0" fillId="0" borderId="0" xfId="0" applyNumberFormat="1"/>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5" totalsRowShown="0" headerRowDxfId="21" dataDxfId="19" headerRowBorderDxfId="20" tableBorderDxfId="18" totalsRowBorderDxfId="17">
  <autoFilter ref="A1:F15"/>
  <tableColumns count="6">
    <tableColumn id="1" name="Наименование" dataDxfId="16"/>
    <tableColumn id="2" name="ИНН" dataDxfId="15"/>
    <tableColumn id="3" name="КПП" dataDxfId="14"/>
    <tableColumn id="4" name="URL" dataDxfId="13"/>
    <tableColumn id="5" name="Город" dataDxfId="12"/>
    <tableColumn id="6" name="П/П" dataDxfId="11"/>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80" totalsRowShown="0" headerRowDxfId="10" headerRowCellStyle="HeadingStyle">
  <sortState ref="A2:A2180">
    <sortCondition ref="A1:A2180"/>
  </sortState>
  <tableColumns count="1">
    <tableColumn id="2" name="Группы" dataDxfId="9"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048534" totalsRowShown="0">
  <autoFilter ref="A1:G1048534"/>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5" Type="http://schemas.openxmlformats.org/officeDocument/2006/relationships/table" Target="../tables/table1.xml"/><Relationship Id="rId4" Type="http://schemas.openxmlformats.org/officeDocument/2006/relationships/hyperlink" Target="mailto:info@petrovich.ru"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52" t="s">
        <v>0</v>
      </c>
      <c r="B2" s="52"/>
      <c r="C2" s="52"/>
      <c r="D2" s="52"/>
      <c r="E2" s="52"/>
      <c r="F2" s="52"/>
      <c r="G2" s="52"/>
      <c r="H2" s="52"/>
      <c r="I2" s="52"/>
      <c r="J2" s="52"/>
      <c r="K2" s="52"/>
      <c r="L2" s="52"/>
      <c r="M2" s="52"/>
      <c r="N2" s="52"/>
      <c r="O2" s="52"/>
      <c r="P2" s="52"/>
      <c r="Q2" s="52"/>
      <c r="R2" s="52"/>
      <c r="S2" s="52"/>
      <c r="T2" s="52"/>
      <c r="U2" s="52"/>
    </row>
    <row r="3" spans="1:23" ht="14.45" customHeight="1" x14ac:dyDescent="0.25">
      <c r="A3" s="53"/>
      <c r="B3" s="53"/>
      <c r="C3" s="53"/>
      <c r="D3" s="53"/>
      <c r="E3" s="53"/>
      <c r="F3" s="53"/>
      <c r="G3" s="53"/>
      <c r="H3" s="53"/>
      <c r="I3" s="53"/>
      <c r="J3" s="53"/>
      <c r="K3" s="53"/>
      <c r="L3" s="53"/>
      <c r="M3" s="53"/>
      <c r="N3" s="53"/>
      <c r="O3" s="53"/>
      <c r="P3" s="53"/>
      <c r="Q3" s="53"/>
      <c r="R3" s="53"/>
      <c r="S3" s="53"/>
      <c r="T3" s="53"/>
      <c r="U3" s="53"/>
    </row>
    <row r="4" spans="1:23" ht="14.45" customHeight="1" x14ac:dyDescent="0.25">
      <c r="A4" s="54" t="s">
        <v>1</v>
      </c>
      <c r="B4" s="54"/>
      <c r="C4" s="54"/>
      <c r="D4" s="54"/>
      <c r="E4" s="54"/>
      <c r="F4" s="54"/>
      <c r="G4" s="54"/>
      <c r="H4" s="54"/>
      <c r="I4" s="54"/>
      <c r="J4" s="54"/>
      <c r="K4" s="54"/>
      <c r="L4" s="54"/>
      <c r="M4" s="54"/>
      <c r="N4" s="54"/>
      <c r="O4" s="54"/>
      <c r="P4" s="54"/>
      <c r="Q4" s="54"/>
      <c r="R4" s="54"/>
      <c r="S4" s="54"/>
      <c r="T4" s="54"/>
      <c r="U4" s="54"/>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5" t="s">
        <v>2</v>
      </c>
      <c r="B6" s="55"/>
      <c r="C6" s="55"/>
      <c r="D6" s="55"/>
      <c r="E6" s="55"/>
      <c r="F6" s="55"/>
      <c r="G6" s="55"/>
      <c r="H6" s="55"/>
      <c r="I6" s="55"/>
      <c r="J6" s="55"/>
      <c r="K6" s="55"/>
      <c r="L6" s="55"/>
      <c r="M6" s="55"/>
      <c r="N6" s="55"/>
      <c r="O6" s="55"/>
      <c r="P6" s="55"/>
      <c r="Q6" s="55"/>
      <c r="R6" s="55"/>
      <c r="S6" s="55"/>
      <c r="T6" s="55"/>
      <c r="U6" s="55"/>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6" t="s">
        <v>3</v>
      </c>
      <c r="B8" s="56"/>
      <c r="C8" s="56"/>
      <c r="D8" s="56"/>
      <c r="E8" s="56"/>
      <c r="F8" s="56"/>
      <c r="G8" s="56"/>
      <c r="H8" s="56"/>
      <c r="I8" s="56"/>
      <c r="J8" s="56"/>
      <c r="K8" s="56"/>
      <c r="L8" s="56"/>
      <c r="M8" s="56"/>
      <c r="N8" s="56"/>
      <c r="O8" s="56"/>
      <c r="P8" s="56"/>
      <c r="Q8" s="56"/>
      <c r="R8" s="56"/>
      <c r="S8" s="56"/>
      <c r="T8" s="56"/>
      <c r="U8" s="56"/>
    </row>
    <row r="9" spans="1:23" ht="14.45" customHeight="1" x14ac:dyDescent="0.25">
      <c r="A9" s="57" t="s">
        <v>4</v>
      </c>
      <c r="B9" s="57"/>
      <c r="C9" s="57"/>
      <c r="D9" s="57"/>
      <c r="E9" s="57"/>
      <c r="F9" s="57"/>
      <c r="G9" s="57"/>
      <c r="H9" s="57"/>
      <c r="I9" s="57"/>
      <c r="J9" s="57"/>
      <c r="K9" s="57"/>
      <c r="L9" s="57"/>
      <c r="M9" s="57"/>
      <c r="N9" s="57"/>
      <c r="O9" s="57"/>
      <c r="P9" s="57"/>
      <c r="Q9" s="57"/>
      <c r="R9" s="57"/>
      <c r="S9" s="57"/>
      <c r="T9" s="57"/>
      <c r="U9" s="57"/>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9" t="s">
        <v>5</v>
      </c>
      <c r="B11" s="48" t="s">
        <v>6</v>
      </c>
      <c r="C11" s="22"/>
      <c r="D11" s="24"/>
      <c r="E11" s="22"/>
      <c r="F11" s="22"/>
      <c r="G11" s="23"/>
      <c r="H11" s="50" t="s">
        <v>12</v>
      </c>
      <c r="I11" s="50" t="s">
        <v>13</v>
      </c>
      <c r="J11" s="50" t="s">
        <v>14</v>
      </c>
      <c r="K11" s="50"/>
      <c r="L11" s="50" t="s">
        <v>15</v>
      </c>
      <c r="M11" s="48" t="s">
        <v>16</v>
      </c>
      <c r="N11" s="48" t="s">
        <v>17</v>
      </c>
      <c r="O11" s="48" t="s">
        <v>18</v>
      </c>
      <c r="P11" s="48" t="s">
        <v>19</v>
      </c>
      <c r="Q11" s="48" t="s">
        <v>20</v>
      </c>
      <c r="R11" s="51" t="s">
        <v>21</v>
      </c>
      <c r="S11" s="48" t="s">
        <v>22</v>
      </c>
      <c r="T11" s="48" t="s">
        <v>23</v>
      </c>
      <c r="U11" s="22"/>
    </row>
    <row r="12" spans="1:23" ht="227.45" customHeight="1" x14ac:dyDescent="0.25">
      <c r="A12" s="49"/>
      <c r="B12" s="48"/>
      <c r="C12" s="22" t="s">
        <v>7</v>
      </c>
      <c r="D12" s="24" t="s">
        <v>8</v>
      </c>
      <c r="E12" s="22" t="s">
        <v>9</v>
      </c>
      <c r="F12" s="22" t="s">
        <v>10</v>
      </c>
      <c r="G12" s="23" t="s">
        <v>11</v>
      </c>
      <c r="H12" s="50"/>
      <c r="I12" s="50"/>
      <c r="J12" s="18" t="s">
        <v>25</v>
      </c>
      <c r="K12" s="18" t="s">
        <v>26</v>
      </c>
      <c r="L12" s="50"/>
      <c r="M12" s="48"/>
      <c r="N12" s="48"/>
      <c r="O12" s="48"/>
      <c r="P12" s="48"/>
      <c r="Q12" s="48"/>
      <c r="R12" s="51"/>
      <c r="S12" s="48"/>
      <c r="T12" s="48"/>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W252"/>
  <sheetViews>
    <sheetView tabSelected="1" zoomScale="70" zoomScaleNormal="70" workbookViewId="0">
      <selection activeCell="P14" sqref="P14"/>
    </sheetView>
  </sheetViews>
  <sheetFormatPr defaultRowHeight="15" x14ac:dyDescent="0.25"/>
  <cols>
    <col min="2" max="2" width="40.140625" customWidth="1"/>
    <col min="3" max="3" width="28.85546875" customWidth="1"/>
    <col min="7" max="7" width="10.28515625" bestFit="1" customWidth="1"/>
    <col min="15" max="15" width="18" customWidth="1"/>
    <col min="16" max="16" width="22.28515625" customWidth="1"/>
    <col min="17" max="17" width="18.42578125" customWidth="1"/>
    <col min="21" max="21" width="10.7109375" bestFit="1" customWidth="1"/>
  </cols>
  <sheetData>
    <row r="1" spans="1:23" x14ac:dyDescent="0.25">
      <c r="A1" s="1"/>
      <c r="B1" s="2"/>
      <c r="C1" s="2"/>
      <c r="D1" s="2"/>
      <c r="E1" s="3"/>
      <c r="F1" s="2"/>
      <c r="G1" s="2"/>
      <c r="H1" s="4"/>
      <c r="I1" s="4"/>
      <c r="J1" s="4"/>
      <c r="K1" s="4"/>
      <c r="L1" s="4"/>
      <c r="M1" s="4"/>
      <c r="N1" s="2"/>
      <c r="O1" s="2"/>
      <c r="P1" s="2"/>
      <c r="Q1" s="2"/>
      <c r="R1" s="2"/>
      <c r="S1" s="2"/>
      <c r="T1" s="2"/>
      <c r="U1" s="2"/>
    </row>
    <row r="2" spans="1:23" x14ac:dyDescent="0.25">
      <c r="A2" s="52" t="s">
        <v>2838</v>
      </c>
      <c r="B2" s="52"/>
      <c r="C2" s="52"/>
      <c r="D2" s="52"/>
      <c r="E2" s="52"/>
      <c r="F2" s="52"/>
      <c r="G2" s="52"/>
      <c r="H2" s="52"/>
      <c r="I2" s="52"/>
      <c r="J2" s="52"/>
      <c r="K2" s="52"/>
      <c r="L2" s="52"/>
      <c r="M2" s="52"/>
      <c r="N2" s="52"/>
      <c r="O2" s="52"/>
      <c r="P2" s="52"/>
      <c r="Q2" s="52"/>
      <c r="R2" s="52"/>
      <c r="S2" s="52"/>
      <c r="T2" s="52"/>
      <c r="U2" s="52"/>
    </row>
    <row r="3" spans="1:23" x14ac:dyDescent="0.25">
      <c r="A3" s="53"/>
      <c r="B3" s="53"/>
      <c r="C3" s="53"/>
      <c r="D3" s="53"/>
      <c r="E3" s="53"/>
      <c r="F3" s="53"/>
      <c r="G3" s="53"/>
      <c r="H3" s="53"/>
      <c r="I3" s="53"/>
      <c r="J3" s="53"/>
      <c r="K3" s="53"/>
      <c r="L3" s="53"/>
      <c r="M3" s="53"/>
      <c r="N3" s="53"/>
      <c r="O3" s="53"/>
      <c r="P3" s="53"/>
      <c r="Q3" s="53"/>
      <c r="R3" s="53"/>
      <c r="S3" s="53"/>
      <c r="T3" s="53"/>
      <c r="U3" s="53"/>
    </row>
    <row r="4" spans="1:23" x14ac:dyDescent="0.25">
      <c r="A4" s="54" t="s">
        <v>1</v>
      </c>
      <c r="B4" s="54"/>
      <c r="C4" s="54"/>
      <c r="D4" s="54"/>
      <c r="E4" s="54"/>
      <c r="F4" s="54"/>
      <c r="G4" s="54"/>
      <c r="H4" s="54"/>
      <c r="I4" s="54"/>
      <c r="J4" s="54"/>
      <c r="K4" s="54"/>
      <c r="L4" s="54"/>
      <c r="M4" s="54"/>
      <c r="N4" s="54"/>
      <c r="O4" s="54"/>
      <c r="P4" s="54"/>
      <c r="Q4" s="54"/>
      <c r="R4" s="54"/>
      <c r="S4" s="54"/>
      <c r="T4" s="54"/>
      <c r="U4" s="54"/>
    </row>
    <row r="5" spans="1:23" x14ac:dyDescent="0.25">
      <c r="A5" s="5"/>
      <c r="B5" s="6"/>
      <c r="C5" s="6"/>
      <c r="D5" s="6"/>
      <c r="E5" s="5"/>
      <c r="F5" s="6"/>
      <c r="G5" s="6"/>
      <c r="H5" s="7"/>
      <c r="I5" s="7"/>
      <c r="J5" s="7"/>
      <c r="K5" s="7"/>
      <c r="L5" s="7"/>
      <c r="M5" s="7"/>
      <c r="N5" s="6"/>
      <c r="O5" s="6"/>
      <c r="P5" s="6"/>
      <c r="Q5" s="6"/>
      <c r="R5" s="6"/>
      <c r="S5" s="8"/>
      <c r="T5" s="6"/>
      <c r="U5" s="6"/>
    </row>
    <row r="6" spans="1:23" ht="18.75" x14ac:dyDescent="0.25">
      <c r="A6" s="55" t="s">
        <v>2</v>
      </c>
      <c r="B6" s="55"/>
      <c r="C6" s="55"/>
      <c r="D6" s="55"/>
      <c r="E6" s="55"/>
      <c r="F6" s="55"/>
      <c r="G6" s="55"/>
      <c r="H6" s="55"/>
      <c r="I6" s="55"/>
      <c r="J6" s="55"/>
      <c r="K6" s="55"/>
      <c r="L6" s="55"/>
      <c r="M6" s="55"/>
      <c r="N6" s="55"/>
      <c r="O6" s="55"/>
      <c r="P6" s="55"/>
      <c r="Q6" s="55"/>
      <c r="R6" s="55"/>
      <c r="S6" s="55"/>
      <c r="T6" s="55"/>
      <c r="U6" s="55"/>
    </row>
    <row r="7" spans="1:23" ht="15.75" x14ac:dyDescent="0.25">
      <c r="A7" s="56" t="s">
        <v>2839</v>
      </c>
      <c r="B7" s="56"/>
      <c r="C7" s="56"/>
      <c r="D7" s="56"/>
      <c r="E7" s="56"/>
      <c r="F7" s="56"/>
      <c r="G7" s="56"/>
      <c r="H7" s="56"/>
      <c r="I7" s="56"/>
      <c r="J7" s="56"/>
      <c r="K7" s="56"/>
      <c r="L7" s="56"/>
      <c r="M7" s="56"/>
      <c r="N7" s="56"/>
      <c r="O7" s="56"/>
      <c r="P7" s="56"/>
      <c r="Q7" s="56"/>
      <c r="R7" s="56"/>
      <c r="S7" s="56"/>
      <c r="T7" s="56"/>
      <c r="U7" s="56"/>
    </row>
    <row r="8" spans="1:23" x14ac:dyDescent="0.25">
      <c r="A8" s="57" t="s">
        <v>4</v>
      </c>
      <c r="B8" s="57"/>
      <c r="C8" s="57"/>
      <c r="D8" s="57"/>
      <c r="E8" s="57"/>
      <c r="F8" s="57"/>
      <c r="G8" s="57"/>
      <c r="H8" s="57"/>
      <c r="I8" s="57"/>
      <c r="J8" s="57"/>
      <c r="K8" s="57"/>
      <c r="L8" s="57"/>
      <c r="M8" s="57"/>
      <c r="N8" s="57"/>
      <c r="O8" s="57"/>
      <c r="P8" s="57"/>
      <c r="Q8" s="57"/>
      <c r="R8" s="57"/>
      <c r="S8" s="57"/>
      <c r="T8" s="57"/>
      <c r="U8" s="57"/>
    </row>
    <row r="9" spans="1:23" ht="15.75" x14ac:dyDescent="0.25">
      <c r="A9" s="14"/>
      <c r="B9" s="15"/>
      <c r="C9" s="15"/>
      <c r="D9" s="15"/>
      <c r="E9" s="14"/>
      <c r="F9" s="15"/>
      <c r="G9" s="15"/>
      <c r="H9" s="16"/>
      <c r="I9" s="16"/>
      <c r="J9" s="16"/>
      <c r="K9" s="16"/>
      <c r="L9" s="16"/>
      <c r="M9" s="16"/>
      <c r="N9" s="15"/>
      <c r="O9" s="15"/>
      <c r="P9" s="15"/>
      <c r="Q9" s="15"/>
      <c r="R9" s="15"/>
      <c r="S9" s="17"/>
      <c r="T9" s="15"/>
      <c r="U9" s="15"/>
    </row>
    <row r="10" spans="1:23" ht="108.75" customHeight="1" x14ac:dyDescent="0.25">
      <c r="A10" s="49" t="s">
        <v>5</v>
      </c>
      <c r="B10" s="48" t="s">
        <v>6</v>
      </c>
      <c r="C10" s="22"/>
      <c r="D10" s="24"/>
      <c r="E10" s="22"/>
      <c r="F10" s="22"/>
      <c r="G10" s="23"/>
      <c r="H10" s="50" t="s">
        <v>12</v>
      </c>
      <c r="I10" s="50" t="s">
        <v>13</v>
      </c>
      <c r="J10" s="50" t="s">
        <v>14</v>
      </c>
      <c r="K10" s="50"/>
      <c r="L10" s="50" t="s">
        <v>15</v>
      </c>
      <c r="M10" s="48" t="s">
        <v>16</v>
      </c>
      <c r="N10" s="48" t="s">
        <v>17</v>
      </c>
      <c r="O10" s="48" t="s">
        <v>18</v>
      </c>
      <c r="P10" s="48" t="s">
        <v>19</v>
      </c>
      <c r="Q10" s="48" t="s">
        <v>20</v>
      </c>
      <c r="R10" s="51" t="s">
        <v>21</v>
      </c>
      <c r="S10" s="48" t="s">
        <v>22</v>
      </c>
      <c r="T10" s="48" t="s">
        <v>23</v>
      </c>
      <c r="U10" s="22"/>
    </row>
    <row r="11" spans="1:23" ht="230.25" x14ac:dyDescent="0.25">
      <c r="A11" s="49"/>
      <c r="B11" s="48"/>
      <c r="C11" s="22" t="s">
        <v>7</v>
      </c>
      <c r="D11" s="24" t="s">
        <v>8</v>
      </c>
      <c r="E11" s="22" t="s">
        <v>9</v>
      </c>
      <c r="F11" s="22" t="s">
        <v>10</v>
      </c>
      <c r="G11" s="23" t="s">
        <v>11</v>
      </c>
      <c r="H11" s="50"/>
      <c r="I11" s="50"/>
      <c r="J11" s="18" t="s">
        <v>25</v>
      </c>
      <c r="K11" s="18" t="s">
        <v>26</v>
      </c>
      <c r="L11" s="50"/>
      <c r="M11" s="48"/>
      <c r="N11" s="48"/>
      <c r="O11" s="48"/>
      <c r="P11" s="48"/>
      <c r="Q11" s="48"/>
      <c r="R11" s="51"/>
      <c r="S11" s="48"/>
      <c r="T11" s="48"/>
      <c r="U11" s="22" t="s">
        <v>24</v>
      </c>
    </row>
    <row r="12" spans="1:23" x14ac:dyDescent="0.25">
      <c r="A12" s="38">
        <v>1</v>
      </c>
      <c r="B12" s="20">
        <v>2</v>
      </c>
      <c r="C12" s="20">
        <v>3</v>
      </c>
      <c r="D12" s="38">
        <v>4</v>
      </c>
      <c r="E12" s="20">
        <v>5</v>
      </c>
      <c r="F12" s="20">
        <v>6</v>
      </c>
      <c r="G12" s="20">
        <v>7</v>
      </c>
      <c r="H12" s="20">
        <v>8</v>
      </c>
      <c r="I12" s="20">
        <v>9</v>
      </c>
      <c r="J12" s="20">
        <v>10</v>
      </c>
      <c r="K12" s="20">
        <v>11</v>
      </c>
      <c r="L12" s="20">
        <v>12</v>
      </c>
      <c r="M12" s="20">
        <v>13</v>
      </c>
      <c r="N12" s="20">
        <v>14</v>
      </c>
      <c r="O12" s="20">
        <v>15</v>
      </c>
      <c r="P12" s="20">
        <v>16</v>
      </c>
      <c r="Q12" s="20">
        <v>17</v>
      </c>
      <c r="R12" s="21">
        <v>18</v>
      </c>
      <c r="S12" s="20">
        <v>19</v>
      </c>
      <c r="T12" s="20">
        <v>20</v>
      </c>
      <c r="U12" s="20">
        <v>21</v>
      </c>
    </row>
    <row r="13" spans="1:23" x14ac:dyDescent="0.25">
      <c r="A13" s="34" t="s">
        <v>2326</v>
      </c>
      <c r="B13" s="33" t="s">
        <v>2424</v>
      </c>
      <c r="C13" s="33" t="s">
        <v>2335</v>
      </c>
      <c r="D13" s="33" t="s">
        <v>2422</v>
      </c>
      <c r="E13" s="33" t="s">
        <v>29</v>
      </c>
      <c r="F13">
        <v>1</v>
      </c>
      <c r="G13" s="39">
        <v>121772.4</v>
      </c>
      <c r="H13" s="33">
        <f t="shared" ref="H13:H33" si="0">G13/1.2</f>
        <v>101477</v>
      </c>
      <c r="I13" s="33"/>
      <c r="J13" s="33"/>
      <c r="K13" s="33"/>
      <c r="L13" s="33">
        <f t="shared" ref="L13:L33" si="1">H13+I13+K13</f>
        <v>101477</v>
      </c>
      <c r="M13" s="33"/>
      <c r="N13" s="33"/>
      <c r="O13" s="33" t="s">
        <v>37</v>
      </c>
      <c r="P13" s="33">
        <v>7802348846</v>
      </c>
      <c r="Q13" s="33">
        <v>997350001</v>
      </c>
      <c r="R13" s="33" t="s">
        <v>38</v>
      </c>
      <c r="S13" s="33" t="s">
        <v>39</v>
      </c>
      <c r="T13" s="33">
        <v>2</v>
      </c>
      <c r="U13" s="33" t="s">
        <v>2423</v>
      </c>
      <c r="V13">
        <f ca="1">G13/100*RANDBETWEEN(3,5)</f>
        <v>6088.62</v>
      </c>
      <c r="W13">
        <f ca="1">G13/100*RANDBETWEEN(6,8)</f>
        <v>9741.7919999999995</v>
      </c>
    </row>
    <row r="14" spans="1:23" x14ac:dyDescent="0.25">
      <c r="A14" s="34" t="s">
        <v>2327</v>
      </c>
      <c r="B14" t="s">
        <v>2424</v>
      </c>
      <c r="C14" t="s">
        <v>2335</v>
      </c>
      <c r="D14" t="s">
        <v>2422</v>
      </c>
      <c r="E14" t="s">
        <v>29</v>
      </c>
      <c r="F14">
        <v>1</v>
      </c>
      <c r="G14" s="43">
        <f ca="1">G13+V13</f>
        <v>127861.01999999999</v>
      </c>
      <c r="H14">
        <f t="shared" ca="1" si="0"/>
        <v>106550.84999999999</v>
      </c>
      <c r="L14">
        <f t="shared" ca="1" si="1"/>
        <v>106550.84999999999</v>
      </c>
      <c r="O14" t="s">
        <v>2449</v>
      </c>
      <c r="P14">
        <v>6731002766</v>
      </c>
      <c r="Q14">
        <v>673201001</v>
      </c>
      <c r="R14" t="s">
        <v>38</v>
      </c>
      <c r="S14" t="s">
        <v>39</v>
      </c>
      <c r="T14">
        <v>2</v>
      </c>
      <c r="U14" t="s">
        <v>2423</v>
      </c>
    </row>
    <row r="15" spans="1:23" x14ac:dyDescent="0.25">
      <c r="A15" s="34" t="s">
        <v>2328</v>
      </c>
      <c r="B15" t="s">
        <v>2424</v>
      </c>
      <c r="C15" t="s">
        <v>2335</v>
      </c>
      <c r="D15" t="s">
        <v>2422</v>
      </c>
      <c r="E15" t="s">
        <v>29</v>
      </c>
      <c r="F15">
        <v>1</v>
      </c>
      <c r="G15">
        <f ca="1">G13+W13</f>
        <v>131514.19199999998</v>
      </c>
      <c r="H15">
        <f t="shared" ca="1" si="0"/>
        <v>109595.15999999999</v>
      </c>
      <c r="L15">
        <f t="shared" ca="1" si="1"/>
        <v>109595.15999999999</v>
      </c>
      <c r="O15" t="s">
        <v>2450</v>
      </c>
      <c r="P15">
        <v>7802348846</v>
      </c>
      <c r="Q15">
        <v>997350001</v>
      </c>
      <c r="R15" t="s">
        <v>38</v>
      </c>
      <c r="S15" t="s">
        <v>39</v>
      </c>
      <c r="T15">
        <v>2</v>
      </c>
      <c r="U15" t="s">
        <v>2423</v>
      </c>
    </row>
    <row r="16" spans="1:23" x14ac:dyDescent="0.25">
      <c r="A16" s="34" t="s">
        <v>2329</v>
      </c>
      <c r="B16" s="33" t="s">
        <v>2424</v>
      </c>
      <c r="C16" s="33" t="s">
        <v>2336</v>
      </c>
      <c r="D16" s="33" t="s">
        <v>2425</v>
      </c>
      <c r="E16" s="33" t="s">
        <v>29</v>
      </c>
      <c r="F16">
        <v>3</v>
      </c>
      <c r="G16" s="39">
        <v>161978.4</v>
      </c>
      <c r="H16" s="33">
        <f t="shared" si="0"/>
        <v>134982</v>
      </c>
      <c r="I16" s="33"/>
      <c r="J16" s="33"/>
      <c r="K16" s="33"/>
      <c r="L16" s="33">
        <f t="shared" si="1"/>
        <v>134982</v>
      </c>
      <c r="M16" s="33"/>
      <c r="N16" s="33"/>
      <c r="O16" s="33" t="s">
        <v>37</v>
      </c>
      <c r="P16" s="33">
        <v>7802348846</v>
      </c>
      <c r="Q16" s="33">
        <v>997350001</v>
      </c>
      <c r="R16" s="33" t="s">
        <v>38</v>
      </c>
      <c r="S16" s="33" t="s">
        <v>39</v>
      </c>
      <c r="T16" s="33">
        <v>2</v>
      </c>
      <c r="U16" s="33" t="s">
        <v>2423</v>
      </c>
      <c r="V16">
        <f ca="1">G16/100*RANDBETWEEN(3,5)</f>
        <v>4859.3519999999999</v>
      </c>
      <c r="W16">
        <f ca="1">G16/100*RANDBETWEEN(6,8)</f>
        <v>9718.7039999999997</v>
      </c>
    </row>
    <row r="17" spans="1:23" x14ac:dyDescent="0.25">
      <c r="A17" s="34" t="s">
        <v>2330</v>
      </c>
      <c r="B17" t="s">
        <v>2424</v>
      </c>
      <c r="C17" t="s">
        <v>2336</v>
      </c>
      <c r="D17" t="s">
        <v>2425</v>
      </c>
      <c r="E17" t="s">
        <v>29</v>
      </c>
      <c r="F17">
        <v>3</v>
      </c>
      <c r="G17">
        <f ca="1">G16+V16</f>
        <v>166837.75200000001</v>
      </c>
      <c r="H17">
        <f t="shared" ca="1" si="0"/>
        <v>139031.46000000002</v>
      </c>
      <c r="L17">
        <f t="shared" ca="1" si="1"/>
        <v>139031.46000000002</v>
      </c>
      <c r="O17" t="s">
        <v>2449</v>
      </c>
      <c r="P17">
        <v>7802348846</v>
      </c>
      <c r="Q17">
        <v>997350001</v>
      </c>
      <c r="R17" t="s">
        <v>38</v>
      </c>
      <c r="S17" t="s">
        <v>39</v>
      </c>
      <c r="T17">
        <v>2</v>
      </c>
      <c r="U17" t="s">
        <v>2423</v>
      </c>
    </row>
    <row r="18" spans="1:23" x14ac:dyDescent="0.25">
      <c r="A18" s="34" t="s">
        <v>2331</v>
      </c>
      <c r="B18" t="s">
        <v>2424</v>
      </c>
      <c r="C18" t="s">
        <v>2336</v>
      </c>
      <c r="D18" t="s">
        <v>2425</v>
      </c>
      <c r="E18" t="s">
        <v>29</v>
      </c>
      <c r="F18">
        <v>3</v>
      </c>
      <c r="G18">
        <f ca="1">G16+W16</f>
        <v>171697.10399999999</v>
      </c>
      <c r="H18">
        <f t="shared" ca="1" si="0"/>
        <v>143080.92000000001</v>
      </c>
      <c r="L18">
        <f t="shared" ca="1" si="1"/>
        <v>143080.92000000001</v>
      </c>
      <c r="O18" t="s">
        <v>2450</v>
      </c>
      <c r="P18">
        <v>7802348846</v>
      </c>
      <c r="Q18">
        <v>997350001</v>
      </c>
      <c r="R18" t="s">
        <v>38</v>
      </c>
      <c r="S18" t="s">
        <v>39</v>
      </c>
      <c r="T18">
        <v>2</v>
      </c>
      <c r="U18" t="s">
        <v>2423</v>
      </c>
    </row>
    <row r="19" spans="1:23" x14ac:dyDescent="0.25">
      <c r="A19" s="34" t="s">
        <v>2427</v>
      </c>
      <c r="B19" s="33" t="s">
        <v>2424</v>
      </c>
      <c r="C19" s="33" t="s">
        <v>2337</v>
      </c>
      <c r="D19" s="33" t="s">
        <v>2426</v>
      </c>
      <c r="E19" s="33" t="s">
        <v>29</v>
      </c>
      <c r="F19">
        <v>13</v>
      </c>
      <c r="G19" s="39">
        <v>99939.6</v>
      </c>
      <c r="H19" s="33">
        <f t="shared" si="0"/>
        <v>83283.000000000015</v>
      </c>
      <c r="I19" s="33"/>
      <c r="J19" s="33"/>
      <c r="K19" s="33"/>
      <c r="L19" s="33">
        <f t="shared" si="1"/>
        <v>83283.000000000015</v>
      </c>
      <c r="M19" s="33"/>
      <c r="N19" s="33"/>
      <c r="O19" s="33" t="s">
        <v>37</v>
      </c>
      <c r="P19" s="33">
        <v>7802348846</v>
      </c>
      <c r="Q19" s="33">
        <v>997350001</v>
      </c>
      <c r="R19" s="33" t="s">
        <v>38</v>
      </c>
      <c r="S19" s="33" t="s">
        <v>39</v>
      </c>
      <c r="T19" s="33">
        <v>2</v>
      </c>
      <c r="U19" s="33" t="s">
        <v>2423</v>
      </c>
      <c r="V19">
        <f ca="1">G19/100*RANDBETWEEN(3,5)</f>
        <v>3997.5840000000003</v>
      </c>
      <c r="W19">
        <f ca="1">G19/100*RANDBETWEEN(6,8)</f>
        <v>6995.7720000000008</v>
      </c>
    </row>
    <row r="20" spans="1:23" x14ac:dyDescent="0.25">
      <c r="A20" s="34" t="s">
        <v>2428</v>
      </c>
      <c r="B20" t="s">
        <v>2424</v>
      </c>
      <c r="C20" t="s">
        <v>2337</v>
      </c>
      <c r="D20" t="s">
        <v>2426</v>
      </c>
      <c r="E20" t="s">
        <v>29</v>
      </c>
      <c r="F20">
        <v>13</v>
      </c>
      <c r="G20">
        <f ca="1">G19+V19</f>
        <v>103937.18400000001</v>
      </c>
      <c r="H20">
        <f t="shared" ca="1" si="0"/>
        <v>86614.32</v>
      </c>
      <c r="L20">
        <f t="shared" ca="1" si="1"/>
        <v>86614.32</v>
      </c>
      <c r="O20" t="s">
        <v>2449</v>
      </c>
      <c r="P20">
        <v>7802348846</v>
      </c>
      <c r="Q20">
        <v>997350001</v>
      </c>
      <c r="R20" t="s">
        <v>38</v>
      </c>
      <c r="S20" t="s">
        <v>39</v>
      </c>
      <c r="T20">
        <v>2</v>
      </c>
      <c r="U20" t="s">
        <v>2423</v>
      </c>
    </row>
    <row r="21" spans="1:23" x14ac:dyDescent="0.25">
      <c r="A21" s="34" t="s">
        <v>2429</v>
      </c>
      <c r="B21" t="s">
        <v>2424</v>
      </c>
      <c r="C21" t="s">
        <v>2337</v>
      </c>
      <c r="D21" t="s">
        <v>2426</v>
      </c>
      <c r="E21" t="s">
        <v>29</v>
      </c>
      <c r="F21">
        <v>13</v>
      </c>
      <c r="G21">
        <f ca="1">G19+W19</f>
        <v>106935.372</v>
      </c>
      <c r="H21">
        <f t="shared" ca="1" si="0"/>
        <v>89112.810000000012</v>
      </c>
      <c r="L21">
        <f t="shared" ca="1" si="1"/>
        <v>89112.810000000012</v>
      </c>
      <c r="O21" t="s">
        <v>2450</v>
      </c>
      <c r="P21">
        <v>7802348846</v>
      </c>
      <c r="Q21">
        <v>997350001</v>
      </c>
      <c r="R21" t="s">
        <v>38</v>
      </c>
      <c r="S21" t="s">
        <v>39</v>
      </c>
      <c r="T21">
        <v>2</v>
      </c>
      <c r="U21" t="s">
        <v>2423</v>
      </c>
    </row>
    <row r="22" spans="1:23" x14ac:dyDescent="0.25">
      <c r="A22" s="34" t="s">
        <v>2431</v>
      </c>
      <c r="B22" s="33" t="s">
        <v>2424</v>
      </c>
      <c r="C22" s="33" t="s">
        <v>2338</v>
      </c>
      <c r="D22" s="33" t="s">
        <v>2430</v>
      </c>
      <c r="E22" s="33" t="s">
        <v>29</v>
      </c>
      <c r="F22">
        <v>1</v>
      </c>
      <c r="G22" s="33">
        <v>228988.79999999999</v>
      </c>
      <c r="H22" s="33">
        <f t="shared" si="0"/>
        <v>190824</v>
      </c>
      <c r="I22" s="33"/>
      <c r="J22" s="33"/>
      <c r="K22" s="33"/>
      <c r="L22" s="33">
        <f t="shared" si="1"/>
        <v>190824</v>
      </c>
      <c r="M22" s="33"/>
      <c r="N22" s="33"/>
      <c r="O22" s="33" t="s">
        <v>37</v>
      </c>
      <c r="P22" s="33">
        <v>7802348846</v>
      </c>
      <c r="Q22" s="33">
        <v>997350001</v>
      </c>
      <c r="R22" s="33" t="s">
        <v>38</v>
      </c>
      <c r="S22" s="33" t="s">
        <v>39</v>
      </c>
      <c r="T22" s="33">
        <v>2</v>
      </c>
      <c r="U22" s="33" t="s">
        <v>2423</v>
      </c>
      <c r="V22">
        <f ca="1">G22/100*RANDBETWEEN(3,5)</f>
        <v>9159.5519999999997</v>
      </c>
      <c r="W22">
        <f ca="1">G22/100*RANDBETWEEN(6,8)</f>
        <v>16029.216</v>
      </c>
    </row>
    <row r="23" spans="1:23" x14ac:dyDescent="0.25">
      <c r="A23" s="34" t="s">
        <v>2432</v>
      </c>
      <c r="B23" t="s">
        <v>2424</v>
      </c>
      <c r="C23" t="s">
        <v>2338</v>
      </c>
      <c r="D23" t="s">
        <v>2430</v>
      </c>
      <c r="E23" t="s">
        <v>29</v>
      </c>
      <c r="F23">
        <v>1</v>
      </c>
      <c r="G23">
        <f ca="1">G22+V22</f>
        <v>238148.35199999998</v>
      </c>
      <c r="H23">
        <f t="shared" ca="1" si="0"/>
        <v>198456.95999999999</v>
      </c>
      <c r="L23">
        <f t="shared" ca="1" si="1"/>
        <v>198456.95999999999</v>
      </c>
      <c r="O23" t="s">
        <v>2449</v>
      </c>
      <c r="P23">
        <v>7802348846</v>
      </c>
      <c r="Q23">
        <v>997350001</v>
      </c>
      <c r="R23" t="s">
        <v>38</v>
      </c>
      <c r="S23" t="s">
        <v>39</v>
      </c>
      <c r="T23">
        <v>2</v>
      </c>
      <c r="U23" t="s">
        <v>2423</v>
      </c>
    </row>
    <row r="24" spans="1:23" x14ac:dyDescent="0.25">
      <c r="A24" s="34" t="s">
        <v>2433</v>
      </c>
      <c r="B24" t="s">
        <v>2424</v>
      </c>
      <c r="C24" t="s">
        <v>2338</v>
      </c>
      <c r="D24" t="s">
        <v>2430</v>
      </c>
      <c r="E24" t="s">
        <v>29</v>
      </c>
      <c r="F24">
        <v>1</v>
      </c>
      <c r="G24">
        <f ca="1">G22+W22</f>
        <v>245018.016</v>
      </c>
      <c r="H24">
        <f t="shared" ca="1" si="0"/>
        <v>204181.68000000002</v>
      </c>
      <c r="L24">
        <f t="shared" ca="1" si="1"/>
        <v>204181.68000000002</v>
      </c>
      <c r="O24" t="s">
        <v>2450</v>
      </c>
      <c r="P24">
        <v>7802348846</v>
      </c>
      <c r="Q24">
        <v>997350001</v>
      </c>
      <c r="R24" t="s">
        <v>38</v>
      </c>
      <c r="S24" t="s">
        <v>39</v>
      </c>
      <c r="T24">
        <v>2</v>
      </c>
      <c r="U24" t="s">
        <v>2423</v>
      </c>
    </row>
    <row r="25" spans="1:23" x14ac:dyDescent="0.25">
      <c r="A25" s="34" t="s">
        <v>2435</v>
      </c>
      <c r="B25" s="33" t="s">
        <v>2424</v>
      </c>
      <c r="C25" s="33" t="s">
        <v>2350</v>
      </c>
      <c r="D25" s="33" t="s">
        <v>2434</v>
      </c>
      <c r="E25" s="33" t="s">
        <v>29</v>
      </c>
      <c r="F25">
        <v>1</v>
      </c>
      <c r="G25" s="33">
        <v>203192.4</v>
      </c>
      <c r="H25" s="33">
        <f t="shared" si="0"/>
        <v>169327</v>
      </c>
      <c r="I25" s="33"/>
      <c r="J25" s="33"/>
      <c r="K25" s="33"/>
      <c r="L25" s="33">
        <f t="shared" si="1"/>
        <v>169327</v>
      </c>
      <c r="M25" s="33"/>
      <c r="N25" s="33"/>
      <c r="O25" s="33" t="s">
        <v>37</v>
      </c>
      <c r="P25" s="33">
        <v>7802348846</v>
      </c>
      <c r="Q25" s="33">
        <v>997350001</v>
      </c>
      <c r="R25" s="33" t="s">
        <v>38</v>
      </c>
      <c r="S25" s="33" t="s">
        <v>39</v>
      </c>
      <c r="T25" s="33">
        <v>2</v>
      </c>
      <c r="U25" s="33" t="s">
        <v>2423</v>
      </c>
      <c r="V25">
        <f ca="1">G25/100*RANDBETWEEN(3,5)</f>
        <v>10159.619999999999</v>
      </c>
      <c r="W25">
        <f ca="1">G25/100*RANDBETWEEN(6,8)</f>
        <v>14223.468000000001</v>
      </c>
    </row>
    <row r="26" spans="1:23" x14ac:dyDescent="0.25">
      <c r="A26" s="34" t="s">
        <v>2436</v>
      </c>
      <c r="B26" t="s">
        <v>2424</v>
      </c>
      <c r="C26" t="s">
        <v>2350</v>
      </c>
      <c r="D26" t="s">
        <v>2434</v>
      </c>
      <c r="E26" t="s">
        <v>29</v>
      </c>
      <c r="F26">
        <v>1</v>
      </c>
      <c r="G26">
        <f ca="1">G25+V25</f>
        <v>213352.02</v>
      </c>
      <c r="H26">
        <f t="shared" ca="1" si="0"/>
        <v>177793.35</v>
      </c>
      <c r="L26">
        <f t="shared" ca="1" si="1"/>
        <v>177793.35</v>
      </c>
      <c r="O26" t="s">
        <v>2449</v>
      </c>
      <c r="P26">
        <v>7802348846</v>
      </c>
      <c r="Q26">
        <v>997350001</v>
      </c>
      <c r="R26" t="s">
        <v>38</v>
      </c>
      <c r="S26" t="s">
        <v>39</v>
      </c>
      <c r="T26">
        <v>2</v>
      </c>
      <c r="U26" t="s">
        <v>2423</v>
      </c>
    </row>
    <row r="27" spans="1:23" x14ac:dyDescent="0.25">
      <c r="A27" s="34" t="s">
        <v>2437</v>
      </c>
      <c r="B27" t="s">
        <v>2424</v>
      </c>
      <c r="C27" t="s">
        <v>2350</v>
      </c>
      <c r="D27" t="s">
        <v>2434</v>
      </c>
      <c r="E27" t="s">
        <v>29</v>
      </c>
      <c r="F27">
        <v>1</v>
      </c>
      <c r="G27">
        <f ca="1">G25+W25</f>
        <v>217415.86799999999</v>
      </c>
      <c r="H27">
        <f t="shared" ca="1" si="0"/>
        <v>181179.88999999998</v>
      </c>
      <c r="L27">
        <f t="shared" ca="1" si="1"/>
        <v>181179.88999999998</v>
      </c>
      <c r="O27" t="s">
        <v>2450</v>
      </c>
      <c r="P27">
        <v>7802348846</v>
      </c>
      <c r="Q27">
        <v>997350001</v>
      </c>
      <c r="R27" t="s">
        <v>38</v>
      </c>
      <c r="S27" t="s">
        <v>39</v>
      </c>
      <c r="T27">
        <v>2</v>
      </c>
      <c r="U27" t="s">
        <v>2423</v>
      </c>
    </row>
    <row r="28" spans="1:23" x14ac:dyDescent="0.25">
      <c r="A28" s="34" t="s">
        <v>2439</v>
      </c>
      <c r="B28" s="33" t="s">
        <v>2424</v>
      </c>
      <c r="C28" s="33" t="s">
        <v>2339</v>
      </c>
      <c r="D28" s="33" t="s">
        <v>2438</v>
      </c>
      <c r="E28" s="33" t="s">
        <v>29</v>
      </c>
      <c r="F28">
        <v>1</v>
      </c>
      <c r="G28" s="33">
        <v>132147.6</v>
      </c>
      <c r="H28" s="33">
        <f t="shared" si="0"/>
        <v>110123.00000000001</v>
      </c>
      <c r="I28" s="33"/>
      <c r="J28" s="33"/>
      <c r="K28" s="33"/>
      <c r="L28" s="33">
        <f t="shared" si="1"/>
        <v>110123.00000000001</v>
      </c>
      <c r="M28" s="33"/>
      <c r="N28" s="33"/>
      <c r="O28" s="33" t="s">
        <v>37</v>
      </c>
      <c r="P28" s="33">
        <v>7802348846</v>
      </c>
      <c r="Q28" s="33">
        <v>997350001</v>
      </c>
      <c r="R28" s="33" t="s">
        <v>38</v>
      </c>
      <c r="S28" s="33" t="s">
        <v>39</v>
      </c>
      <c r="T28" s="33">
        <v>2</v>
      </c>
      <c r="U28" s="33" t="s">
        <v>2423</v>
      </c>
      <c r="V28">
        <f ca="1">G28/100*RANDBETWEEN(3,5)</f>
        <v>6607.380000000001</v>
      </c>
      <c r="W28">
        <f ca="1">G28/100*RANDBETWEEN(6,8)</f>
        <v>7928.8560000000007</v>
      </c>
    </row>
    <row r="29" spans="1:23" x14ac:dyDescent="0.25">
      <c r="A29" s="34" t="s">
        <v>2440</v>
      </c>
      <c r="B29" t="s">
        <v>2424</v>
      </c>
      <c r="C29" t="s">
        <v>2339</v>
      </c>
      <c r="D29" t="s">
        <v>2438</v>
      </c>
      <c r="E29" t="s">
        <v>29</v>
      </c>
      <c r="F29">
        <v>1</v>
      </c>
      <c r="G29">
        <f ca="1">G28+V28</f>
        <v>138754.98000000001</v>
      </c>
      <c r="H29">
        <f t="shared" ca="1" si="0"/>
        <v>115629.15000000001</v>
      </c>
      <c r="L29">
        <f t="shared" ca="1" si="1"/>
        <v>115629.15000000001</v>
      </c>
      <c r="O29" t="s">
        <v>2449</v>
      </c>
      <c r="P29">
        <v>7802348846</v>
      </c>
      <c r="Q29">
        <v>997350001</v>
      </c>
      <c r="R29" t="s">
        <v>38</v>
      </c>
      <c r="S29" t="s">
        <v>39</v>
      </c>
      <c r="T29">
        <v>2</v>
      </c>
      <c r="U29" t="s">
        <v>2423</v>
      </c>
    </row>
    <row r="30" spans="1:23" x14ac:dyDescent="0.25">
      <c r="A30" s="34" t="s">
        <v>2441</v>
      </c>
      <c r="B30" t="s">
        <v>2424</v>
      </c>
      <c r="C30" t="s">
        <v>2339</v>
      </c>
      <c r="D30" t="s">
        <v>2438</v>
      </c>
      <c r="E30" t="s">
        <v>29</v>
      </c>
      <c r="F30">
        <v>1</v>
      </c>
      <c r="G30">
        <f ca="1">G28+W28</f>
        <v>140076.45600000001</v>
      </c>
      <c r="H30">
        <f t="shared" ca="1" si="0"/>
        <v>116730.38</v>
      </c>
      <c r="L30">
        <f t="shared" ca="1" si="1"/>
        <v>116730.38</v>
      </c>
      <c r="O30" t="s">
        <v>2450</v>
      </c>
      <c r="P30">
        <v>7802348846</v>
      </c>
      <c r="Q30">
        <v>997350001</v>
      </c>
      <c r="R30" t="s">
        <v>38</v>
      </c>
      <c r="S30" t="s">
        <v>39</v>
      </c>
      <c r="T30">
        <v>2</v>
      </c>
      <c r="U30" t="s">
        <v>2423</v>
      </c>
    </row>
    <row r="31" spans="1:23" x14ac:dyDescent="0.25">
      <c r="A31" s="34" t="s">
        <v>2443</v>
      </c>
      <c r="B31" s="33" t="s">
        <v>2424</v>
      </c>
      <c r="C31" s="33" t="s">
        <v>2340</v>
      </c>
      <c r="D31" s="33" t="s">
        <v>2442</v>
      </c>
      <c r="E31" s="33" t="s">
        <v>29</v>
      </c>
      <c r="F31">
        <v>1</v>
      </c>
      <c r="G31" s="33">
        <v>350760</v>
      </c>
      <c r="H31" s="33">
        <f t="shared" si="0"/>
        <v>292300</v>
      </c>
      <c r="I31" s="33"/>
      <c r="J31" s="33"/>
      <c r="K31" s="33"/>
      <c r="L31" s="33">
        <f t="shared" si="1"/>
        <v>292300</v>
      </c>
      <c r="M31" s="33"/>
      <c r="N31" s="33"/>
      <c r="O31" s="33" t="s">
        <v>37</v>
      </c>
      <c r="P31" s="33">
        <v>7802348846</v>
      </c>
      <c r="Q31" s="33">
        <v>997350001</v>
      </c>
      <c r="R31" s="33" t="s">
        <v>38</v>
      </c>
      <c r="S31" s="33" t="s">
        <v>39</v>
      </c>
      <c r="T31" s="33">
        <v>2</v>
      </c>
      <c r="U31" s="33" t="s">
        <v>2423</v>
      </c>
      <c r="V31">
        <f ca="1">G31/100*RANDBETWEEN(3,5)</f>
        <v>14030.4</v>
      </c>
      <c r="W31">
        <f ca="1">G31/100*RANDBETWEEN(6,8)</f>
        <v>21045.599999999999</v>
      </c>
    </row>
    <row r="32" spans="1:23" x14ac:dyDescent="0.25">
      <c r="A32" s="34" t="s">
        <v>2444</v>
      </c>
      <c r="B32" t="s">
        <v>2424</v>
      </c>
      <c r="C32" t="s">
        <v>2340</v>
      </c>
      <c r="D32" t="s">
        <v>2442</v>
      </c>
      <c r="E32" t="s">
        <v>29</v>
      </c>
      <c r="F32">
        <v>1</v>
      </c>
      <c r="G32">
        <f ca="1">G31+V31</f>
        <v>364790.4</v>
      </c>
      <c r="H32">
        <f t="shared" ca="1" si="0"/>
        <v>303992.00000000006</v>
      </c>
      <c r="L32">
        <f t="shared" ca="1" si="1"/>
        <v>303992.00000000006</v>
      </c>
      <c r="O32" t="s">
        <v>2449</v>
      </c>
      <c r="P32">
        <v>7802348846</v>
      </c>
      <c r="Q32">
        <v>997350001</v>
      </c>
      <c r="R32" t="s">
        <v>38</v>
      </c>
      <c r="S32" t="s">
        <v>39</v>
      </c>
      <c r="T32">
        <v>2</v>
      </c>
      <c r="U32" t="s">
        <v>2423</v>
      </c>
    </row>
    <row r="33" spans="1:23" x14ac:dyDescent="0.25">
      <c r="A33" s="34" t="s">
        <v>2445</v>
      </c>
      <c r="B33" t="s">
        <v>2424</v>
      </c>
      <c r="C33" t="s">
        <v>2340</v>
      </c>
      <c r="D33" t="s">
        <v>2442</v>
      </c>
      <c r="E33" t="s">
        <v>29</v>
      </c>
      <c r="F33">
        <v>1</v>
      </c>
      <c r="G33">
        <f ca="1">G31+W31</f>
        <v>371805.6</v>
      </c>
      <c r="H33">
        <f t="shared" ca="1" si="0"/>
        <v>309838</v>
      </c>
      <c r="L33">
        <f t="shared" ca="1" si="1"/>
        <v>309838</v>
      </c>
      <c r="O33" t="s">
        <v>2450</v>
      </c>
      <c r="P33">
        <v>7802348846</v>
      </c>
      <c r="Q33">
        <v>997350001</v>
      </c>
      <c r="R33" t="s">
        <v>38</v>
      </c>
      <c r="S33" t="s">
        <v>39</v>
      </c>
      <c r="T33">
        <v>2</v>
      </c>
      <c r="U33" t="s">
        <v>2423</v>
      </c>
    </row>
    <row r="34" spans="1:23" x14ac:dyDescent="0.25">
      <c r="A34" s="34" t="s">
        <v>2446</v>
      </c>
      <c r="B34" s="33" t="s">
        <v>2457</v>
      </c>
      <c r="C34" s="33" t="s">
        <v>2341</v>
      </c>
      <c r="D34" s="33" t="s">
        <v>2456</v>
      </c>
      <c r="E34" s="33" t="s">
        <v>29</v>
      </c>
      <c r="F34" s="33">
        <v>3</v>
      </c>
      <c r="G34" s="33">
        <v>29398.799999999999</v>
      </c>
      <c r="H34" s="33">
        <f t="shared" ref="H34:H97" si="2">G34/1.2</f>
        <v>24499</v>
      </c>
      <c r="I34" s="33"/>
      <c r="J34" s="33"/>
      <c r="K34" s="33"/>
      <c r="L34" s="33">
        <f t="shared" ref="L34:L97" si="3">H34+I34+K34</f>
        <v>24499</v>
      </c>
      <c r="M34" s="33"/>
      <c r="N34" s="33"/>
      <c r="O34" s="33" t="s">
        <v>37</v>
      </c>
      <c r="P34" s="33">
        <v>6731002766</v>
      </c>
      <c r="Q34" s="33">
        <v>673201001</v>
      </c>
      <c r="R34" s="33" t="s">
        <v>38</v>
      </c>
      <c r="S34" s="33" t="s">
        <v>39</v>
      </c>
      <c r="T34" s="33">
        <v>2</v>
      </c>
      <c r="U34" s="33" t="s">
        <v>2423</v>
      </c>
      <c r="V34">
        <f ca="1">G34/100*RANDBETWEEN(3,5)</f>
        <v>881.96399999999994</v>
      </c>
      <c r="W34">
        <f ca="1">G34/100*RANDBETWEEN(6,8)</f>
        <v>2057.9160000000002</v>
      </c>
    </row>
    <row r="35" spans="1:23" x14ac:dyDescent="0.25">
      <c r="A35" s="34" t="s">
        <v>2447</v>
      </c>
      <c r="B35" t="s">
        <v>2457</v>
      </c>
      <c r="C35" t="s">
        <v>2341</v>
      </c>
      <c r="D35" t="s">
        <v>2456</v>
      </c>
      <c r="E35" t="s">
        <v>29</v>
      </c>
      <c r="F35">
        <v>3</v>
      </c>
      <c r="G35">
        <f ca="1">G34+V34</f>
        <v>30280.763999999999</v>
      </c>
      <c r="H35">
        <f t="shared" ca="1" si="2"/>
        <v>25233.97</v>
      </c>
      <c r="L35">
        <f t="shared" ca="1" si="3"/>
        <v>25233.97</v>
      </c>
      <c r="O35" t="s">
        <v>2449</v>
      </c>
      <c r="P35">
        <v>6731002766</v>
      </c>
      <c r="Q35">
        <v>673201001</v>
      </c>
      <c r="R35" t="s">
        <v>38</v>
      </c>
      <c r="S35" t="s">
        <v>39</v>
      </c>
      <c r="T35">
        <v>2</v>
      </c>
      <c r="U35" t="s">
        <v>2423</v>
      </c>
    </row>
    <row r="36" spans="1:23" x14ac:dyDescent="0.25">
      <c r="A36" s="34" t="s">
        <v>2448</v>
      </c>
      <c r="B36" t="s">
        <v>2457</v>
      </c>
      <c r="C36" t="s">
        <v>2341</v>
      </c>
      <c r="D36" t="s">
        <v>2456</v>
      </c>
      <c r="E36" t="s">
        <v>29</v>
      </c>
      <c r="F36">
        <v>3</v>
      </c>
      <c r="G36">
        <f ca="1">G34+W34</f>
        <v>31456.716</v>
      </c>
      <c r="H36">
        <f t="shared" ca="1" si="2"/>
        <v>26213.93</v>
      </c>
      <c r="L36">
        <f t="shared" ca="1" si="3"/>
        <v>26213.93</v>
      </c>
      <c r="O36" t="s">
        <v>2450</v>
      </c>
      <c r="P36">
        <v>6731002766</v>
      </c>
      <c r="Q36">
        <v>673201001</v>
      </c>
      <c r="R36" t="s">
        <v>38</v>
      </c>
      <c r="S36" t="s">
        <v>39</v>
      </c>
      <c r="T36">
        <v>2</v>
      </c>
      <c r="U36" t="s">
        <v>2423</v>
      </c>
    </row>
    <row r="37" spans="1:23" x14ac:dyDescent="0.25">
      <c r="A37" s="34" t="s">
        <v>2451</v>
      </c>
      <c r="B37" s="33" t="s">
        <v>2457</v>
      </c>
      <c r="C37" s="33" t="s">
        <v>2346</v>
      </c>
      <c r="D37" s="33" t="s">
        <v>2458</v>
      </c>
      <c r="E37" s="33" t="s">
        <v>29</v>
      </c>
      <c r="F37" s="33">
        <v>1</v>
      </c>
      <c r="G37" s="33">
        <v>12537.6</v>
      </c>
      <c r="H37" s="33">
        <f t="shared" si="2"/>
        <v>10448</v>
      </c>
      <c r="I37" s="33"/>
      <c r="J37" s="33"/>
      <c r="K37" s="33"/>
      <c r="L37" s="33">
        <f t="shared" si="3"/>
        <v>10448</v>
      </c>
      <c r="M37" s="33"/>
      <c r="N37" s="33"/>
      <c r="O37" s="33" t="s">
        <v>37</v>
      </c>
      <c r="P37" s="33">
        <v>6731002766</v>
      </c>
      <c r="Q37" s="33">
        <v>673201001</v>
      </c>
      <c r="R37" s="33" t="s">
        <v>38</v>
      </c>
      <c r="S37" s="33" t="s">
        <v>39</v>
      </c>
      <c r="T37" s="33">
        <v>2</v>
      </c>
      <c r="U37" s="33" t="s">
        <v>2423</v>
      </c>
      <c r="V37">
        <f ca="1">G37/100*RANDBETWEEN(3,5)</f>
        <v>376.12800000000004</v>
      </c>
      <c r="W37">
        <f ca="1">G37/100*RANDBETWEEN(6,8)</f>
        <v>1003.008</v>
      </c>
    </row>
    <row r="38" spans="1:23" x14ac:dyDescent="0.25">
      <c r="A38" s="34" t="s">
        <v>2452</v>
      </c>
      <c r="B38" t="s">
        <v>2457</v>
      </c>
      <c r="C38" t="s">
        <v>2346</v>
      </c>
      <c r="D38" t="s">
        <v>2458</v>
      </c>
      <c r="E38" t="s">
        <v>29</v>
      </c>
      <c r="F38">
        <v>1</v>
      </c>
      <c r="G38">
        <f ca="1">G37+V37</f>
        <v>12913.728000000001</v>
      </c>
      <c r="H38">
        <f t="shared" ca="1" si="2"/>
        <v>10761.44</v>
      </c>
      <c r="L38">
        <f t="shared" ca="1" si="3"/>
        <v>10761.44</v>
      </c>
      <c r="O38" t="s">
        <v>2449</v>
      </c>
      <c r="P38">
        <v>6731002766</v>
      </c>
      <c r="Q38">
        <v>673201001</v>
      </c>
      <c r="R38" t="s">
        <v>38</v>
      </c>
      <c r="S38" t="s">
        <v>39</v>
      </c>
      <c r="T38">
        <v>2</v>
      </c>
      <c r="U38" t="s">
        <v>2423</v>
      </c>
    </row>
    <row r="39" spans="1:23" x14ac:dyDescent="0.25">
      <c r="A39" s="34" t="s">
        <v>2453</v>
      </c>
      <c r="B39" t="s">
        <v>2457</v>
      </c>
      <c r="C39" t="s">
        <v>2346</v>
      </c>
      <c r="D39" t="s">
        <v>2458</v>
      </c>
      <c r="E39" t="s">
        <v>29</v>
      </c>
      <c r="F39">
        <v>1</v>
      </c>
      <c r="G39">
        <f ca="1">G37+W37</f>
        <v>13540.608</v>
      </c>
      <c r="H39">
        <f t="shared" ca="1" si="2"/>
        <v>11283.84</v>
      </c>
      <c r="L39">
        <f t="shared" ca="1" si="3"/>
        <v>11283.84</v>
      </c>
      <c r="O39" t="s">
        <v>2450</v>
      </c>
      <c r="P39">
        <v>6731002766</v>
      </c>
      <c r="Q39">
        <v>673201001</v>
      </c>
      <c r="R39" t="s">
        <v>38</v>
      </c>
      <c r="S39" t="s">
        <v>39</v>
      </c>
      <c r="T39">
        <v>2</v>
      </c>
      <c r="U39" t="s">
        <v>2423</v>
      </c>
    </row>
    <row r="40" spans="1:23" x14ac:dyDescent="0.25">
      <c r="A40" s="34" t="s">
        <v>2459</v>
      </c>
      <c r="B40" s="33" t="s">
        <v>2457</v>
      </c>
      <c r="C40" s="33" t="s">
        <v>2248</v>
      </c>
      <c r="D40" s="33" t="s">
        <v>2456</v>
      </c>
      <c r="E40" s="33" t="s">
        <v>29</v>
      </c>
      <c r="F40" s="33">
        <v>3</v>
      </c>
      <c r="G40" s="33">
        <v>12249.6</v>
      </c>
      <c r="H40" s="33">
        <f t="shared" si="2"/>
        <v>10208</v>
      </c>
      <c r="I40" s="33"/>
      <c r="J40" s="33"/>
      <c r="K40" s="33"/>
      <c r="L40" s="33">
        <f t="shared" si="3"/>
        <v>10208</v>
      </c>
      <c r="M40" s="33"/>
      <c r="N40" s="33"/>
      <c r="O40" s="33" t="s">
        <v>37</v>
      </c>
      <c r="P40" s="33">
        <v>6731002766</v>
      </c>
      <c r="Q40" s="33">
        <v>673201001</v>
      </c>
      <c r="R40" s="33" t="s">
        <v>38</v>
      </c>
      <c r="S40" s="33" t="s">
        <v>39</v>
      </c>
      <c r="T40" s="33">
        <v>2</v>
      </c>
      <c r="U40" s="33" t="s">
        <v>2423</v>
      </c>
      <c r="V40">
        <f ca="1">G40/100*RANDBETWEEN(3,5)</f>
        <v>489.98400000000004</v>
      </c>
      <c r="W40">
        <f ca="1">G40/100*RANDBETWEEN(6,8)</f>
        <v>857.47200000000009</v>
      </c>
    </row>
    <row r="41" spans="1:23" x14ac:dyDescent="0.25">
      <c r="A41" s="34" t="s">
        <v>2460</v>
      </c>
      <c r="B41" t="s">
        <v>2457</v>
      </c>
      <c r="C41" t="s">
        <v>2248</v>
      </c>
      <c r="D41" t="s">
        <v>2456</v>
      </c>
      <c r="E41" t="s">
        <v>29</v>
      </c>
      <c r="F41">
        <v>3</v>
      </c>
      <c r="G41">
        <f ca="1">G40+V40</f>
        <v>12739.584000000001</v>
      </c>
      <c r="H41">
        <f t="shared" ca="1" si="2"/>
        <v>10616.320000000002</v>
      </c>
      <c r="L41">
        <f t="shared" ca="1" si="3"/>
        <v>10616.320000000002</v>
      </c>
      <c r="O41" t="s">
        <v>2449</v>
      </c>
      <c r="P41">
        <v>6731002766</v>
      </c>
      <c r="Q41">
        <v>673201001</v>
      </c>
      <c r="R41" t="s">
        <v>38</v>
      </c>
      <c r="S41" t="s">
        <v>39</v>
      </c>
      <c r="T41">
        <v>2</v>
      </c>
      <c r="U41" t="s">
        <v>2423</v>
      </c>
    </row>
    <row r="42" spans="1:23" x14ac:dyDescent="0.25">
      <c r="A42" s="34" t="s">
        <v>2461</v>
      </c>
      <c r="B42" t="s">
        <v>2457</v>
      </c>
      <c r="C42" t="s">
        <v>2248</v>
      </c>
      <c r="D42" t="s">
        <v>2456</v>
      </c>
      <c r="E42" t="s">
        <v>29</v>
      </c>
      <c r="F42">
        <v>3</v>
      </c>
      <c r="G42">
        <f ca="1">G40+W40</f>
        <v>13107.072</v>
      </c>
      <c r="H42">
        <f t="shared" ca="1" si="2"/>
        <v>10922.560000000001</v>
      </c>
      <c r="L42">
        <f t="shared" ca="1" si="3"/>
        <v>10922.560000000001</v>
      </c>
      <c r="O42" t="s">
        <v>2450</v>
      </c>
      <c r="P42">
        <v>6731002766</v>
      </c>
      <c r="Q42">
        <v>673201001</v>
      </c>
      <c r="R42" t="s">
        <v>38</v>
      </c>
      <c r="S42" t="s">
        <v>39</v>
      </c>
      <c r="T42">
        <v>2</v>
      </c>
      <c r="U42" t="s">
        <v>2423</v>
      </c>
    </row>
    <row r="43" spans="1:23" x14ac:dyDescent="0.25">
      <c r="A43" s="34" t="s">
        <v>2464</v>
      </c>
      <c r="B43" s="33" t="s">
        <v>2463</v>
      </c>
      <c r="C43" s="33" t="s">
        <v>2342</v>
      </c>
      <c r="D43" s="33" t="s">
        <v>2462</v>
      </c>
      <c r="E43" s="33" t="s">
        <v>29</v>
      </c>
      <c r="F43" s="33">
        <v>4</v>
      </c>
      <c r="G43" s="33">
        <v>1728</v>
      </c>
      <c r="H43" s="33">
        <f t="shared" si="2"/>
        <v>1440</v>
      </c>
      <c r="I43" s="33"/>
      <c r="J43" s="33"/>
      <c r="K43" s="33"/>
      <c r="L43" s="33">
        <f t="shared" si="3"/>
        <v>1440</v>
      </c>
      <c r="M43" s="33"/>
      <c r="N43" s="33"/>
      <c r="O43" s="33" t="s">
        <v>37</v>
      </c>
      <c r="P43" s="33">
        <v>6731002766</v>
      </c>
      <c r="Q43" s="33">
        <v>673201001</v>
      </c>
      <c r="R43" s="33" t="s">
        <v>38</v>
      </c>
      <c r="S43" s="33" t="s">
        <v>39</v>
      </c>
      <c r="T43" s="33">
        <v>2</v>
      </c>
      <c r="U43" s="33" t="s">
        <v>2423</v>
      </c>
      <c r="V43">
        <f ca="1">G43/100*RANDBETWEEN(3,5)</f>
        <v>86.4</v>
      </c>
      <c r="W43">
        <f ca="1">G43/100*RANDBETWEEN(6,8)</f>
        <v>120.96000000000001</v>
      </c>
    </row>
    <row r="44" spans="1:23" x14ac:dyDescent="0.25">
      <c r="A44" s="34" t="s">
        <v>2465</v>
      </c>
      <c r="B44" t="s">
        <v>2463</v>
      </c>
      <c r="C44" t="s">
        <v>2342</v>
      </c>
      <c r="D44" t="s">
        <v>2462</v>
      </c>
      <c r="E44" t="s">
        <v>29</v>
      </c>
      <c r="F44">
        <v>4</v>
      </c>
      <c r="G44">
        <f ca="1">G43+V43</f>
        <v>1814.4</v>
      </c>
      <c r="H44">
        <f t="shared" ca="1" si="2"/>
        <v>1512.0000000000002</v>
      </c>
      <c r="L44">
        <f t="shared" ca="1" si="3"/>
        <v>1512.0000000000002</v>
      </c>
      <c r="O44" t="s">
        <v>2449</v>
      </c>
      <c r="P44">
        <v>6731002766</v>
      </c>
      <c r="Q44">
        <v>673201001</v>
      </c>
      <c r="R44" t="s">
        <v>38</v>
      </c>
      <c r="S44" t="s">
        <v>39</v>
      </c>
      <c r="T44">
        <v>2</v>
      </c>
      <c r="U44" t="s">
        <v>2423</v>
      </c>
    </row>
    <row r="45" spans="1:23" x14ac:dyDescent="0.25">
      <c r="A45" s="34" t="s">
        <v>2466</v>
      </c>
      <c r="B45" t="s">
        <v>2463</v>
      </c>
      <c r="C45" t="s">
        <v>2342</v>
      </c>
      <c r="D45" t="s">
        <v>2462</v>
      </c>
      <c r="E45" t="s">
        <v>29</v>
      </c>
      <c r="F45">
        <v>4</v>
      </c>
      <c r="G45">
        <f ca="1">G43+W43</f>
        <v>1848.96</v>
      </c>
      <c r="H45">
        <f t="shared" ca="1" si="2"/>
        <v>1540.8000000000002</v>
      </c>
      <c r="L45">
        <f t="shared" ca="1" si="3"/>
        <v>1540.8000000000002</v>
      </c>
      <c r="O45" t="s">
        <v>2450</v>
      </c>
      <c r="P45">
        <v>6731002766</v>
      </c>
      <c r="Q45">
        <v>673201001</v>
      </c>
      <c r="R45" t="s">
        <v>38</v>
      </c>
      <c r="S45" t="s">
        <v>39</v>
      </c>
      <c r="T45">
        <v>2</v>
      </c>
      <c r="U45" t="s">
        <v>2423</v>
      </c>
    </row>
    <row r="46" spans="1:23" x14ac:dyDescent="0.25">
      <c r="A46" s="34" t="s">
        <v>2468</v>
      </c>
      <c r="B46" s="33" t="s">
        <v>2463</v>
      </c>
      <c r="C46" s="33" t="s">
        <v>2348</v>
      </c>
      <c r="D46" s="33" t="s">
        <v>2467</v>
      </c>
      <c r="E46" s="33" t="s">
        <v>29</v>
      </c>
      <c r="F46" s="33">
        <v>3</v>
      </c>
      <c r="G46" s="33">
        <v>24499.200000000001</v>
      </c>
      <c r="H46" s="33">
        <f t="shared" si="2"/>
        <v>20416</v>
      </c>
      <c r="I46" s="33"/>
      <c r="J46" s="33"/>
      <c r="K46" s="33"/>
      <c r="L46" s="33">
        <f t="shared" si="3"/>
        <v>20416</v>
      </c>
      <c r="M46" s="33"/>
      <c r="N46" s="33"/>
      <c r="O46" s="33" t="s">
        <v>37</v>
      </c>
      <c r="P46" s="33">
        <v>6731002766</v>
      </c>
      <c r="Q46" s="33">
        <v>673201001</v>
      </c>
      <c r="R46" s="33" t="s">
        <v>38</v>
      </c>
      <c r="S46" s="33" t="s">
        <v>39</v>
      </c>
      <c r="T46" s="33">
        <v>2</v>
      </c>
      <c r="U46" s="33" t="s">
        <v>2423</v>
      </c>
      <c r="V46">
        <f ca="1">G46/100*RANDBETWEEN(3,5)</f>
        <v>1224.96</v>
      </c>
      <c r="W46">
        <f ca="1">G46/100*RANDBETWEEN(6,8)</f>
        <v>1469.9520000000002</v>
      </c>
    </row>
    <row r="47" spans="1:23" x14ac:dyDescent="0.25">
      <c r="A47" s="34" t="s">
        <v>2469</v>
      </c>
      <c r="B47" t="s">
        <v>2463</v>
      </c>
      <c r="C47" t="s">
        <v>2348</v>
      </c>
      <c r="D47" t="s">
        <v>2467</v>
      </c>
      <c r="E47" t="s">
        <v>29</v>
      </c>
      <c r="F47">
        <v>3</v>
      </c>
      <c r="G47">
        <f ca="1">G46+V46</f>
        <v>25724.16</v>
      </c>
      <c r="H47">
        <f t="shared" ca="1" si="2"/>
        <v>21436.799999999999</v>
      </c>
      <c r="L47">
        <f t="shared" ca="1" si="3"/>
        <v>21436.799999999999</v>
      </c>
      <c r="O47" t="s">
        <v>2449</v>
      </c>
      <c r="P47">
        <v>6731002766</v>
      </c>
      <c r="Q47">
        <v>673201001</v>
      </c>
      <c r="R47" t="s">
        <v>38</v>
      </c>
      <c r="S47" t="s">
        <v>39</v>
      </c>
      <c r="T47">
        <v>2</v>
      </c>
      <c r="U47" t="s">
        <v>2423</v>
      </c>
    </row>
    <row r="48" spans="1:23" x14ac:dyDescent="0.25">
      <c r="A48" s="34" t="s">
        <v>2470</v>
      </c>
      <c r="B48" t="s">
        <v>2463</v>
      </c>
      <c r="C48" t="s">
        <v>2348</v>
      </c>
      <c r="D48" t="s">
        <v>2467</v>
      </c>
      <c r="E48" t="s">
        <v>29</v>
      </c>
      <c r="F48">
        <v>3</v>
      </c>
      <c r="G48">
        <f ca="1">G46+W46</f>
        <v>25969.152000000002</v>
      </c>
      <c r="H48">
        <f t="shared" ca="1" si="2"/>
        <v>21640.960000000003</v>
      </c>
      <c r="L48">
        <f t="shared" ca="1" si="3"/>
        <v>21640.960000000003</v>
      </c>
      <c r="O48" t="s">
        <v>2450</v>
      </c>
      <c r="P48">
        <v>6731002766</v>
      </c>
      <c r="Q48">
        <v>673201001</v>
      </c>
      <c r="R48" t="s">
        <v>38</v>
      </c>
      <c r="S48" t="s">
        <v>39</v>
      </c>
      <c r="T48">
        <v>2</v>
      </c>
      <c r="U48" t="s">
        <v>2423</v>
      </c>
    </row>
    <row r="49" spans="1:23" x14ac:dyDescent="0.25">
      <c r="A49" s="34" t="s">
        <v>2474</v>
      </c>
      <c r="B49" s="33" t="s">
        <v>2473</v>
      </c>
      <c r="C49" s="33" t="s">
        <v>2343</v>
      </c>
      <c r="D49" s="33" t="s">
        <v>2471</v>
      </c>
      <c r="E49" s="33" t="s">
        <v>29</v>
      </c>
      <c r="F49" s="33">
        <v>7</v>
      </c>
      <c r="G49" s="33" t="s">
        <v>2472</v>
      </c>
      <c r="H49" s="33">
        <f t="shared" si="2"/>
        <v>319</v>
      </c>
      <c r="I49" s="33"/>
      <c r="J49" s="33"/>
      <c r="K49" s="33"/>
      <c r="L49" s="33">
        <f t="shared" si="3"/>
        <v>319</v>
      </c>
      <c r="M49" s="33"/>
      <c r="N49" s="33"/>
      <c r="O49" s="33" t="s">
        <v>37</v>
      </c>
      <c r="P49" s="33">
        <v>7802348846</v>
      </c>
      <c r="Q49" s="33">
        <v>997350001</v>
      </c>
      <c r="R49" s="33" t="s">
        <v>38</v>
      </c>
      <c r="S49" s="33" t="s">
        <v>39</v>
      </c>
      <c r="T49" s="33">
        <v>2</v>
      </c>
      <c r="U49" s="33" t="s">
        <v>2423</v>
      </c>
      <c r="V49">
        <f ca="1">G49/100*RANDBETWEEN(3,5)</f>
        <v>15.312000000000001</v>
      </c>
      <c r="W49">
        <f ca="1">G49/100*RANDBETWEEN(6,8)</f>
        <v>30.624000000000002</v>
      </c>
    </row>
    <row r="50" spans="1:23" x14ac:dyDescent="0.25">
      <c r="A50" s="34" t="s">
        <v>2475</v>
      </c>
      <c r="B50" t="s">
        <v>2473</v>
      </c>
      <c r="C50" t="s">
        <v>2343</v>
      </c>
      <c r="D50" t="s">
        <v>2471</v>
      </c>
      <c r="E50" t="s">
        <v>29</v>
      </c>
      <c r="F50">
        <v>7</v>
      </c>
      <c r="G50">
        <f ca="1">G49+V49</f>
        <v>398.11200000000002</v>
      </c>
      <c r="H50">
        <f t="shared" ca="1" si="2"/>
        <v>331.76000000000005</v>
      </c>
      <c r="L50">
        <f t="shared" ca="1" si="3"/>
        <v>331.76000000000005</v>
      </c>
      <c r="O50" t="s">
        <v>2449</v>
      </c>
      <c r="P50">
        <v>7802348846</v>
      </c>
      <c r="Q50">
        <v>997350001</v>
      </c>
      <c r="R50" t="s">
        <v>38</v>
      </c>
      <c r="S50" t="s">
        <v>39</v>
      </c>
      <c r="T50">
        <v>2</v>
      </c>
      <c r="U50" t="s">
        <v>2423</v>
      </c>
    </row>
    <row r="51" spans="1:23" x14ac:dyDescent="0.25">
      <c r="A51" s="34" t="s">
        <v>2476</v>
      </c>
      <c r="B51" t="s">
        <v>2473</v>
      </c>
      <c r="C51" t="s">
        <v>2343</v>
      </c>
      <c r="D51" t="s">
        <v>2471</v>
      </c>
      <c r="E51" t="s">
        <v>29</v>
      </c>
      <c r="F51">
        <v>7</v>
      </c>
      <c r="G51">
        <f ca="1">G49+W49</f>
        <v>413.42400000000004</v>
      </c>
      <c r="H51">
        <f t="shared" ca="1" si="2"/>
        <v>344.52000000000004</v>
      </c>
      <c r="L51">
        <f t="shared" ca="1" si="3"/>
        <v>344.52000000000004</v>
      </c>
      <c r="O51" t="s">
        <v>2450</v>
      </c>
      <c r="P51">
        <v>7802348846</v>
      </c>
      <c r="Q51">
        <v>997350001</v>
      </c>
      <c r="R51" t="s">
        <v>38</v>
      </c>
      <c r="S51" t="s">
        <v>39</v>
      </c>
      <c r="T51">
        <v>2</v>
      </c>
      <c r="U51" t="s">
        <v>2423</v>
      </c>
    </row>
    <row r="52" spans="1:23" x14ac:dyDescent="0.25">
      <c r="A52" s="34" t="s">
        <v>2479</v>
      </c>
      <c r="B52" s="33" t="s">
        <v>2482</v>
      </c>
      <c r="C52" s="33" t="s">
        <v>2262</v>
      </c>
      <c r="D52" s="33" t="s">
        <v>2477</v>
      </c>
      <c r="E52" s="33" t="s">
        <v>29</v>
      </c>
      <c r="F52" s="33">
        <v>4</v>
      </c>
      <c r="G52" s="33" t="s">
        <v>2478</v>
      </c>
      <c r="H52" s="33">
        <f t="shared" si="2"/>
        <v>11889</v>
      </c>
      <c r="I52" s="33"/>
      <c r="J52" s="33"/>
      <c r="K52" s="33"/>
      <c r="L52" s="33">
        <f t="shared" si="3"/>
        <v>11889</v>
      </c>
      <c r="M52" s="33"/>
      <c r="N52" s="33"/>
      <c r="O52" s="33" t="s">
        <v>37</v>
      </c>
      <c r="P52" s="33">
        <v>6731002766</v>
      </c>
      <c r="Q52" s="33">
        <v>673201001</v>
      </c>
      <c r="R52" s="33" t="s">
        <v>38</v>
      </c>
      <c r="S52" s="33" t="s">
        <v>39</v>
      </c>
      <c r="T52" s="33">
        <v>2</v>
      </c>
      <c r="U52" s="33" t="s">
        <v>2423</v>
      </c>
      <c r="V52">
        <f ca="1">G52/100*RANDBETWEEN(3,5)</f>
        <v>570.67200000000003</v>
      </c>
      <c r="W52">
        <f ca="1">G52/100*RANDBETWEEN(6,8)</f>
        <v>856.00800000000004</v>
      </c>
    </row>
    <row r="53" spans="1:23" x14ac:dyDescent="0.25">
      <c r="A53" s="34" t="s">
        <v>2480</v>
      </c>
      <c r="B53" t="s">
        <v>2482</v>
      </c>
      <c r="C53" t="s">
        <v>2262</v>
      </c>
      <c r="D53" t="s">
        <v>2477</v>
      </c>
      <c r="E53" t="s">
        <v>29</v>
      </c>
      <c r="F53">
        <v>4</v>
      </c>
      <c r="G53">
        <f ca="1">G52+V52</f>
        <v>14837.472</v>
      </c>
      <c r="H53">
        <f t="shared" ca="1" si="2"/>
        <v>12364.56</v>
      </c>
      <c r="L53">
        <f t="shared" ca="1" si="3"/>
        <v>12364.56</v>
      </c>
      <c r="O53" t="s">
        <v>2449</v>
      </c>
      <c r="P53">
        <v>6731002766</v>
      </c>
      <c r="Q53">
        <v>673201001</v>
      </c>
      <c r="R53" t="s">
        <v>38</v>
      </c>
      <c r="S53" t="s">
        <v>39</v>
      </c>
      <c r="T53">
        <v>2</v>
      </c>
      <c r="U53" t="s">
        <v>2423</v>
      </c>
    </row>
    <row r="54" spans="1:23" x14ac:dyDescent="0.25">
      <c r="A54" s="34" t="s">
        <v>2481</v>
      </c>
      <c r="B54" t="s">
        <v>2482</v>
      </c>
      <c r="C54" t="s">
        <v>2262</v>
      </c>
      <c r="D54" t="s">
        <v>2477</v>
      </c>
      <c r="E54" t="s">
        <v>29</v>
      </c>
      <c r="F54">
        <v>4</v>
      </c>
      <c r="G54">
        <f ca="1">G52+W52</f>
        <v>15122.807999999999</v>
      </c>
      <c r="H54">
        <f t="shared" ca="1" si="2"/>
        <v>12602.34</v>
      </c>
      <c r="L54">
        <f t="shared" ca="1" si="3"/>
        <v>12602.34</v>
      </c>
      <c r="O54" t="s">
        <v>2450</v>
      </c>
      <c r="P54">
        <v>6731002766</v>
      </c>
      <c r="Q54">
        <v>673201001</v>
      </c>
      <c r="R54" t="s">
        <v>38</v>
      </c>
      <c r="S54" t="s">
        <v>39</v>
      </c>
      <c r="T54">
        <v>2</v>
      </c>
      <c r="U54" t="s">
        <v>2423</v>
      </c>
    </row>
    <row r="55" spans="1:23" x14ac:dyDescent="0.25">
      <c r="A55" s="34" t="s">
        <v>2486</v>
      </c>
      <c r="B55" s="33" t="s">
        <v>2485</v>
      </c>
      <c r="C55" s="33" t="s">
        <v>2347</v>
      </c>
      <c r="D55" s="33" t="s">
        <v>2483</v>
      </c>
      <c r="E55" s="33" t="s">
        <v>29</v>
      </c>
      <c r="F55" s="33">
        <v>1</v>
      </c>
      <c r="G55" s="33" t="s">
        <v>2484</v>
      </c>
      <c r="H55" s="33">
        <f t="shared" si="2"/>
        <v>14531.000000000002</v>
      </c>
      <c r="I55" s="33"/>
      <c r="J55" s="33"/>
      <c r="K55" s="33"/>
      <c r="L55" s="33">
        <f t="shared" si="3"/>
        <v>14531.000000000002</v>
      </c>
      <c r="M55" s="33"/>
      <c r="N55" s="33"/>
      <c r="O55" s="33" t="s">
        <v>37</v>
      </c>
      <c r="P55" s="33">
        <v>7802348846</v>
      </c>
      <c r="Q55" s="33">
        <v>997350001</v>
      </c>
      <c r="R55" s="33" t="s">
        <v>38</v>
      </c>
      <c r="S55" s="33" t="s">
        <v>39</v>
      </c>
      <c r="T55" s="33">
        <v>2</v>
      </c>
      <c r="U55" s="33" t="s">
        <v>2423</v>
      </c>
      <c r="V55">
        <f ca="1">G55/100*RANDBETWEEN(3,5)</f>
        <v>523.11599999999999</v>
      </c>
      <c r="W55">
        <f ca="1">G55/100*RANDBETWEEN(6,8)</f>
        <v>1220.604</v>
      </c>
    </row>
    <row r="56" spans="1:23" x14ac:dyDescent="0.25">
      <c r="A56" s="34" t="s">
        <v>2487</v>
      </c>
      <c r="B56" t="s">
        <v>2485</v>
      </c>
      <c r="C56" t="s">
        <v>2347</v>
      </c>
      <c r="D56" t="s">
        <v>2483</v>
      </c>
      <c r="E56" t="s">
        <v>29</v>
      </c>
      <c r="F56">
        <v>1</v>
      </c>
      <c r="G56">
        <f ca="1">G55+V55</f>
        <v>17960.315999999999</v>
      </c>
      <c r="H56">
        <f t="shared" ca="1" si="2"/>
        <v>14966.93</v>
      </c>
      <c r="L56">
        <f t="shared" ca="1" si="3"/>
        <v>14966.93</v>
      </c>
      <c r="O56" t="s">
        <v>2449</v>
      </c>
      <c r="P56">
        <v>7802348846</v>
      </c>
      <c r="Q56">
        <v>997350001</v>
      </c>
      <c r="R56" t="s">
        <v>38</v>
      </c>
      <c r="S56" t="s">
        <v>39</v>
      </c>
      <c r="T56">
        <v>2</v>
      </c>
      <c r="U56" t="s">
        <v>2423</v>
      </c>
    </row>
    <row r="57" spans="1:23" x14ac:dyDescent="0.25">
      <c r="A57" s="34" t="s">
        <v>2488</v>
      </c>
      <c r="B57" t="s">
        <v>2485</v>
      </c>
      <c r="C57" t="s">
        <v>2347</v>
      </c>
      <c r="D57" t="s">
        <v>2483</v>
      </c>
      <c r="E57" t="s">
        <v>29</v>
      </c>
      <c r="F57">
        <v>1</v>
      </c>
      <c r="G57">
        <f ca="1">G55+W55</f>
        <v>18657.804</v>
      </c>
      <c r="H57">
        <f t="shared" ca="1" si="2"/>
        <v>15548.17</v>
      </c>
      <c r="L57">
        <f t="shared" ca="1" si="3"/>
        <v>15548.17</v>
      </c>
      <c r="O57" t="s">
        <v>2450</v>
      </c>
      <c r="P57">
        <v>7802348846</v>
      </c>
      <c r="Q57">
        <v>997350001</v>
      </c>
      <c r="R57" t="s">
        <v>38</v>
      </c>
      <c r="S57" t="s">
        <v>39</v>
      </c>
      <c r="T57">
        <v>2</v>
      </c>
      <c r="U57" t="s">
        <v>2423</v>
      </c>
    </row>
    <row r="58" spans="1:23" x14ac:dyDescent="0.25">
      <c r="A58" s="34" t="s">
        <v>2491</v>
      </c>
      <c r="B58" s="33" t="s">
        <v>2485</v>
      </c>
      <c r="C58" s="33" t="s">
        <v>2349</v>
      </c>
      <c r="D58" s="33" t="s">
        <v>2489</v>
      </c>
      <c r="E58" s="33" t="s">
        <v>29</v>
      </c>
      <c r="F58" s="33">
        <v>3</v>
      </c>
      <c r="G58" s="33" t="s">
        <v>2490</v>
      </c>
      <c r="H58" s="33">
        <f t="shared" si="2"/>
        <v>30023</v>
      </c>
      <c r="I58" s="33"/>
      <c r="J58" s="33"/>
      <c r="K58" s="33"/>
      <c r="L58" s="33">
        <f t="shared" si="3"/>
        <v>30023</v>
      </c>
      <c r="M58" s="33"/>
      <c r="N58" s="33"/>
      <c r="O58" s="33" t="s">
        <v>37</v>
      </c>
      <c r="P58" s="33">
        <v>7802348846</v>
      </c>
      <c r="Q58" s="33">
        <v>997350001</v>
      </c>
      <c r="R58" s="33" t="s">
        <v>38</v>
      </c>
      <c r="S58" s="33" t="s">
        <v>39</v>
      </c>
      <c r="T58" s="33">
        <v>2</v>
      </c>
      <c r="U58" s="33" t="s">
        <v>2423</v>
      </c>
      <c r="V58">
        <f ca="1">G58/100*RANDBETWEEN(3,5)</f>
        <v>1801.38</v>
      </c>
      <c r="W58">
        <f ca="1">G58/100*RANDBETWEEN(6,8)</f>
        <v>2161.6559999999999</v>
      </c>
    </row>
    <row r="59" spans="1:23" x14ac:dyDescent="0.25">
      <c r="A59" s="34" t="s">
        <v>2492</v>
      </c>
      <c r="B59" t="s">
        <v>2485</v>
      </c>
      <c r="C59" t="s">
        <v>2349</v>
      </c>
      <c r="D59" t="s">
        <v>2489</v>
      </c>
      <c r="E59" t="s">
        <v>29</v>
      </c>
      <c r="F59">
        <v>3</v>
      </c>
      <c r="G59">
        <f ca="1">G58+V58</f>
        <v>37828.979999999996</v>
      </c>
      <c r="H59">
        <f t="shared" ca="1" si="2"/>
        <v>31524.149999999998</v>
      </c>
      <c r="L59">
        <f t="shared" ca="1" si="3"/>
        <v>31524.149999999998</v>
      </c>
      <c r="O59" t="s">
        <v>2449</v>
      </c>
      <c r="P59">
        <v>7802348846</v>
      </c>
      <c r="Q59">
        <v>997350001</v>
      </c>
      <c r="R59" t="s">
        <v>38</v>
      </c>
      <c r="S59" t="s">
        <v>39</v>
      </c>
      <c r="T59">
        <v>2</v>
      </c>
      <c r="U59" t="s">
        <v>2423</v>
      </c>
    </row>
    <row r="60" spans="1:23" x14ac:dyDescent="0.25">
      <c r="A60" s="34" t="s">
        <v>2493</v>
      </c>
      <c r="B60" t="s">
        <v>2485</v>
      </c>
      <c r="C60" t="s">
        <v>2349</v>
      </c>
      <c r="D60" t="s">
        <v>2489</v>
      </c>
      <c r="E60" t="s">
        <v>29</v>
      </c>
      <c r="F60">
        <v>3</v>
      </c>
      <c r="G60">
        <f ca="1">G58+W58</f>
        <v>38189.256000000001</v>
      </c>
      <c r="H60">
        <f t="shared" ca="1" si="2"/>
        <v>31824.38</v>
      </c>
      <c r="L60">
        <f t="shared" ca="1" si="3"/>
        <v>31824.38</v>
      </c>
      <c r="O60" t="s">
        <v>2450</v>
      </c>
      <c r="P60">
        <v>7802348846</v>
      </c>
      <c r="Q60">
        <v>997350001</v>
      </c>
      <c r="R60" t="s">
        <v>38</v>
      </c>
      <c r="S60" t="s">
        <v>39</v>
      </c>
      <c r="T60">
        <v>2</v>
      </c>
      <c r="U60" t="s">
        <v>2423</v>
      </c>
    </row>
    <row r="61" spans="1:23" x14ac:dyDescent="0.25">
      <c r="A61" s="34" t="s">
        <v>2496</v>
      </c>
      <c r="B61" s="33" t="s">
        <v>2485</v>
      </c>
      <c r="C61" s="33" t="s">
        <v>2344</v>
      </c>
      <c r="D61" s="33" t="s">
        <v>2494</v>
      </c>
      <c r="E61" s="33" t="s">
        <v>29</v>
      </c>
      <c r="F61" s="33">
        <v>3</v>
      </c>
      <c r="G61" s="33" t="s">
        <v>2495</v>
      </c>
      <c r="H61" s="33">
        <f t="shared" si="2"/>
        <v>39990</v>
      </c>
      <c r="I61" s="33"/>
      <c r="J61" s="33"/>
      <c r="K61" s="33"/>
      <c r="L61" s="33">
        <f t="shared" si="3"/>
        <v>39990</v>
      </c>
      <c r="M61" s="33"/>
      <c r="N61" s="33"/>
      <c r="O61" s="33" t="s">
        <v>37</v>
      </c>
      <c r="P61" s="33">
        <v>7802348846</v>
      </c>
      <c r="Q61" s="33">
        <v>997350001</v>
      </c>
      <c r="R61" s="33" t="s">
        <v>38</v>
      </c>
      <c r="S61" s="33" t="s">
        <v>39</v>
      </c>
      <c r="T61" s="33">
        <v>2</v>
      </c>
      <c r="U61" s="33" t="s">
        <v>2423</v>
      </c>
      <c r="V61">
        <f ca="1">G61/100*RANDBETWEEN(3,5)</f>
        <v>2399.4</v>
      </c>
      <c r="W61">
        <f ca="1">G61/100*RANDBETWEEN(6,8)</f>
        <v>3359.16</v>
      </c>
    </row>
    <row r="62" spans="1:23" x14ac:dyDescent="0.25">
      <c r="A62" s="34" t="s">
        <v>2497</v>
      </c>
      <c r="B62" t="s">
        <v>2485</v>
      </c>
      <c r="C62" t="s">
        <v>2344</v>
      </c>
      <c r="D62" t="s">
        <v>2494</v>
      </c>
      <c r="E62" t="s">
        <v>29</v>
      </c>
      <c r="F62">
        <v>3</v>
      </c>
      <c r="G62">
        <f ca="1">G61+V61</f>
        <v>50387.4</v>
      </c>
      <c r="H62">
        <f t="shared" ca="1" si="2"/>
        <v>41989.5</v>
      </c>
      <c r="L62">
        <f t="shared" ca="1" si="3"/>
        <v>41989.5</v>
      </c>
      <c r="O62" t="s">
        <v>2449</v>
      </c>
      <c r="P62">
        <v>7802348846</v>
      </c>
      <c r="Q62">
        <v>997350001</v>
      </c>
      <c r="R62" t="s">
        <v>38</v>
      </c>
      <c r="S62" t="s">
        <v>39</v>
      </c>
      <c r="T62">
        <v>2</v>
      </c>
      <c r="U62" t="s">
        <v>2423</v>
      </c>
    </row>
    <row r="63" spans="1:23" x14ac:dyDescent="0.25">
      <c r="A63" s="34" t="s">
        <v>2498</v>
      </c>
      <c r="B63" t="s">
        <v>2485</v>
      </c>
      <c r="C63" t="s">
        <v>2344</v>
      </c>
      <c r="D63" t="s">
        <v>2494</v>
      </c>
      <c r="E63" t="s">
        <v>29</v>
      </c>
      <c r="F63">
        <v>3</v>
      </c>
      <c r="G63">
        <f ca="1">G61+W61</f>
        <v>51347.16</v>
      </c>
      <c r="H63">
        <f t="shared" ca="1" si="2"/>
        <v>42789.3</v>
      </c>
      <c r="L63">
        <f t="shared" ca="1" si="3"/>
        <v>42789.3</v>
      </c>
      <c r="O63" t="s">
        <v>2450</v>
      </c>
      <c r="P63">
        <v>7802348846</v>
      </c>
      <c r="Q63">
        <v>997350001</v>
      </c>
      <c r="R63" t="s">
        <v>38</v>
      </c>
      <c r="S63" t="s">
        <v>39</v>
      </c>
      <c r="T63">
        <v>2</v>
      </c>
      <c r="U63" t="s">
        <v>2423</v>
      </c>
    </row>
    <row r="64" spans="1:23" x14ac:dyDescent="0.25">
      <c r="A64" s="34" t="s">
        <v>2499</v>
      </c>
      <c r="B64" s="33" t="s">
        <v>2485</v>
      </c>
      <c r="C64" s="33" t="s">
        <v>2345</v>
      </c>
      <c r="D64" s="33" t="s">
        <v>2494</v>
      </c>
      <c r="E64" s="33" t="s">
        <v>29</v>
      </c>
      <c r="F64" s="33">
        <v>2</v>
      </c>
      <c r="G64" s="33" t="s">
        <v>2495</v>
      </c>
      <c r="H64" s="33">
        <f t="shared" si="2"/>
        <v>39990</v>
      </c>
      <c r="I64" s="33"/>
      <c r="J64" s="33"/>
      <c r="K64" s="33"/>
      <c r="L64" s="33">
        <f t="shared" si="3"/>
        <v>39990</v>
      </c>
      <c r="M64" s="33"/>
      <c r="N64" s="33"/>
      <c r="O64" s="33" t="s">
        <v>37</v>
      </c>
      <c r="P64" s="33">
        <v>7802348846</v>
      </c>
      <c r="Q64" s="33">
        <v>997350001</v>
      </c>
      <c r="R64" s="33" t="s">
        <v>38</v>
      </c>
      <c r="S64" s="33" t="s">
        <v>39</v>
      </c>
      <c r="T64" s="33">
        <v>2</v>
      </c>
      <c r="U64" s="33" t="s">
        <v>2423</v>
      </c>
      <c r="V64">
        <f ca="1">G64/100*RANDBETWEEN(3,5)</f>
        <v>1439.6399999999999</v>
      </c>
      <c r="W64">
        <f ca="1">G64/100*RANDBETWEEN(6,8)</f>
        <v>3359.16</v>
      </c>
    </row>
    <row r="65" spans="1:23" x14ac:dyDescent="0.25">
      <c r="A65" s="34" t="s">
        <v>2500</v>
      </c>
      <c r="B65" t="s">
        <v>2485</v>
      </c>
      <c r="C65" t="s">
        <v>2345</v>
      </c>
      <c r="D65" t="s">
        <v>2494</v>
      </c>
      <c r="E65" t="s">
        <v>29</v>
      </c>
      <c r="F65">
        <v>2</v>
      </c>
      <c r="G65">
        <f ca="1">G64+V64</f>
        <v>49427.64</v>
      </c>
      <c r="H65">
        <f t="shared" ca="1" si="2"/>
        <v>41189.700000000004</v>
      </c>
      <c r="L65">
        <f t="shared" ca="1" si="3"/>
        <v>41189.700000000004</v>
      </c>
      <c r="O65" t="s">
        <v>2449</v>
      </c>
      <c r="P65">
        <v>7802348846</v>
      </c>
      <c r="Q65">
        <v>997350001</v>
      </c>
      <c r="R65" t="s">
        <v>38</v>
      </c>
      <c r="S65" t="s">
        <v>39</v>
      </c>
      <c r="T65">
        <v>2</v>
      </c>
      <c r="U65" t="s">
        <v>2423</v>
      </c>
    </row>
    <row r="66" spans="1:23" x14ac:dyDescent="0.25">
      <c r="A66" s="34" t="s">
        <v>2501</v>
      </c>
      <c r="B66" t="s">
        <v>2485</v>
      </c>
      <c r="C66" t="s">
        <v>2345</v>
      </c>
      <c r="D66" t="s">
        <v>2494</v>
      </c>
      <c r="E66" t="s">
        <v>29</v>
      </c>
      <c r="F66">
        <v>2</v>
      </c>
      <c r="G66">
        <f ca="1">G64+W64</f>
        <v>51347.16</v>
      </c>
      <c r="H66">
        <f t="shared" ca="1" si="2"/>
        <v>42789.3</v>
      </c>
      <c r="L66">
        <f t="shared" ca="1" si="3"/>
        <v>42789.3</v>
      </c>
      <c r="O66" t="s">
        <v>2450</v>
      </c>
      <c r="P66">
        <v>7802348846</v>
      </c>
      <c r="Q66">
        <v>997350001</v>
      </c>
      <c r="R66" t="s">
        <v>38</v>
      </c>
      <c r="S66" t="s">
        <v>39</v>
      </c>
      <c r="T66">
        <v>2</v>
      </c>
      <c r="U66" t="s">
        <v>2423</v>
      </c>
    </row>
    <row r="67" spans="1:23" x14ac:dyDescent="0.25">
      <c r="A67" s="34" t="s">
        <v>2505</v>
      </c>
      <c r="B67" s="33" t="s">
        <v>2508</v>
      </c>
      <c r="C67" s="33" t="s">
        <v>2351</v>
      </c>
      <c r="D67" s="33" t="s">
        <v>2502</v>
      </c>
      <c r="E67" s="33" t="s">
        <v>29</v>
      </c>
      <c r="F67" s="33">
        <v>2</v>
      </c>
      <c r="G67" s="33" t="s">
        <v>2503</v>
      </c>
      <c r="H67" s="33">
        <f t="shared" si="2"/>
        <v>180250</v>
      </c>
      <c r="I67" s="33"/>
      <c r="J67" s="33"/>
      <c r="K67" s="33"/>
      <c r="L67" s="33">
        <f t="shared" si="3"/>
        <v>180250</v>
      </c>
      <c r="M67" s="33"/>
      <c r="N67" s="33"/>
      <c r="O67" s="33" t="s">
        <v>2358</v>
      </c>
      <c r="P67" s="33">
        <v>7802806380</v>
      </c>
      <c r="Q67" s="33">
        <v>780201001</v>
      </c>
      <c r="R67" s="33" t="s">
        <v>2359</v>
      </c>
      <c r="S67" s="33" t="s">
        <v>42</v>
      </c>
      <c r="T67" s="33">
        <v>1</v>
      </c>
      <c r="U67" s="33" t="s">
        <v>2504</v>
      </c>
      <c r="V67">
        <f ca="1">G67/100*RANDBETWEEN(3,5)</f>
        <v>8652</v>
      </c>
      <c r="W67">
        <f ca="1">G67/100*RANDBETWEEN(6,8)</f>
        <v>17304</v>
      </c>
    </row>
    <row r="68" spans="1:23" x14ac:dyDescent="0.25">
      <c r="A68" s="34" t="s">
        <v>2506</v>
      </c>
      <c r="B68" t="s">
        <v>2508</v>
      </c>
      <c r="C68" t="s">
        <v>2351</v>
      </c>
      <c r="D68" t="s">
        <v>2502</v>
      </c>
      <c r="E68" t="s">
        <v>29</v>
      </c>
      <c r="F68">
        <v>2</v>
      </c>
      <c r="G68">
        <f ca="1">G67+V67</f>
        <v>224952</v>
      </c>
      <c r="H68">
        <f t="shared" ca="1" si="2"/>
        <v>187460</v>
      </c>
      <c r="L68">
        <f t="shared" ca="1" si="3"/>
        <v>187460</v>
      </c>
      <c r="O68" t="s">
        <v>2449</v>
      </c>
      <c r="P68">
        <v>7802806380</v>
      </c>
      <c r="Q68">
        <v>780201001</v>
      </c>
      <c r="R68" t="s">
        <v>2359</v>
      </c>
      <c r="S68" t="s">
        <v>42</v>
      </c>
      <c r="T68">
        <v>1</v>
      </c>
      <c r="U68" t="s">
        <v>2504</v>
      </c>
    </row>
    <row r="69" spans="1:23" x14ac:dyDescent="0.25">
      <c r="A69" s="34" t="s">
        <v>2507</v>
      </c>
      <c r="B69" t="s">
        <v>2508</v>
      </c>
      <c r="C69" t="s">
        <v>2351</v>
      </c>
      <c r="D69" t="s">
        <v>2502</v>
      </c>
      <c r="E69" t="s">
        <v>29</v>
      </c>
      <c r="F69">
        <v>2</v>
      </c>
      <c r="G69">
        <f ca="1">G67+W67</f>
        <v>233604</v>
      </c>
      <c r="H69">
        <f t="shared" ca="1" si="2"/>
        <v>194670</v>
      </c>
      <c r="L69">
        <f t="shared" ca="1" si="3"/>
        <v>194670</v>
      </c>
      <c r="O69" t="s">
        <v>2450</v>
      </c>
      <c r="P69">
        <v>7802806380</v>
      </c>
      <c r="Q69">
        <v>780201001</v>
      </c>
      <c r="R69" t="s">
        <v>2359</v>
      </c>
      <c r="S69" t="s">
        <v>42</v>
      </c>
      <c r="T69">
        <v>1</v>
      </c>
      <c r="U69" t="s">
        <v>2504</v>
      </c>
    </row>
    <row r="70" spans="1:23" x14ac:dyDescent="0.25">
      <c r="A70" s="34" t="s">
        <v>2509</v>
      </c>
      <c r="B70" s="33" t="s">
        <v>2508</v>
      </c>
      <c r="C70" s="33" t="s">
        <v>2352</v>
      </c>
      <c r="D70" s="33" t="s">
        <v>2502</v>
      </c>
      <c r="E70" s="33" t="s">
        <v>29</v>
      </c>
      <c r="F70" s="33">
        <v>1</v>
      </c>
      <c r="G70" s="33" t="s">
        <v>2503</v>
      </c>
      <c r="H70" s="33">
        <f t="shared" si="2"/>
        <v>180250</v>
      </c>
      <c r="I70" s="33"/>
      <c r="J70" s="33"/>
      <c r="K70" s="33"/>
      <c r="L70" s="33">
        <f t="shared" si="3"/>
        <v>180250</v>
      </c>
      <c r="M70" s="33"/>
      <c r="N70" s="33"/>
      <c r="O70" s="33" t="s">
        <v>2358</v>
      </c>
      <c r="P70" s="33">
        <v>7802806380</v>
      </c>
      <c r="Q70" s="33">
        <v>780201001</v>
      </c>
      <c r="R70" s="33" t="s">
        <v>2359</v>
      </c>
      <c r="S70" s="33" t="s">
        <v>42</v>
      </c>
      <c r="T70" s="33">
        <v>1</v>
      </c>
      <c r="U70" s="33" t="s">
        <v>2504</v>
      </c>
      <c r="V70">
        <f ca="1">G70/100*RANDBETWEEN(3,5)</f>
        <v>6489</v>
      </c>
      <c r="W70">
        <f ca="1">G70/100*RANDBETWEEN(6,8)</f>
        <v>12978</v>
      </c>
    </row>
    <row r="71" spans="1:23" x14ac:dyDescent="0.25">
      <c r="A71" s="34" t="s">
        <v>2510</v>
      </c>
      <c r="B71" t="s">
        <v>2508</v>
      </c>
      <c r="C71" t="s">
        <v>2352</v>
      </c>
      <c r="D71" t="s">
        <v>2502</v>
      </c>
      <c r="E71" t="s">
        <v>29</v>
      </c>
      <c r="F71">
        <v>1</v>
      </c>
      <c r="G71">
        <f ca="1">G70+V70</f>
        <v>222789</v>
      </c>
      <c r="H71">
        <f t="shared" ca="1" si="2"/>
        <v>185657.5</v>
      </c>
      <c r="L71">
        <f t="shared" ca="1" si="3"/>
        <v>185657.5</v>
      </c>
      <c r="O71" t="s">
        <v>2449</v>
      </c>
      <c r="P71">
        <v>7802806380</v>
      </c>
      <c r="Q71">
        <v>780201001</v>
      </c>
      <c r="R71" t="s">
        <v>2359</v>
      </c>
      <c r="S71" t="s">
        <v>42</v>
      </c>
      <c r="T71">
        <v>1</v>
      </c>
      <c r="U71" t="s">
        <v>2504</v>
      </c>
    </row>
    <row r="72" spans="1:23" x14ac:dyDescent="0.25">
      <c r="A72" s="34" t="s">
        <v>2511</v>
      </c>
      <c r="B72" t="s">
        <v>2508</v>
      </c>
      <c r="C72" t="s">
        <v>2352</v>
      </c>
      <c r="D72" t="s">
        <v>2502</v>
      </c>
      <c r="E72" t="s">
        <v>29</v>
      </c>
      <c r="F72">
        <v>1</v>
      </c>
      <c r="G72">
        <f ca="1">G70+W70</f>
        <v>229278</v>
      </c>
      <c r="H72">
        <f t="shared" ca="1" si="2"/>
        <v>191065</v>
      </c>
      <c r="L72">
        <f t="shared" ca="1" si="3"/>
        <v>191065</v>
      </c>
      <c r="O72" t="s">
        <v>2450</v>
      </c>
      <c r="P72">
        <v>7802806380</v>
      </c>
      <c r="Q72">
        <v>780201001</v>
      </c>
      <c r="R72" t="s">
        <v>2359</v>
      </c>
      <c r="S72" t="s">
        <v>42</v>
      </c>
      <c r="T72">
        <v>1</v>
      </c>
      <c r="U72" t="s">
        <v>2504</v>
      </c>
    </row>
    <row r="73" spans="1:23" x14ac:dyDescent="0.25">
      <c r="A73" s="34" t="s">
        <v>2512</v>
      </c>
      <c r="B73" s="33" t="s">
        <v>2508</v>
      </c>
      <c r="C73" s="33" t="s">
        <v>2353</v>
      </c>
      <c r="D73" s="33" t="s">
        <v>2502</v>
      </c>
      <c r="E73" s="33" t="s">
        <v>29</v>
      </c>
      <c r="F73" s="33">
        <v>2</v>
      </c>
      <c r="G73" s="33" t="s">
        <v>2503</v>
      </c>
      <c r="H73" s="33">
        <f t="shared" si="2"/>
        <v>180250</v>
      </c>
      <c r="I73" s="33"/>
      <c r="J73" s="33"/>
      <c r="K73" s="33"/>
      <c r="L73" s="33">
        <f t="shared" si="3"/>
        <v>180250</v>
      </c>
      <c r="M73" s="33"/>
      <c r="N73" s="33"/>
      <c r="O73" s="33" t="s">
        <v>2358</v>
      </c>
      <c r="P73" s="33">
        <v>7802806380</v>
      </c>
      <c r="Q73" s="33">
        <v>780201001</v>
      </c>
      <c r="R73" s="33" t="s">
        <v>2359</v>
      </c>
      <c r="S73" s="33" t="s">
        <v>42</v>
      </c>
      <c r="T73" s="33">
        <v>1</v>
      </c>
      <c r="U73" s="33" t="s">
        <v>2504</v>
      </c>
      <c r="V73">
        <f ca="1">G73/100*RANDBETWEEN(3,5)</f>
        <v>10815</v>
      </c>
      <c r="W73">
        <f ca="1">G73/100*RANDBETWEEN(6,8)</f>
        <v>15141</v>
      </c>
    </row>
    <row r="74" spans="1:23" x14ac:dyDescent="0.25">
      <c r="A74" s="34" t="s">
        <v>2513</v>
      </c>
      <c r="B74" t="s">
        <v>2508</v>
      </c>
      <c r="C74" t="s">
        <v>2353</v>
      </c>
      <c r="D74" t="s">
        <v>2502</v>
      </c>
      <c r="E74" t="s">
        <v>29</v>
      </c>
      <c r="F74">
        <v>2</v>
      </c>
      <c r="G74">
        <f ca="1">G73+V73</f>
        <v>227115</v>
      </c>
      <c r="H74">
        <f t="shared" ca="1" si="2"/>
        <v>189262.5</v>
      </c>
      <c r="L74">
        <f t="shared" ca="1" si="3"/>
        <v>189262.5</v>
      </c>
      <c r="O74" t="s">
        <v>2449</v>
      </c>
      <c r="P74">
        <v>7802806380</v>
      </c>
      <c r="Q74">
        <v>780201001</v>
      </c>
      <c r="R74" t="s">
        <v>2359</v>
      </c>
      <c r="S74" t="s">
        <v>42</v>
      </c>
      <c r="T74">
        <v>1</v>
      </c>
      <c r="U74" t="s">
        <v>2504</v>
      </c>
    </row>
    <row r="75" spans="1:23" x14ac:dyDescent="0.25">
      <c r="A75" s="34" t="s">
        <v>2514</v>
      </c>
      <c r="B75" t="s">
        <v>2508</v>
      </c>
      <c r="C75" t="s">
        <v>2353</v>
      </c>
      <c r="D75" t="s">
        <v>2502</v>
      </c>
      <c r="E75" t="s">
        <v>29</v>
      </c>
      <c r="F75">
        <v>2</v>
      </c>
      <c r="G75">
        <f ca="1">G73+W73</f>
        <v>231441</v>
      </c>
      <c r="H75">
        <f t="shared" ca="1" si="2"/>
        <v>192867.5</v>
      </c>
      <c r="L75">
        <f t="shared" ca="1" si="3"/>
        <v>192867.5</v>
      </c>
      <c r="O75" t="s">
        <v>2450</v>
      </c>
      <c r="P75">
        <v>7802806380</v>
      </c>
      <c r="Q75">
        <v>780201001</v>
      </c>
      <c r="R75" t="s">
        <v>2359</v>
      </c>
      <c r="S75" t="s">
        <v>42</v>
      </c>
      <c r="T75">
        <v>1</v>
      </c>
      <c r="U75" t="s">
        <v>2504</v>
      </c>
    </row>
    <row r="76" spans="1:23" x14ac:dyDescent="0.25">
      <c r="A76" s="34" t="s">
        <v>2515</v>
      </c>
      <c r="B76" s="33" t="s">
        <v>2508</v>
      </c>
      <c r="C76" s="33" t="s">
        <v>2354</v>
      </c>
      <c r="D76" s="33" t="s">
        <v>2502</v>
      </c>
      <c r="E76" s="33" t="s">
        <v>29</v>
      </c>
      <c r="F76" s="33">
        <v>1</v>
      </c>
      <c r="G76" s="33" t="s">
        <v>2503</v>
      </c>
      <c r="H76" s="33">
        <f t="shared" si="2"/>
        <v>180250</v>
      </c>
      <c r="I76" s="33"/>
      <c r="J76" s="33"/>
      <c r="K76" s="33"/>
      <c r="L76" s="33">
        <f t="shared" si="3"/>
        <v>180250</v>
      </c>
      <c r="M76" s="33"/>
      <c r="N76" s="33"/>
      <c r="O76" s="33" t="s">
        <v>2358</v>
      </c>
      <c r="P76" s="33">
        <v>7802806380</v>
      </c>
      <c r="Q76" s="33">
        <v>780201001</v>
      </c>
      <c r="R76" s="33" t="s">
        <v>2359</v>
      </c>
      <c r="S76" s="33" t="s">
        <v>42</v>
      </c>
      <c r="T76" s="33">
        <v>1</v>
      </c>
      <c r="U76" s="33" t="s">
        <v>2504</v>
      </c>
      <c r="V76">
        <f ca="1">G76/100*RANDBETWEEN(3,5)</f>
        <v>10815</v>
      </c>
      <c r="W76">
        <f ca="1">G76/100*RANDBETWEEN(6,8)</f>
        <v>12978</v>
      </c>
    </row>
    <row r="77" spans="1:23" x14ac:dyDescent="0.25">
      <c r="A77" s="34" t="s">
        <v>2516</v>
      </c>
      <c r="B77" t="s">
        <v>2508</v>
      </c>
      <c r="C77" t="s">
        <v>2354</v>
      </c>
      <c r="D77" t="s">
        <v>2502</v>
      </c>
      <c r="E77" t="s">
        <v>29</v>
      </c>
      <c r="F77">
        <v>1</v>
      </c>
      <c r="G77">
        <f ca="1">G76+V76</f>
        <v>227115</v>
      </c>
      <c r="H77">
        <f t="shared" ca="1" si="2"/>
        <v>189262.5</v>
      </c>
      <c r="L77">
        <f t="shared" ca="1" si="3"/>
        <v>189262.5</v>
      </c>
      <c r="O77" t="s">
        <v>2449</v>
      </c>
      <c r="P77">
        <v>7802806380</v>
      </c>
      <c r="Q77">
        <v>780201001</v>
      </c>
      <c r="R77" t="s">
        <v>2359</v>
      </c>
      <c r="S77" t="s">
        <v>42</v>
      </c>
      <c r="T77">
        <v>1</v>
      </c>
      <c r="U77" t="s">
        <v>2504</v>
      </c>
    </row>
    <row r="78" spans="1:23" x14ac:dyDescent="0.25">
      <c r="A78" s="34" t="s">
        <v>2517</v>
      </c>
      <c r="B78" t="s">
        <v>2508</v>
      </c>
      <c r="C78" t="s">
        <v>2354</v>
      </c>
      <c r="D78" t="s">
        <v>2502</v>
      </c>
      <c r="E78" t="s">
        <v>29</v>
      </c>
      <c r="F78">
        <v>1</v>
      </c>
      <c r="G78">
        <f ca="1">G76+W76</f>
        <v>229278</v>
      </c>
      <c r="H78">
        <f t="shared" ca="1" si="2"/>
        <v>191065</v>
      </c>
      <c r="L78">
        <f t="shared" ca="1" si="3"/>
        <v>191065</v>
      </c>
      <c r="O78" t="s">
        <v>2450</v>
      </c>
      <c r="P78">
        <v>7802806380</v>
      </c>
      <c r="Q78">
        <v>780201001</v>
      </c>
      <c r="R78" t="s">
        <v>2359</v>
      </c>
      <c r="S78" t="s">
        <v>42</v>
      </c>
      <c r="T78">
        <v>1</v>
      </c>
      <c r="U78" t="s">
        <v>2504</v>
      </c>
    </row>
    <row r="79" spans="1:23" x14ac:dyDescent="0.25">
      <c r="A79" s="34" t="s">
        <v>2518</v>
      </c>
      <c r="B79" s="33" t="s">
        <v>2508</v>
      </c>
      <c r="C79" s="33" t="s">
        <v>2355</v>
      </c>
      <c r="D79" s="33" t="s">
        <v>2502</v>
      </c>
      <c r="E79" s="33" t="s">
        <v>29</v>
      </c>
      <c r="F79" s="33">
        <v>1</v>
      </c>
      <c r="G79" s="33" t="s">
        <v>2503</v>
      </c>
      <c r="H79" s="33">
        <f t="shared" si="2"/>
        <v>180250</v>
      </c>
      <c r="I79" s="33"/>
      <c r="J79" s="33"/>
      <c r="K79" s="33"/>
      <c r="L79" s="33">
        <f t="shared" si="3"/>
        <v>180250</v>
      </c>
      <c r="M79" s="33"/>
      <c r="N79" s="33"/>
      <c r="O79" s="33" t="s">
        <v>2358</v>
      </c>
      <c r="P79" s="33">
        <v>7802806380</v>
      </c>
      <c r="Q79" s="33">
        <v>780201001</v>
      </c>
      <c r="R79" s="33" t="s">
        <v>2359</v>
      </c>
      <c r="S79" s="33" t="s">
        <v>42</v>
      </c>
      <c r="T79" s="33">
        <v>1</v>
      </c>
      <c r="U79" s="33" t="s">
        <v>2504</v>
      </c>
      <c r="V79">
        <f ca="1">G79/100*RANDBETWEEN(3,5)</f>
        <v>8652</v>
      </c>
      <c r="W79">
        <f ca="1">G79/100*RANDBETWEEN(6,8)</f>
        <v>12978</v>
      </c>
    </row>
    <row r="80" spans="1:23" x14ac:dyDescent="0.25">
      <c r="A80" s="34" t="s">
        <v>2519</v>
      </c>
      <c r="B80" t="s">
        <v>2508</v>
      </c>
      <c r="C80" t="s">
        <v>2355</v>
      </c>
      <c r="D80" t="s">
        <v>2502</v>
      </c>
      <c r="E80" t="s">
        <v>29</v>
      </c>
      <c r="F80">
        <v>1</v>
      </c>
      <c r="G80">
        <f ca="1">G79+V79</f>
        <v>224952</v>
      </c>
      <c r="H80">
        <f t="shared" ca="1" si="2"/>
        <v>187460</v>
      </c>
      <c r="L80">
        <f t="shared" ca="1" si="3"/>
        <v>187460</v>
      </c>
      <c r="O80" t="s">
        <v>2449</v>
      </c>
      <c r="P80">
        <v>7802806380</v>
      </c>
      <c r="Q80">
        <v>780201001</v>
      </c>
      <c r="R80" t="s">
        <v>2359</v>
      </c>
      <c r="S80" t="s">
        <v>42</v>
      </c>
      <c r="T80">
        <v>1</v>
      </c>
      <c r="U80" t="s">
        <v>2504</v>
      </c>
    </row>
    <row r="81" spans="1:23" x14ac:dyDescent="0.25">
      <c r="A81" s="34" t="s">
        <v>2520</v>
      </c>
      <c r="B81" t="s">
        <v>2508</v>
      </c>
      <c r="C81" t="s">
        <v>2355</v>
      </c>
      <c r="D81" t="s">
        <v>2502</v>
      </c>
      <c r="E81" t="s">
        <v>29</v>
      </c>
      <c r="F81">
        <v>1</v>
      </c>
      <c r="G81">
        <f ca="1">G79+W79</f>
        <v>229278</v>
      </c>
      <c r="H81">
        <f t="shared" ca="1" si="2"/>
        <v>191065</v>
      </c>
      <c r="L81">
        <f t="shared" ca="1" si="3"/>
        <v>191065</v>
      </c>
      <c r="O81" t="s">
        <v>2450</v>
      </c>
      <c r="P81">
        <v>7802806380</v>
      </c>
      <c r="Q81">
        <v>780201001</v>
      </c>
      <c r="R81" t="s">
        <v>2359</v>
      </c>
      <c r="S81" t="s">
        <v>42</v>
      </c>
      <c r="T81">
        <v>1</v>
      </c>
      <c r="U81" t="s">
        <v>2504</v>
      </c>
    </row>
    <row r="82" spans="1:23" x14ac:dyDescent="0.25">
      <c r="A82" s="34" t="s">
        <v>2521</v>
      </c>
      <c r="B82" s="33" t="s">
        <v>2508</v>
      </c>
      <c r="C82" s="33" t="s">
        <v>2356</v>
      </c>
      <c r="D82" s="33" t="s">
        <v>2502</v>
      </c>
      <c r="E82" s="33" t="s">
        <v>29</v>
      </c>
      <c r="F82" s="33">
        <v>1</v>
      </c>
      <c r="G82" s="33" t="s">
        <v>2503</v>
      </c>
      <c r="H82" s="33">
        <f t="shared" si="2"/>
        <v>180250</v>
      </c>
      <c r="I82" s="33"/>
      <c r="J82" s="33"/>
      <c r="K82" s="33"/>
      <c r="L82" s="33">
        <f t="shared" si="3"/>
        <v>180250</v>
      </c>
      <c r="M82" s="33"/>
      <c r="N82" s="33"/>
      <c r="O82" s="33" t="s">
        <v>2358</v>
      </c>
      <c r="P82" s="33">
        <v>7802806380</v>
      </c>
      <c r="Q82" s="33">
        <v>780201001</v>
      </c>
      <c r="R82" s="33" t="s">
        <v>2359</v>
      </c>
      <c r="S82" s="33" t="s">
        <v>42</v>
      </c>
      <c r="T82" s="33">
        <v>1</v>
      </c>
      <c r="U82" s="33" t="s">
        <v>2504</v>
      </c>
      <c r="V82">
        <f ca="1">G82/100*RANDBETWEEN(3,5)</f>
        <v>8652</v>
      </c>
      <c r="W82">
        <f ca="1">G82/100*RANDBETWEEN(6,8)</f>
        <v>17304</v>
      </c>
    </row>
    <row r="83" spans="1:23" x14ac:dyDescent="0.25">
      <c r="A83" s="34" t="s">
        <v>2522</v>
      </c>
      <c r="B83" t="s">
        <v>2508</v>
      </c>
      <c r="C83" t="s">
        <v>2356</v>
      </c>
      <c r="D83" t="s">
        <v>2502</v>
      </c>
      <c r="E83" t="s">
        <v>29</v>
      </c>
      <c r="F83">
        <v>1</v>
      </c>
      <c r="G83">
        <f ca="1">G82+V82</f>
        <v>224952</v>
      </c>
      <c r="H83">
        <f t="shared" ca="1" si="2"/>
        <v>187460</v>
      </c>
      <c r="L83">
        <f t="shared" ca="1" si="3"/>
        <v>187460</v>
      </c>
      <c r="O83" t="s">
        <v>2449</v>
      </c>
      <c r="P83">
        <v>7802806380</v>
      </c>
      <c r="Q83">
        <v>780201001</v>
      </c>
      <c r="R83" t="s">
        <v>2359</v>
      </c>
      <c r="S83" t="s">
        <v>42</v>
      </c>
      <c r="T83">
        <v>1</v>
      </c>
      <c r="U83" t="s">
        <v>2504</v>
      </c>
    </row>
    <row r="84" spans="1:23" x14ac:dyDescent="0.25">
      <c r="A84" s="34" t="s">
        <v>2523</v>
      </c>
      <c r="B84" t="s">
        <v>2508</v>
      </c>
      <c r="C84" t="s">
        <v>2356</v>
      </c>
      <c r="D84" t="s">
        <v>2502</v>
      </c>
      <c r="E84" t="s">
        <v>29</v>
      </c>
      <c r="F84">
        <v>1</v>
      </c>
      <c r="G84">
        <f ca="1">G82+W82</f>
        <v>233604</v>
      </c>
      <c r="H84">
        <f t="shared" ca="1" si="2"/>
        <v>194670</v>
      </c>
      <c r="L84">
        <f t="shared" ca="1" si="3"/>
        <v>194670</v>
      </c>
      <c r="O84" t="s">
        <v>2450</v>
      </c>
      <c r="P84">
        <v>7802806380</v>
      </c>
      <c r="Q84">
        <v>780201001</v>
      </c>
      <c r="R84" t="s">
        <v>2359</v>
      </c>
      <c r="S84" t="s">
        <v>42</v>
      </c>
      <c r="T84">
        <v>1</v>
      </c>
      <c r="U84" t="s">
        <v>2504</v>
      </c>
    </row>
    <row r="85" spans="1:23" x14ac:dyDescent="0.25">
      <c r="A85" s="34" t="s">
        <v>2526</v>
      </c>
      <c r="B85" s="33" t="s">
        <v>2508</v>
      </c>
      <c r="C85" s="33" t="s">
        <v>2529</v>
      </c>
      <c r="D85" s="33" t="s">
        <v>2524</v>
      </c>
      <c r="E85" s="33" t="s">
        <v>29</v>
      </c>
      <c r="F85" s="33">
        <v>1</v>
      </c>
      <c r="G85" s="33" t="s">
        <v>2525</v>
      </c>
      <c r="H85" s="33">
        <f t="shared" si="2"/>
        <v>782800</v>
      </c>
      <c r="I85" s="33"/>
      <c r="J85" s="33"/>
      <c r="K85" s="33"/>
      <c r="L85" s="33">
        <f t="shared" si="3"/>
        <v>782800</v>
      </c>
      <c r="M85" s="33"/>
      <c r="N85" s="33"/>
      <c r="O85" s="33" t="s">
        <v>2358</v>
      </c>
      <c r="P85" s="33">
        <v>7802806380</v>
      </c>
      <c r="Q85" s="33">
        <v>780201001</v>
      </c>
      <c r="R85" s="33" t="s">
        <v>2359</v>
      </c>
      <c r="S85" s="33" t="s">
        <v>42</v>
      </c>
      <c r="T85" s="33">
        <v>1</v>
      </c>
      <c r="U85" s="33" t="s">
        <v>2504</v>
      </c>
      <c r="V85">
        <f ca="1">G85/100*RANDBETWEEN(3,5)</f>
        <v>46968</v>
      </c>
      <c r="W85">
        <f ca="1">G85/100*RANDBETWEEN(6,8)</f>
        <v>65755.199999999997</v>
      </c>
    </row>
    <row r="86" spans="1:23" x14ac:dyDescent="0.25">
      <c r="A86" s="34" t="s">
        <v>2527</v>
      </c>
      <c r="B86" t="s">
        <v>2508</v>
      </c>
      <c r="C86" t="s">
        <v>2529</v>
      </c>
      <c r="D86" t="s">
        <v>2524</v>
      </c>
      <c r="E86" t="s">
        <v>29</v>
      </c>
      <c r="F86">
        <v>1</v>
      </c>
      <c r="G86">
        <f ca="1">G85+V85</f>
        <v>986328</v>
      </c>
      <c r="H86">
        <f t="shared" ca="1" si="2"/>
        <v>821940</v>
      </c>
      <c r="L86">
        <f t="shared" ca="1" si="3"/>
        <v>821940</v>
      </c>
      <c r="O86" t="s">
        <v>2449</v>
      </c>
      <c r="P86">
        <v>7802806380</v>
      </c>
      <c r="Q86">
        <v>780201001</v>
      </c>
      <c r="R86" t="s">
        <v>2359</v>
      </c>
      <c r="S86" t="s">
        <v>42</v>
      </c>
      <c r="T86">
        <v>1</v>
      </c>
      <c r="U86" t="s">
        <v>2504</v>
      </c>
    </row>
    <row r="87" spans="1:23" x14ac:dyDescent="0.25">
      <c r="A87" s="34" t="s">
        <v>2528</v>
      </c>
      <c r="B87" t="s">
        <v>2508</v>
      </c>
      <c r="C87" t="s">
        <v>2529</v>
      </c>
      <c r="D87" t="s">
        <v>2524</v>
      </c>
      <c r="E87" t="s">
        <v>29</v>
      </c>
      <c r="F87">
        <v>1</v>
      </c>
      <c r="G87">
        <f ca="1">G85+W85</f>
        <v>1005115.2</v>
      </c>
      <c r="H87">
        <f t="shared" ca="1" si="2"/>
        <v>837596</v>
      </c>
      <c r="L87">
        <f t="shared" ca="1" si="3"/>
        <v>837596</v>
      </c>
      <c r="O87" t="s">
        <v>2450</v>
      </c>
      <c r="P87">
        <v>7802806380</v>
      </c>
      <c r="Q87">
        <v>780201001</v>
      </c>
      <c r="R87" t="s">
        <v>2359</v>
      </c>
      <c r="S87" t="s">
        <v>42</v>
      </c>
      <c r="T87">
        <v>1</v>
      </c>
      <c r="U87" t="s">
        <v>2504</v>
      </c>
    </row>
    <row r="88" spans="1:23" x14ac:dyDescent="0.25">
      <c r="A88" s="34" t="s">
        <v>2535</v>
      </c>
      <c r="B88" s="33" t="s">
        <v>2534</v>
      </c>
      <c r="C88" s="33" t="s">
        <v>2530</v>
      </c>
      <c r="D88" s="33" t="s">
        <v>2531</v>
      </c>
      <c r="E88" s="33" t="s">
        <v>29</v>
      </c>
      <c r="F88" s="33">
        <v>17</v>
      </c>
      <c r="G88" s="33" t="s">
        <v>2532</v>
      </c>
      <c r="H88" s="33">
        <f t="shared" si="2"/>
        <v>20247.5</v>
      </c>
      <c r="I88" s="33"/>
      <c r="J88" s="33"/>
      <c r="K88" s="33"/>
      <c r="L88" s="33">
        <f t="shared" si="3"/>
        <v>20247.5</v>
      </c>
      <c r="M88" s="33"/>
      <c r="N88" s="33"/>
      <c r="O88" s="33" t="s">
        <v>40</v>
      </c>
      <c r="P88" s="33">
        <v>7806155468</v>
      </c>
      <c r="Q88" s="33">
        <v>780601001</v>
      </c>
      <c r="R88" s="33" t="s">
        <v>41</v>
      </c>
      <c r="S88" s="33" t="s">
        <v>42</v>
      </c>
      <c r="T88" s="33">
        <v>1</v>
      </c>
      <c r="U88" s="33" t="s">
        <v>2533</v>
      </c>
      <c r="V88">
        <f ca="1">G88/100*RANDBETWEEN(3,5)</f>
        <v>1214.8499999999999</v>
      </c>
      <c r="W88">
        <f ca="1">G88/100*RANDBETWEEN(6,8)</f>
        <v>1943.76</v>
      </c>
    </row>
    <row r="89" spans="1:23" x14ac:dyDescent="0.25">
      <c r="A89" s="34" t="s">
        <v>2536</v>
      </c>
      <c r="B89" t="s">
        <v>2534</v>
      </c>
      <c r="C89" t="s">
        <v>2530</v>
      </c>
      <c r="D89" t="s">
        <v>2531</v>
      </c>
      <c r="E89" t="s">
        <v>29</v>
      </c>
      <c r="F89">
        <v>17</v>
      </c>
      <c r="G89">
        <f ca="1">G88+V88</f>
        <v>25511.85</v>
      </c>
      <c r="H89">
        <f t="shared" ca="1" si="2"/>
        <v>21259.875</v>
      </c>
      <c r="L89">
        <f t="shared" ca="1" si="3"/>
        <v>21259.875</v>
      </c>
      <c r="O89" t="s">
        <v>2449</v>
      </c>
      <c r="P89">
        <v>7806155468</v>
      </c>
      <c r="Q89">
        <v>780601001</v>
      </c>
      <c r="R89" t="s">
        <v>41</v>
      </c>
      <c r="S89" t="s">
        <v>42</v>
      </c>
      <c r="T89">
        <v>1</v>
      </c>
      <c r="U89" t="s">
        <v>2533</v>
      </c>
    </row>
    <row r="90" spans="1:23" x14ac:dyDescent="0.25">
      <c r="A90" s="34" t="s">
        <v>2537</v>
      </c>
      <c r="B90" t="s">
        <v>2534</v>
      </c>
      <c r="C90" t="s">
        <v>2530</v>
      </c>
      <c r="D90" t="s">
        <v>2531</v>
      </c>
      <c r="E90" t="s">
        <v>29</v>
      </c>
      <c r="F90">
        <v>17</v>
      </c>
      <c r="G90">
        <f ca="1">G88+W88</f>
        <v>26240.76</v>
      </c>
      <c r="H90">
        <f t="shared" ca="1" si="2"/>
        <v>21867.3</v>
      </c>
      <c r="L90">
        <f t="shared" ca="1" si="3"/>
        <v>21867.3</v>
      </c>
      <c r="O90" t="s">
        <v>2450</v>
      </c>
      <c r="P90">
        <v>7806155468</v>
      </c>
      <c r="Q90">
        <v>780601001</v>
      </c>
      <c r="R90" t="s">
        <v>41</v>
      </c>
      <c r="S90" t="s">
        <v>42</v>
      </c>
      <c r="T90">
        <v>1</v>
      </c>
      <c r="U90" t="s">
        <v>2533</v>
      </c>
    </row>
    <row r="91" spans="1:23" x14ac:dyDescent="0.25">
      <c r="A91" s="34" t="s">
        <v>2543</v>
      </c>
      <c r="B91" s="33" t="s">
        <v>2542</v>
      </c>
      <c r="C91" s="33" t="s">
        <v>2538</v>
      </c>
      <c r="D91" s="33" t="s">
        <v>2539</v>
      </c>
      <c r="E91" s="33" t="s">
        <v>29</v>
      </c>
      <c r="F91" s="33">
        <v>2</v>
      </c>
      <c r="G91" s="33" t="s">
        <v>2540</v>
      </c>
      <c r="H91" s="33">
        <f t="shared" si="2"/>
        <v>24359.166666666668</v>
      </c>
      <c r="I91" s="33"/>
      <c r="J91" s="33"/>
      <c r="K91" s="33"/>
      <c r="L91" s="33">
        <f t="shared" si="3"/>
        <v>24359.166666666668</v>
      </c>
      <c r="M91" s="33"/>
      <c r="N91" s="33"/>
      <c r="O91" s="33" t="s">
        <v>40</v>
      </c>
      <c r="P91" s="33">
        <v>7806155468</v>
      </c>
      <c r="Q91" s="33">
        <v>780601001</v>
      </c>
      <c r="R91" s="33" t="s">
        <v>41</v>
      </c>
      <c r="S91" s="33" t="s">
        <v>42</v>
      </c>
      <c r="T91" s="33">
        <v>1</v>
      </c>
      <c r="U91" s="33" t="s">
        <v>2541</v>
      </c>
      <c r="V91">
        <f ca="1">G91/100*RANDBETWEEN(3,5)</f>
        <v>1461.55</v>
      </c>
      <c r="W91">
        <f ca="1">G91/100*RANDBETWEEN(6,8)</f>
        <v>1753.8600000000001</v>
      </c>
    </row>
    <row r="92" spans="1:23" x14ac:dyDescent="0.25">
      <c r="A92" s="34" t="s">
        <v>2544</v>
      </c>
      <c r="B92" t="s">
        <v>2542</v>
      </c>
      <c r="C92" t="s">
        <v>2538</v>
      </c>
      <c r="D92" t="s">
        <v>2539</v>
      </c>
      <c r="E92" t="s">
        <v>29</v>
      </c>
      <c r="F92">
        <v>2</v>
      </c>
      <c r="G92">
        <f ca="1">G91+V91</f>
        <v>30692.55</v>
      </c>
      <c r="H92">
        <f t="shared" ca="1" si="2"/>
        <v>25577.125</v>
      </c>
      <c r="L92">
        <f t="shared" ca="1" si="3"/>
        <v>25577.125</v>
      </c>
      <c r="O92" t="s">
        <v>2449</v>
      </c>
      <c r="P92">
        <v>7806155468</v>
      </c>
      <c r="Q92">
        <v>780601001</v>
      </c>
      <c r="R92" t="s">
        <v>41</v>
      </c>
      <c r="S92" t="s">
        <v>42</v>
      </c>
      <c r="T92">
        <v>1</v>
      </c>
      <c r="U92" t="s">
        <v>2541</v>
      </c>
    </row>
    <row r="93" spans="1:23" x14ac:dyDescent="0.25">
      <c r="A93" s="34" t="s">
        <v>2545</v>
      </c>
      <c r="B93" t="s">
        <v>2542</v>
      </c>
      <c r="C93" t="s">
        <v>2538</v>
      </c>
      <c r="D93" t="s">
        <v>2539</v>
      </c>
      <c r="E93" t="s">
        <v>29</v>
      </c>
      <c r="F93">
        <v>2</v>
      </c>
      <c r="G93">
        <f ca="1">G91+W91</f>
        <v>30984.86</v>
      </c>
      <c r="H93">
        <f t="shared" ca="1" si="2"/>
        <v>25820.716666666667</v>
      </c>
      <c r="L93">
        <f t="shared" ca="1" si="3"/>
        <v>25820.716666666667</v>
      </c>
      <c r="O93" t="s">
        <v>2450</v>
      </c>
      <c r="P93">
        <v>7806155468</v>
      </c>
      <c r="Q93">
        <v>780601001</v>
      </c>
      <c r="R93" t="s">
        <v>41</v>
      </c>
      <c r="S93" t="s">
        <v>42</v>
      </c>
      <c r="T93">
        <v>1</v>
      </c>
      <c r="U93" t="s">
        <v>2541</v>
      </c>
    </row>
    <row r="94" spans="1:23" x14ac:dyDescent="0.25">
      <c r="A94" s="34" t="s">
        <v>2548</v>
      </c>
      <c r="B94" s="33" t="s">
        <v>2542</v>
      </c>
      <c r="C94" s="33" t="s">
        <v>2546</v>
      </c>
      <c r="D94" s="33" t="s">
        <v>2539</v>
      </c>
      <c r="E94" s="33" t="s">
        <v>29</v>
      </c>
      <c r="F94" s="33">
        <v>7</v>
      </c>
      <c r="G94" s="33" t="s">
        <v>2547</v>
      </c>
      <c r="H94" s="33">
        <f t="shared" si="2"/>
        <v>23071.666666666668</v>
      </c>
      <c r="I94" s="33"/>
      <c r="J94" s="33"/>
      <c r="K94" s="33"/>
      <c r="L94" s="33">
        <f t="shared" si="3"/>
        <v>23071.666666666668</v>
      </c>
      <c r="M94" s="33"/>
      <c r="N94" s="33"/>
      <c r="O94" s="33" t="s">
        <v>40</v>
      </c>
      <c r="P94" s="33">
        <v>7806155468</v>
      </c>
      <c r="Q94" s="33">
        <v>780601001</v>
      </c>
      <c r="R94" s="33" t="s">
        <v>41</v>
      </c>
      <c r="S94" s="33" t="s">
        <v>42</v>
      </c>
      <c r="T94" s="33">
        <v>1</v>
      </c>
      <c r="U94" s="33" t="s">
        <v>2541</v>
      </c>
      <c r="V94">
        <f ca="1">G94/100*RANDBETWEEN(3,5)</f>
        <v>1107.44</v>
      </c>
      <c r="W94">
        <f ca="1">G94/100*RANDBETWEEN(6,8)</f>
        <v>1938.02</v>
      </c>
    </row>
    <row r="95" spans="1:23" x14ac:dyDescent="0.25">
      <c r="A95" s="34" t="s">
        <v>2549</v>
      </c>
      <c r="B95" t="s">
        <v>2542</v>
      </c>
      <c r="C95" t="s">
        <v>2546</v>
      </c>
      <c r="D95" t="s">
        <v>2539</v>
      </c>
      <c r="E95" t="s">
        <v>29</v>
      </c>
      <c r="F95">
        <v>7</v>
      </c>
      <c r="G95">
        <f ca="1">G94+V94</f>
        <v>28793.439999999999</v>
      </c>
      <c r="H95">
        <f t="shared" ca="1" si="2"/>
        <v>23994.533333333333</v>
      </c>
      <c r="L95">
        <f t="shared" ca="1" si="3"/>
        <v>23994.533333333333</v>
      </c>
      <c r="O95" t="s">
        <v>2449</v>
      </c>
      <c r="P95">
        <v>7806155468</v>
      </c>
      <c r="Q95">
        <v>780601001</v>
      </c>
      <c r="R95" t="s">
        <v>41</v>
      </c>
      <c r="S95" t="s">
        <v>42</v>
      </c>
      <c r="T95">
        <v>1</v>
      </c>
      <c r="U95" t="s">
        <v>2541</v>
      </c>
    </row>
    <row r="96" spans="1:23" x14ac:dyDescent="0.25">
      <c r="A96" s="34" t="s">
        <v>2550</v>
      </c>
      <c r="B96" t="s">
        <v>2542</v>
      </c>
      <c r="C96" t="s">
        <v>2546</v>
      </c>
      <c r="D96" t="s">
        <v>2539</v>
      </c>
      <c r="E96" t="s">
        <v>29</v>
      </c>
      <c r="F96">
        <v>7</v>
      </c>
      <c r="G96">
        <f ca="1">G94+W94</f>
        <v>29624.02</v>
      </c>
      <c r="H96">
        <f t="shared" ca="1" si="2"/>
        <v>24686.683333333334</v>
      </c>
      <c r="L96">
        <f t="shared" ca="1" si="3"/>
        <v>24686.683333333334</v>
      </c>
      <c r="O96" t="s">
        <v>2450</v>
      </c>
      <c r="P96">
        <v>7806155468</v>
      </c>
      <c r="Q96">
        <v>780601001</v>
      </c>
      <c r="R96" t="s">
        <v>41</v>
      </c>
      <c r="S96" t="s">
        <v>42</v>
      </c>
      <c r="T96">
        <v>1</v>
      </c>
      <c r="U96" t="s">
        <v>2541</v>
      </c>
    </row>
    <row r="97" spans="1:23" x14ac:dyDescent="0.25">
      <c r="A97" s="34" t="s">
        <v>2554</v>
      </c>
      <c r="B97" s="33" t="s">
        <v>2542</v>
      </c>
      <c r="C97" s="33" t="s">
        <v>2551</v>
      </c>
      <c r="D97" s="33" t="s">
        <v>2552</v>
      </c>
      <c r="E97" s="33" t="s">
        <v>29</v>
      </c>
      <c r="F97" s="33">
        <v>1</v>
      </c>
      <c r="G97" s="33" t="s">
        <v>2553</v>
      </c>
      <c r="H97" s="33">
        <f t="shared" si="2"/>
        <v>41530</v>
      </c>
      <c r="I97" s="33"/>
      <c r="J97" s="33"/>
      <c r="K97" s="33"/>
      <c r="L97" s="33">
        <f t="shared" si="3"/>
        <v>41530</v>
      </c>
      <c r="M97" s="33"/>
      <c r="N97" s="33"/>
      <c r="O97" s="33" t="s">
        <v>40</v>
      </c>
      <c r="P97" s="33">
        <v>7806155468</v>
      </c>
      <c r="Q97" s="33">
        <v>780601001</v>
      </c>
      <c r="R97" s="33" t="s">
        <v>41</v>
      </c>
      <c r="S97" s="33" t="s">
        <v>42</v>
      </c>
      <c r="T97" s="33">
        <v>1</v>
      </c>
      <c r="U97" s="33" t="s">
        <v>2541</v>
      </c>
      <c r="V97">
        <f ca="1">G97/100*RANDBETWEEN(3,5)</f>
        <v>1495.08</v>
      </c>
      <c r="W97">
        <f ca="1">G97/100*RANDBETWEEN(6,8)</f>
        <v>2990.16</v>
      </c>
    </row>
    <row r="98" spans="1:23" x14ac:dyDescent="0.25">
      <c r="A98" s="34" t="s">
        <v>2555</v>
      </c>
      <c r="B98" t="s">
        <v>2542</v>
      </c>
      <c r="C98" t="s">
        <v>2551</v>
      </c>
      <c r="D98" t="s">
        <v>2552</v>
      </c>
      <c r="E98" t="s">
        <v>29</v>
      </c>
      <c r="F98">
        <v>1</v>
      </c>
      <c r="G98">
        <f ca="1">G97+V97</f>
        <v>51331.08</v>
      </c>
      <c r="H98">
        <f t="shared" ref="H98:H161" ca="1" si="4">G98/1.2</f>
        <v>42775.9</v>
      </c>
      <c r="L98">
        <f t="shared" ref="L98:L161" ca="1" si="5">H98+I98+K98</f>
        <v>42775.9</v>
      </c>
      <c r="O98" t="s">
        <v>2449</v>
      </c>
      <c r="P98">
        <v>7806155468</v>
      </c>
      <c r="Q98">
        <v>780601001</v>
      </c>
      <c r="R98" t="s">
        <v>41</v>
      </c>
      <c r="S98" t="s">
        <v>42</v>
      </c>
      <c r="T98">
        <v>1</v>
      </c>
      <c r="U98" t="s">
        <v>2541</v>
      </c>
    </row>
    <row r="99" spans="1:23" x14ac:dyDescent="0.25">
      <c r="A99" s="34" t="s">
        <v>2556</v>
      </c>
      <c r="B99" t="s">
        <v>2542</v>
      </c>
      <c r="C99" t="s">
        <v>2551</v>
      </c>
      <c r="D99" t="s">
        <v>2552</v>
      </c>
      <c r="E99" t="s">
        <v>29</v>
      </c>
      <c r="F99">
        <v>1</v>
      </c>
      <c r="G99">
        <f ca="1">G97+W97</f>
        <v>52826.16</v>
      </c>
      <c r="H99">
        <f t="shared" ca="1" si="4"/>
        <v>44021.8</v>
      </c>
      <c r="L99">
        <f t="shared" ca="1" si="5"/>
        <v>44021.8</v>
      </c>
      <c r="O99" t="s">
        <v>2450</v>
      </c>
      <c r="P99">
        <v>7806155468</v>
      </c>
      <c r="Q99">
        <v>780601001</v>
      </c>
      <c r="R99" t="s">
        <v>41</v>
      </c>
      <c r="S99" t="s">
        <v>42</v>
      </c>
      <c r="T99">
        <v>1</v>
      </c>
      <c r="U99" t="s">
        <v>2541</v>
      </c>
    </row>
    <row r="100" spans="1:23" x14ac:dyDescent="0.25">
      <c r="A100" s="34" t="s">
        <v>2561</v>
      </c>
      <c r="B100" s="33" t="s">
        <v>2560</v>
      </c>
      <c r="C100" s="33" t="s">
        <v>2557</v>
      </c>
      <c r="D100" s="33" t="s">
        <v>2558</v>
      </c>
      <c r="E100" s="33" t="s">
        <v>29</v>
      </c>
      <c r="F100" s="33">
        <v>1</v>
      </c>
      <c r="G100" s="33" t="s">
        <v>2559</v>
      </c>
      <c r="H100" s="33">
        <f t="shared" si="4"/>
        <v>11884.166666666668</v>
      </c>
      <c r="I100" s="33"/>
      <c r="J100" s="33"/>
      <c r="K100" s="33"/>
      <c r="L100" s="33">
        <f t="shared" si="5"/>
        <v>11884.166666666668</v>
      </c>
      <c r="M100" s="33"/>
      <c r="N100" s="33"/>
      <c r="O100" s="33" t="s">
        <v>40</v>
      </c>
      <c r="P100" s="33">
        <v>7806155468</v>
      </c>
      <c r="Q100" s="33">
        <v>780601001</v>
      </c>
      <c r="R100" s="33" t="s">
        <v>41</v>
      </c>
      <c r="S100" s="33" t="s">
        <v>42</v>
      </c>
      <c r="T100" s="33">
        <v>1</v>
      </c>
      <c r="U100" s="33" t="s">
        <v>2533</v>
      </c>
      <c r="V100">
        <f ca="1">G100/100*RANDBETWEEN(3,5)</f>
        <v>713.05000000000007</v>
      </c>
      <c r="W100">
        <f ca="1">G100/100*RANDBETWEEN(6,8)</f>
        <v>1140.8800000000001</v>
      </c>
    </row>
    <row r="101" spans="1:23" x14ac:dyDescent="0.25">
      <c r="A101" s="34" t="s">
        <v>2562</v>
      </c>
      <c r="B101" t="s">
        <v>2560</v>
      </c>
      <c r="C101" t="s">
        <v>2557</v>
      </c>
      <c r="D101" t="s">
        <v>2558</v>
      </c>
      <c r="E101" t="s">
        <v>29</v>
      </c>
      <c r="F101">
        <v>1</v>
      </c>
      <c r="G101">
        <f ca="1">G100+V100</f>
        <v>14974.05</v>
      </c>
      <c r="H101">
        <f t="shared" ca="1" si="4"/>
        <v>12478.375</v>
      </c>
      <c r="L101">
        <f t="shared" ca="1" si="5"/>
        <v>12478.375</v>
      </c>
      <c r="O101" t="s">
        <v>2449</v>
      </c>
      <c r="P101">
        <v>7806155468</v>
      </c>
      <c r="Q101">
        <v>780601001</v>
      </c>
      <c r="R101" t="s">
        <v>41</v>
      </c>
      <c r="S101" t="s">
        <v>42</v>
      </c>
      <c r="T101">
        <v>1</v>
      </c>
      <c r="U101" t="s">
        <v>2533</v>
      </c>
    </row>
    <row r="102" spans="1:23" x14ac:dyDescent="0.25">
      <c r="A102" s="34" t="s">
        <v>2563</v>
      </c>
      <c r="B102" t="s">
        <v>2560</v>
      </c>
      <c r="C102" t="s">
        <v>2557</v>
      </c>
      <c r="D102" t="s">
        <v>2558</v>
      </c>
      <c r="E102" t="s">
        <v>29</v>
      </c>
      <c r="F102">
        <v>1</v>
      </c>
      <c r="G102">
        <f ca="1">G100+W100</f>
        <v>15401.880000000001</v>
      </c>
      <c r="H102">
        <f t="shared" ca="1" si="4"/>
        <v>12834.900000000001</v>
      </c>
      <c r="L102">
        <f t="shared" ca="1" si="5"/>
        <v>12834.900000000001</v>
      </c>
      <c r="O102" t="s">
        <v>2450</v>
      </c>
      <c r="P102">
        <v>7806155468</v>
      </c>
      <c r="Q102">
        <v>780601001</v>
      </c>
      <c r="R102" t="s">
        <v>41</v>
      </c>
      <c r="S102" t="s">
        <v>42</v>
      </c>
      <c r="T102">
        <v>1</v>
      </c>
      <c r="U102" t="s">
        <v>2533</v>
      </c>
    </row>
    <row r="103" spans="1:23" x14ac:dyDescent="0.25">
      <c r="A103" s="34" t="s">
        <v>2565</v>
      </c>
      <c r="B103" s="33" t="s">
        <v>2560</v>
      </c>
      <c r="C103" s="33" t="s">
        <v>2564</v>
      </c>
      <c r="D103" s="33" t="s">
        <v>2558</v>
      </c>
      <c r="E103" s="33" t="s">
        <v>29</v>
      </c>
      <c r="F103" s="33">
        <v>1</v>
      </c>
      <c r="G103" s="33" t="s">
        <v>2559</v>
      </c>
      <c r="H103" s="33">
        <f t="shared" si="4"/>
        <v>11884.166666666668</v>
      </c>
      <c r="I103" s="33"/>
      <c r="J103" s="33"/>
      <c r="K103" s="33"/>
      <c r="L103" s="33">
        <f t="shared" si="5"/>
        <v>11884.166666666668</v>
      </c>
      <c r="M103" s="33"/>
      <c r="N103" s="33"/>
      <c r="O103" s="33" t="s">
        <v>40</v>
      </c>
      <c r="P103" s="33">
        <v>7806155468</v>
      </c>
      <c r="Q103" s="33">
        <v>780601001</v>
      </c>
      <c r="R103" s="33" t="s">
        <v>41</v>
      </c>
      <c r="S103" s="33" t="s">
        <v>42</v>
      </c>
      <c r="T103" s="33">
        <v>1</v>
      </c>
      <c r="U103" s="33" t="s">
        <v>2533</v>
      </c>
      <c r="V103">
        <f ca="1">G103/100*RANDBETWEEN(3,5)</f>
        <v>713.05000000000007</v>
      </c>
      <c r="W103">
        <f ca="1">G103/100*RANDBETWEEN(6,8)</f>
        <v>855.66000000000008</v>
      </c>
    </row>
    <row r="104" spans="1:23" x14ac:dyDescent="0.25">
      <c r="A104" s="34" t="s">
        <v>2566</v>
      </c>
      <c r="B104" t="s">
        <v>2560</v>
      </c>
      <c r="C104" t="s">
        <v>2564</v>
      </c>
      <c r="D104" t="s">
        <v>2558</v>
      </c>
      <c r="E104" t="s">
        <v>29</v>
      </c>
      <c r="F104">
        <v>1</v>
      </c>
      <c r="G104">
        <f ca="1">G103+V103</f>
        <v>14974.05</v>
      </c>
      <c r="H104">
        <f t="shared" ca="1" si="4"/>
        <v>12478.375</v>
      </c>
      <c r="L104">
        <f t="shared" ca="1" si="5"/>
        <v>12478.375</v>
      </c>
      <c r="O104" t="s">
        <v>2449</v>
      </c>
      <c r="P104">
        <v>7806155468</v>
      </c>
      <c r="Q104">
        <v>780601001</v>
      </c>
      <c r="R104" t="s">
        <v>41</v>
      </c>
      <c r="S104" t="s">
        <v>42</v>
      </c>
      <c r="T104">
        <v>1</v>
      </c>
      <c r="U104" t="s">
        <v>2533</v>
      </c>
    </row>
    <row r="105" spans="1:23" x14ac:dyDescent="0.25">
      <c r="A105" s="34" t="s">
        <v>2567</v>
      </c>
      <c r="B105" t="s">
        <v>2560</v>
      </c>
      <c r="C105" t="s">
        <v>2564</v>
      </c>
      <c r="D105" t="s">
        <v>2558</v>
      </c>
      <c r="E105" t="s">
        <v>29</v>
      </c>
      <c r="F105">
        <v>1</v>
      </c>
      <c r="G105">
        <f ca="1">G103+W103</f>
        <v>15116.66</v>
      </c>
      <c r="H105">
        <f t="shared" ca="1" si="4"/>
        <v>12597.216666666667</v>
      </c>
      <c r="L105">
        <f t="shared" ca="1" si="5"/>
        <v>12597.216666666667</v>
      </c>
      <c r="O105" t="s">
        <v>2450</v>
      </c>
      <c r="P105">
        <v>7806155468</v>
      </c>
      <c r="Q105">
        <v>780601001</v>
      </c>
      <c r="R105" t="s">
        <v>41</v>
      </c>
      <c r="S105" t="s">
        <v>42</v>
      </c>
      <c r="T105">
        <v>1</v>
      </c>
      <c r="U105" t="s">
        <v>2533</v>
      </c>
    </row>
    <row r="106" spans="1:23" x14ac:dyDescent="0.25">
      <c r="A106" s="34" t="s">
        <v>2572</v>
      </c>
      <c r="B106" s="33" t="s">
        <v>2571</v>
      </c>
      <c r="C106" s="33" t="s">
        <v>2568</v>
      </c>
      <c r="D106" s="33" t="s">
        <v>2569</v>
      </c>
      <c r="E106" s="33" t="s">
        <v>29</v>
      </c>
      <c r="F106" s="33">
        <v>1</v>
      </c>
      <c r="G106" s="33" t="s">
        <v>2570</v>
      </c>
      <c r="H106" s="33">
        <f t="shared" si="4"/>
        <v>170057.5</v>
      </c>
      <c r="I106" s="33"/>
      <c r="J106" s="33"/>
      <c r="K106" s="33"/>
      <c r="L106" s="33">
        <f t="shared" si="5"/>
        <v>170057.5</v>
      </c>
      <c r="M106" s="33"/>
      <c r="N106" s="33"/>
      <c r="O106" s="33" t="s">
        <v>40</v>
      </c>
      <c r="P106" s="33">
        <v>7806155468</v>
      </c>
      <c r="Q106" s="33">
        <v>780601001</v>
      </c>
      <c r="R106" s="33" t="s">
        <v>41</v>
      </c>
      <c r="S106" s="33" t="s">
        <v>42</v>
      </c>
      <c r="T106" s="33">
        <v>1</v>
      </c>
      <c r="U106" s="33" t="s">
        <v>2533</v>
      </c>
      <c r="V106">
        <f ca="1">G106/100*RANDBETWEEN(3,5)</f>
        <v>10203.450000000001</v>
      </c>
      <c r="W106">
        <f ca="1">G106/100*RANDBETWEEN(6,8)</f>
        <v>16325.52</v>
      </c>
    </row>
    <row r="107" spans="1:23" x14ac:dyDescent="0.25">
      <c r="A107" s="34" t="s">
        <v>2573</v>
      </c>
      <c r="B107" t="s">
        <v>2571</v>
      </c>
      <c r="C107" t="s">
        <v>2568</v>
      </c>
      <c r="D107" t="s">
        <v>2569</v>
      </c>
      <c r="E107" t="s">
        <v>29</v>
      </c>
      <c r="F107">
        <v>1</v>
      </c>
      <c r="G107">
        <f ca="1">G106+V106</f>
        <v>214272.45</v>
      </c>
      <c r="H107">
        <f t="shared" ca="1" si="4"/>
        <v>178560.37500000003</v>
      </c>
      <c r="L107">
        <f t="shared" ca="1" si="5"/>
        <v>178560.37500000003</v>
      </c>
      <c r="O107" t="s">
        <v>2449</v>
      </c>
      <c r="P107">
        <v>7806155468</v>
      </c>
      <c r="Q107">
        <v>780601001</v>
      </c>
      <c r="R107" t="s">
        <v>41</v>
      </c>
      <c r="S107" t="s">
        <v>42</v>
      </c>
      <c r="T107">
        <v>1</v>
      </c>
      <c r="U107" t="s">
        <v>2533</v>
      </c>
    </row>
    <row r="108" spans="1:23" x14ac:dyDescent="0.25">
      <c r="A108" s="34" t="s">
        <v>2574</v>
      </c>
      <c r="B108" t="s">
        <v>2571</v>
      </c>
      <c r="C108" t="s">
        <v>2568</v>
      </c>
      <c r="D108" t="s">
        <v>2569</v>
      </c>
      <c r="E108" t="s">
        <v>29</v>
      </c>
      <c r="F108">
        <v>1</v>
      </c>
      <c r="G108">
        <f ca="1">G106+W106</f>
        <v>220394.52</v>
      </c>
      <c r="H108">
        <f t="shared" ca="1" si="4"/>
        <v>183662.1</v>
      </c>
      <c r="L108">
        <f t="shared" ca="1" si="5"/>
        <v>183662.1</v>
      </c>
      <c r="O108" t="s">
        <v>2450</v>
      </c>
      <c r="P108">
        <v>7806155468</v>
      </c>
      <c r="Q108">
        <v>780601001</v>
      </c>
      <c r="R108" t="s">
        <v>41</v>
      </c>
      <c r="S108" t="s">
        <v>42</v>
      </c>
      <c r="T108">
        <v>1</v>
      </c>
      <c r="U108" t="s">
        <v>2533</v>
      </c>
    </row>
    <row r="109" spans="1:23" x14ac:dyDescent="0.25">
      <c r="A109" s="34" t="s">
        <v>2578</v>
      </c>
      <c r="B109" s="33" t="s">
        <v>2577</v>
      </c>
      <c r="C109" s="33" t="s">
        <v>2367</v>
      </c>
      <c r="D109" s="33" t="s">
        <v>2575</v>
      </c>
      <c r="E109" s="33" t="s">
        <v>29</v>
      </c>
      <c r="F109" s="33">
        <v>1</v>
      </c>
      <c r="G109" s="33" t="s">
        <v>2576</v>
      </c>
      <c r="H109" s="33">
        <f t="shared" si="4"/>
        <v>41990.833333333336</v>
      </c>
      <c r="I109" s="33"/>
      <c r="J109" s="33"/>
      <c r="K109" s="33"/>
      <c r="L109" s="33">
        <f t="shared" si="5"/>
        <v>41990.833333333336</v>
      </c>
      <c r="M109" s="33"/>
      <c r="N109" s="33"/>
      <c r="O109" s="33" t="s">
        <v>40</v>
      </c>
      <c r="P109" s="33">
        <v>7806155468</v>
      </c>
      <c r="Q109" s="33">
        <v>780601001</v>
      </c>
      <c r="R109" s="33" t="s">
        <v>41</v>
      </c>
      <c r="S109" s="33" t="s">
        <v>42</v>
      </c>
      <c r="T109" s="33">
        <v>1</v>
      </c>
      <c r="U109" s="33" t="s">
        <v>2423</v>
      </c>
      <c r="V109">
        <f ca="1">G109/100*RANDBETWEEN(3,5)</f>
        <v>2015.56</v>
      </c>
      <c r="W109">
        <f ca="1">G109/100*RANDBETWEEN(6,8)</f>
        <v>3527.23</v>
      </c>
    </row>
    <row r="110" spans="1:23" x14ac:dyDescent="0.25">
      <c r="A110" s="34" t="s">
        <v>2579</v>
      </c>
      <c r="B110" t="s">
        <v>2577</v>
      </c>
      <c r="C110" t="s">
        <v>2367</v>
      </c>
      <c r="D110" t="s">
        <v>2575</v>
      </c>
      <c r="E110" t="s">
        <v>29</v>
      </c>
      <c r="F110">
        <v>1</v>
      </c>
      <c r="G110">
        <f ca="1">G109+V109</f>
        <v>52404.56</v>
      </c>
      <c r="H110">
        <f t="shared" ca="1" si="4"/>
        <v>43670.466666666667</v>
      </c>
      <c r="L110">
        <f t="shared" ca="1" si="5"/>
        <v>43670.466666666667</v>
      </c>
      <c r="O110" t="s">
        <v>2449</v>
      </c>
      <c r="P110">
        <v>7806155468</v>
      </c>
      <c r="Q110">
        <v>780601001</v>
      </c>
      <c r="R110" t="s">
        <v>41</v>
      </c>
      <c r="S110" t="s">
        <v>42</v>
      </c>
      <c r="T110">
        <v>1</v>
      </c>
      <c r="U110" t="s">
        <v>2423</v>
      </c>
    </row>
    <row r="111" spans="1:23" x14ac:dyDescent="0.25">
      <c r="A111" s="34" t="s">
        <v>2580</v>
      </c>
      <c r="B111" t="s">
        <v>2577</v>
      </c>
      <c r="C111" t="s">
        <v>2367</v>
      </c>
      <c r="D111" t="s">
        <v>2575</v>
      </c>
      <c r="E111" t="s">
        <v>29</v>
      </c>
      <c r="F111">
        <v>1</v>
      </c>
      <c r="G111">
        <f ca="1">G109+W109</f>
        <v>53916.23</v>
      </c>
      <c r="H111">
        <f t="shared" ca="1" si="4"/>
        <v>44930.191666666673</v>
      </c>
      <c r="L111">
        <f t="shared" ca="1" si="5"/>
        <v>44930.191666666673</v>
      </c>
      <c r="O111" t="s">
        <v>2450</v>
      </c>
      <c r="P111">
        <v>7806155468</v>
      </c>
      <c r="Q111">
        <v>780601001</v>
      </c>
      <c r="R111" t="s">
        <v>41</v>
      </c>
      <c r="S111" t="s">
        <v>42</v>
      </c>
      <c r="T111">
        <v>1</v>
      </c>
      <c r="U111" t="s">
        <v>2423</v>
      </c>
    </row>
    <row r="112" spans="1:23" x14ac:dyDescent="0.25">
      <c r="A112" s="34" t="s">
        <v>2582</v>
      </c>
      <c r="B112" s="33" t="s">
        <v>2577</v>
      </c>
      <c r="C112" s="33" t="s">
        <v>2368</v>
      </c>
      <c r="D112" s="33" t="s">
        <v>2530</v>
      </c>
      <c r="E112" s="33" t="s">
        <v>29</v>
      </c>
      <c r="F112" s="33">
        <v>3</v>
      </c>
      <c r="G112" s="33" t="s">
        <v>2581</v>
      </c>
      <c r="H112" s="33">
        <f t="shared" si="4"/>
        <v>35209.166666666672</v>
      </c>
      <c r="I112" s="33"/>
      <c r="J112" s="33"/>
      <c r="K112" s="33"/>
      <c r="L112" s="33">
        <f t="shared" si="5"/>
        <v>35209.166666666672</v>
      </c>
      <c r="M112" s="33"/>
      <c r="N112" s="33"/>
      <c r="O112" s="33" t="s">
        <v>40</v>
      </c>
      <c r="P112" s="33">
        <v>7806155468</v>
      </c>
      <c r="Q112" s="33">
        <v>780601001</v>
      </c>
      <c r="R112" s="33" t="s">
        <v>41</v>
      </c>
      <c r="S112" s="33" t="s">
        <v>42</v>
      </c>
      <c r="T112" s="33">
        <v>1</v>
      </c>
      <c r="U112" s="33" t="s">
        <v>2423</v>
      </c>
      <c r="V112">
        <f ca="1">G112/100*RANDBETWEEN(3,5)</f>
        <v>2112.5500000000002</v>
      </c>
      <c r="W112">
        <f ca="1">G112/100*RANDBETWEEN(6,8)</f>
        <v>3380.08</v>
      </c>
    </row>
    <row r="113" spans="1:23" x14ac:dyDescent="0.25">
      <c r="A113" s="34" t="s">
        <v>2583</v>
      </c>
      <c r="B113" t="s">
        <v>2577</v>
      </c>
      <c r="C113" t="s">
        <v>2368</v>
      </c>
      <c r="D113" t="s">
        <v>2530</v>
      </c>
      <c r="E113" t="s">
        <v>29</v>
      </c>
      <c r="F113">
        <v>3</v>
      </c>
      <c r="G113">
        <f ca="1">G112+V112</f>
        <v>44363.55</v>
      </c>
      <c r="H113">
        <f t="shared" ca="1" si="4"/>
        <v>36969.625000000007</v>
      </c>
      <c r="L113">
        <f t="shared" ca="1" si="5"/>
        <v>36969.625000000007</v>
      </c>
      <c r="O113" t="s">
        <v>2449</v>
      </c>
      <c r="P113">
        <v>7806155468</v>
      </c>
      <c r="Q113">
        <v>780601001</v>
      </c>
      <c r="R113" t="s">
        <v>41</v>
      </c>
      <c r="S113" t="s">
        <v>42</v>
      </c>
      <c r="T113">
        <v>1</v>
      </c>
      <c r="U113" t="s">
        <v>2423</v>
      </c>
    </row>
    <row r="114" spans="1:23" x14ac:dyDescent="0.25">
      <c r="A114" s="34" t="s">
        <v>2584</v>
      </c>
      <c r="B114" t="s">
        <v>2577</v>
      </c>
      <c r="C114" t="s">
        <v>2368</v>
      </c>
      <c r="D114" t="s">
        <v>2530</v>
      </c>
      <c r="E114" t="s">
        <v>29</v>
      </c>
      <c r="F114">
        <v>3</v>
      </c>
      <c r="G114">
        <f ca="1">G112+W112</f>
        <v>45631.08</v>
      </c>
      <c r="H114">
        <f t="shared" ca="1" si="4"/>
        <v>38025.9</v>
      </c>
      <c r="L114">
        <f t="shared" ca="1" si="5"/>
        <v>38025.9</v>
      </c>
      <c r="O114" t="s">
        <v>2450</v>
      </c>
      <c r="P114">
        <v>7806155468</v>
      </c>
      <c r="Q114">
        <v>780601001</v>
      </c>
      <c r="R114" t="s">
        <v>41</v>
      </c>
      <c r="S114" t="s">
        <v>42</v>
      </c>
      <c r="T114">
        <v>1</v>
      </c>
      <c r="U114" t="s">
        <v>2423</v>
      </c>
    </row>
    <row r="115" spans="1:23" x14ac:dyDescent="0.25">
      <c r="A115" s="34" t="s">
        <v>2586</v>
      </c>
      <c r="B115" s="33" t="s">
        <v>2577</v>
      </c>
      <c r="C115" s="33" t="s">
        <v>2369</v>
      </c>
      <c r="D115" s="33" t="s">
        <v>2530</v>
      </c>
      <c r="E115" s="33" t="s">
        <v>29</v>
      </c>
      <c r="F115" s="33">
        <v>1</v>
      </c>
      <c r="G115" s="33" t="s">
        <v>2585</v>
      </c>
      <c r="H115" s="33">
        <f t="shared" si="4"/>
        <v>33488.333333333336</v>
      </c>
      <c r="I115" s="33"/>
      <c r="J115" s="33"/>
      <c r="K115" s="33"/>
      <c r="L115" s="33">
        <f t="shared" si="5"/>
        <v>33488.333333333336</v>
      </c>
      <c r="M115" s="33"/>
      <c r="N115" s="33"/>
      <c r="O115" s="33" t="s">
        <v>40</v>
      </c>
      <c r="P115" s="33">
        <v>7806155468</v>
      </c>
      <c r="Q115" s="33">
        <v>780601001</v>
      </c>
      <c r="R115" s="33" t="s">
        <v>41</v>
      </c>
      <c r="S115" s="33" t="s">
        <v>42</v>
      </c>
      <c r="T115" s="33">
        <v>1</v>
      </c>
      <c r="U115" s="33" t="s">
        <v>2423</v>
      </c>
      <c r="V115">
        <f ca="1">G115/100*RANDBETWEEN(3,5)</f>
        <v>1607.44</v>
      </c>
      <c r="W115">
        <f ca="1">G115/100*RANDBETWEEN(6,8)</f>
        <v>2813.02</v>
      </c>
    </row>
    <row r="116" spans="1:23" x14ac:dyDescent="0.25">
      <c r="A116" s="34" t="s">
        <v>2587</v>
      </c>
      <c r="B116" t="s">
        <v>2577</v>
      </c>
      <c r="C116" t="s">
        <v>2369</v>
      </c>
      <c r="D116" t="s">
        <v>2530</v>
      </c>
      <c r="E116" t="s">
        <v>29</v>
      </c>
      <c r="F116">
        <v>1</v>
      </c>
      <c r="G116">
        <f ca="1">G115+V115</f>
        <v>41793.440000000002</v>
      </c>
      <c r="H116">
        <f t="shared" ca="1" si="4"/>
        <v>34827.866666666669</v>
      </c>
      <c r="L116">
        <f t="shared" ca="1" si="5"/>
        <v>34827.866666666669</v>
      </c>
      <c r="O116" t="s">
        <v>2449</v>
      </c>
      <c r="P116">
        <v>7806155468</v>
      </c>
      <c r="Q116">
        <v>780601001</v>
      </c>
      <c r="R116" t="s">
        <v>41</v>
      </c>
      <c r="S116" t="s">
        <v>42</v>
      </c>
      <c r="T116">
        <v>1</v>
      </c>
      <c r="U116" t="s">
        <v>2423</v>
      </c>
    </row>
    <row r="117" spans="1:23" x14ac:dyDescent="0.25">
      <c r="A117" s="34" t="s">
        <v>2588</v>
      </c>
      <c r="B117" t="s">
        <v>2577</v>
      </c>
      <c r="C117" t="s">
        <v>2369</v>
      </c>
      <c r="D117" t="s">
        <v>2530</v>
      </c>
      <c r="E117" t="s">
        <v>29</v>
      </c>
      <c r="F117">
        <v>1</v>
      </c>
      <c r="G117">
        <f ca="1">G115+W115</f>
        <v>42999.02</v>
      </c>
      <c r="H117">
        <f t="shared" ca="1" si="4"/>
        <v>35832.516666666663</v>
      </c>
      <c r="L117">
        <f t="shared" ca="1" si="5"/>
        <v>35832.516666666663</v>
      </c>
      <c r="O117" t="s">
        <v>2450</v>
      </c>
      <c r="P117">
        <v>7806155468</v>
      </c>
      <c r="Q117">
        <v>780601001</v>
      </c>
      <c r="R117" t="s">
        <v>41</v>
      </c>
      <c r="S117" t="s">
        <v>42</v>
      </c>
      <c r="T117">
        <v>1</v>
      </c>
      <c r="U117" t="s">
        <v>2423</v>
      </c>
    </row>
    <row r="118" spans="1:23" x14ac:dyDescent="0.25">
      <c r="A118" s="34" t="s">
        <v>2590</v>
      </c>
      <c r="B118" s="33" t="s">
        <v>2577</v>
      </c>
      <c r="C118" s="33" t="s">
        <v>2370</v>
      </c>
      <c r="D118" s="33" t="s">
        <v>2530</v>
      </c>
      <c r="E118" s="33" t="s">
        <v>29</v>
      </c>
      <c r="F118" s="33">
        <v>1</v>
      </c>
      <c r="G118" s="33" t="s">
        <v>2589</v>
      </c>
      <c r="H118" s="33">
        <f t="shared" si="4"/>
        <v>40690.833333333336</v>
      </c>
      <c r="I118" s="33"/>
      <c r="J118" s="33"/>
      <c r="K118" s="33"/>
      <c r="L118" s="33">
        <f t="shared" si="5"/>
        <v>40690.833333333336</v>
      </c>
      <c r="M118" s="33"/>
      <c r="N118" s="33"/>
      <c r="O118" s="33" t="s">
        <v>40</v>
      </c>
      <c r="P118" s="33">
        <v>7806155468</v>
      </c>
      <c r="Q118" s="33">
        <v>780601001</v>
      </c>
      <c r="R118" s="33" t="s">
        <v>41</v>
      </c>
      <c r="S118" s="33" t="s">
        <v>42</v>
      </c>
      <c r="T118" s="33">
        <v>1</v>
      </c>
      <c r="U118" s="33" t="s">
        <v>2423</v>
      </c>
      <c r="V118">
        <f ca="1">G118/100*RANDBETWEEN(3,5)</f>
        <v>1464.8700000000001</v>
      </c>
      <c r="W118">
        <f ca="1">G118/100*RANDBETWEEN(6,8)</f>
        <v>2929.7400000000002</v>
      </c>
    </row>
    <row r="119" spans="1:23" x14ac:dyDescent="0.25">
      <c r="A119" s="34" t="s">
        <v>2591</v>
      </c>
      <c r="B119" t="s">
        <v>2577</v>
      </c>
      <c r="C119" t="s">
        <v>2370</v>
      </c>
      <c r="D119" t="s">
        <v>2530</v>
      </c>
      <c r="E119" t="s">
        <v>29</v>
      </c>
      <c r="F119">
        <v>1</v>
      </c>
      <c r="G119">
        <f ca="1">G118+V118</f>
        <v>50293.87</v>
      </c>
      <c r="H119">
        <f t="shared" ca="1" si="4"/>
        <v>41911.558333333334</v>
      </c>
      <c r="L119">
        <f t="shared" ca="1" si="5"/>
        <v>41911.558333333334</v>
      </c>
      <c r="O119" t="s">
        <v>2449</v>
      </c>
      <c r="P119">
        <v>7806155468</v>
      </c>
      <c r="Q119">
        <v>780601001</v>
      </c>
      <c r="R119" t="s">
        <v>41</v>
      </c>
      <c r="S119" t="s">
        <v>42</v>
      </c>
      <c r="T119">
        <v>1</v>
      </c>
      <c r="U119" t="s">
        <v>2423</v>
      </c>
    </row>
    <row r="120" spans="1:23" x14ac:dyDescent="0.25">
      <c r="A120" s="34" t="s">
        <v>2592</v>
      </c>
      <c r="B120" t="s">
        <v>2577</v>
      </c>
      <c r="C120" t="s">
        <v>2370</v>
      </c>
      <c r="D120" t="s">
        <v>2530</v>
      </c>
      <c r="E120" t="s">
        <v>29</v>
      </c>
      <c r="F120">
        <v>1</v>
      </c>
      <c r="G120">
        <f ca="1">G118+W118</f>
        <v>51758.74</v>
      </c>
      <c r="H120">
        <f t="shared" ca="1" si="4"/>
        <v>43132.283333333333</v>
      </c>
      <c r="L120">
        <f t="shared" ca="1" si="5"/>
        <v>43132.283333333333</v>
      </c>
      <c r="O120" t="s">
        <v>2450</v>
      </c>
      <c r="P120">
        <v>7806155468</v>
      </c>
      <c r="Q120">
        <v>780601001</v>
      </c>
      <c r="R120" t="s">
        <v>41</v>
      </c>
      <c r="S120" t="s">
        <v>42</v>
      </c>
      <c r="T120">
        <v>1</v>
      </c>
      <c r="U120" t="s">
        <v>2423</v>
      </c>
    </row>
    <row r="121" spans="1:23" x14ac:dyDescent="0.25">
      <c r="A121" s="34" t="s">
        <v>2595</v>
      </c>
      <c r="B121" s="33" t="s">
        <v>2577</v>
      </c>
      <c r="C121" s="33" t="s">
        <v>2593</v>
      </c>
      <c r="D121" s="33" t="s">
        <v>2530</v>
      </c>
      <c r="E121" s="33" t="s">
        <v>29</v>
      </c>
      <c r="F121" s="33">
        <v>1</v>
      </c>
      <c r="G121" s="33" t="s">
        <v>2594</v>
      </c>
      <c r="H121" s="33">
        <f t="shared" si="4"/>
        <v>24883.333333333336</v>
      </c>
      <c r="I121" s="33"/>
      <c r="J121" s="33"/>
      <c r="K121" s="33"/>
      <c r="L121" s="33">
        <f t="shared" si="5"/>
        <v>24883.333333333336</v>
      </c>
      <c r="M121" s="33"/>
      <c r="N121" s="33"/>
      <c r="O121" s="33" t="s">
        <v>40</v>
      </c>
      <c r="P121" s="33">
        <v>7806155468</v>
      </c>
      <c r="Q121" s="33">
        <v>780601001</v>
      </c>
      <c r="R121" s="33" t="s">
        <v>41</v>
      </c>
      <c r="S121" s="33" t="s">
        <v>42</v>
      </c>
      <c r="T121" s="33">
        <v>1</v>
      </c>
      <c r="U121" s="33" t="s">
        <v>2423</v>
      </c>
      <c r="V121">
        <f ca="1">G121/100*RANDBETWEEN(3,5)</f>
        <v>1493</v>
      </c>
      <c r="W121">
        <f ca="1">G121/100*RANDBETWEEN(6,8)</f>
        <v>2388.8000000000002</v>
      </c>
    </row>
    <row r="122" spans="1:23" x14ac:dyDescent="0.25">
      <c r="A122" s="34" t="s">
        <v>2596</v>
      </c>
      <c r="B122" t="s">
        <v>2577</v>
      </c>
      <c r="C122" t="s">
        <v>2593</v>
      </c>
      <c r="D122" t="s">
        <v>2530</v>
      </c>
      <c r="E122" t="s">
        <v>29</v>
      </c>
      <c r="F122">
        <v>1</v>
      </c>
      <c r="G122">
        <f ca="1">G121+V121</f>
        <v>31353</v>
      </c>
      <c r="H122">
        <f t="shared" ca="1" si="4"/>
        <v>26127.5</v>
      </c>
      <c r="L122">
        <f t="shared" ca="1" si="5"/>
        <v>26127.5</v>
      </c>
      <c r="O122" t="s">
        <v>2449</v>
      </c>
      <c r="P122">
        <v>7806155468</v>
      </c>
      <c r="Q122">
        <v>780601001</v>
      </c>
      <c r="R122" t="s">
        <v>41</v>
      </c>
      <c r="S122" t="s">
        <v>42</v>
      </c>
      <c r="T122">
        <v>1</v>
      </c>
      <c r="U122" t="s">
        <v>2423</v>
      </c>
    </row>
    <row r="123" spans="1:23" x14ac:dyDescent="0.25">
      <c r="A123" s="34" t="s">
        <v>2597</v>
      </c>
      <c r="B123" t="s">
        <v>2577</v>
      </c>
      <c r="C123" t="s">
        <v>2593</v>
      </c>
      <c r="D123" t="s">
        <v>2530</v>
      </c>
      <c r="E123" t="s">
        <v>29</v>
      </c>
      <c r="F123">
        <v>1</v>
      </c>
      <c r="G123">
        <f ca="1">G121+W121</f>
        <v>32248.799999999999</v>
      </c>
      <c r="H123">
        <f t="shared" ca="1" si="4"/>
        <v>26874</v>
      </c>
      <c r="L123">
        <f t="shared" ca="1" si="5"/>
        <v>26874</v>
      </c>
      <c r="O123" t="s">
        <v>2450</v>
      </c>
      <c r="P123">
        <v>7806155468</v>
      </c>
      <c r="Q123">
        <v>780601001</v>
      </c>
      <c r="R123" t="s">
        <v>41</v>
      </c>
      <c r="S123" t="s">
        <v>42</v>
      </c>
      <c r="T123">
        <v>1</v>
      </c>
      <c r="U123" t="s">
        <v>2423</v>
      </c>
    </row>
    <row r="124" spans="1:23" x14ac:dyDescent="0.25">
      <c r="A124" s="34" t="s">
        <v>2602</v>
      </c>
      <c r="B124" s="33" t="s">
        <v>2601</v>
      </c>
      <c r="C124" s="33" t="s">
        <v>2598</v>
      </c>
      <c r="D124" s="33" t="s">
        <v>2599</v>
      </c>
      <c r="E124" s="33" t="s">
        <v>29</v>
      </c>
      <c r="F124" s="33">
        <v>21</v>
      </c>
      <c r="G124" s="33" t="s">
        <v>2600</v>
      </c>
      <c r="H124" s="33">
        <f t="shared" si="4"/>
        <v>31740.833333333336</v>
      </c>
      <c r="I124" s="33"/>
      <c r="J124" s="33"/>
      <c r="K124" s="33"/>
      <c r="L124" s="33">
        <f t="shared" si="5"/>
        <v>31740.833333333336</v>
      </c>
      <c r="M124" s="33"/>
      <c r="N124" s="33"/>
      <c r="O124" s="33" t="s">
        <v>40</v>
      </c>
      <c r="P124" s="33">
        <v>7806155468</v>
      </c>
      <c r="Q124" s="33">
        <v>780601001</v>
      </c>
      <c r="R124" s="33" t="s">
        <v>41</v>
      </c>
      <c r="S124" s="33" t="s">
        <v>42</v>
      </c>
      <c r="T124" s="33">
        <v>1</v>
      </c>
      <c r="U124" s="33" t="s">
        <v>2423</v>
      </c>
      <c r="V124">
        <f ca="1">G124/100*RANDBETWEEN(3,5)</f>
        <v>1142.67</v>
      </c>
      <c r="W124">
        <f ca="1">G124/100*RANDBETWEEN(6,8)</f>
        <v>2285.34</v>
      </c>
    </row>
    <row r="125" spans="1:23" x14ac:dyDescent="0.25">
      <c r="A125" s="34" t="s">
        <v>2603</v>
      </c>
      <c r="B125" t="s">
        <v>2601</v>
      </c>
      <c r="C125" t="s">
        <v>2598</v>
      </c>
      <c r="D125" t="s">
        <v>2599</v>
      </c>
      <c r="E125" t="s">
        <v>29</v>
      </c>
      <c r="F125">
        <v>21</v>
      </c>
      <c r="G125">
        <f ca="1">G124+V124</f>
        <v>39231.67</v>
      </c>
      <c r="H125">
        <f t="shared" ca="1" si="4"/>
        <v>32693.058333333334</v>
      </c>
      <c r="L125">
        <f t="shared" ca="1" si="5"/>
        <v>32693.058333333334</v>
      </c>
      <c r="O125" t="s">
        <v>2449</v>
      </c>
      <c r="P125">
        <v>7806155468</v>
      </c>
      <c r="Q125">
        <v>780601001</v>
      </c>
      <c r="R125" t="s">
        <v>41</v>
      </c>
      <c r="S125" t="s">
        <v>42</v>
      </c>
      <c r="T125">
        <v>1</v>
      </c>
      <c r="U125" t="s">
        <v>2423</v>
      </c>
    </row>
    <row r="126" spans="1:23" x14ac:dyDescent="0.25">
      <c r="A126" s="34" t="s">
        <v>2604</v>
      </c>
      <c r="B126" t="s">
        <v>2601</v>
      </c>
      <c r="C126" t="s">
        <v>2598</v>
      </c>
      <c r="D126" t="s">
        <v>2599</v>
      </c>
      <c r="E126" t="s">
        <v>29</v>
      </c>
      <c r="F126">
        <v>21</v>
      </c>
      <c r="G126">
        <f ca="1">G124+W124</f>
        <v>40374.339999999997</v>
      </c>
      <c r="H126">
        <f t="shared" ca="1" si="4"/>
        <v>33645.283333333333</v>
      </c>
      <c r="L126">
        <f t="shared" ca="1" si="5"/>
        <v>33645.283333333333</v>
      </c>
      <c r="O126" t="s">
        <v>2450</v>
      </c>
      <c r="P126">
        <v>7806155468</v>
      </c>
      <c r="Q126">
        <v>780601001</v>
      </c>
      <c r="R126" t="s">
        <v>41</v>
      </c>
      <c r="S126" t="s">
        <v>42</v>
      </c>
      <c r="T126">
        <v>1</v>
      </c>
      <c r="U126" t="s">
        <v>2423</v>
      </c>
    </row>
    <row r="127" spans="1:23" x14ac:dyDescent="0.25">
      <c r="A127" s="34" t="s">
        <v>2607</v>
      </c>
      <c r="B127" s="33" t="s">
        <v>2601</v>
      </c>
      <c r="C127" s="33" t="s">
        <v>2605</v>
      </c>
      <c r="D127" s="33" t="s">
        <v>2606</v>
      </c>
      <c r="E127" s="33" t="s">
        <v>29</v>
      </c>
      <c r="F127" s="33">
        <v>1</v>
      </c>
      <c r="G127" s="33" t="s">
        <v>2600</v>
      </c>
      <c r="H127" s="33">
        <f t="shared" si="4"/>
        <v>31740.833333333336</v>
      </c>
      <c r="I127" s="33"/>
      <c r="J127" s="33"/>
      <c r="K127" s="33"/>
      <c r="L127" s="33">
        <f t="shared" si="5"/>
        <v>31740.833333333336</v>
      </c>
      <c r="M127" s="33"/>
      <c r="N127" s="33"/>
      <c r="O127" s="33" t="s">
        <v>40</v>
      </c>
      <c r="P127" s="33">
        <v>7806155468</v>
      </c>
      <c r="Q127" s="33">
        <v>780601001</v>
      </c>
      <c r="R127" s="33" t="s">
        <v>41</v>
      </c>
      <c r="S127" s="33" t="s">
        <v>42</v>
      </c>
      <c r="T127" s="33">
        <v>1</v>
      </c>
      <c r="U127" s="33" t="s">
        <v>2423</v>
      </c>
      <c r="V127">
        <f ca="1">G127/100*RANDBETWEEN(3,5)</f>
        <v>1142.67</v>
      </c>
      <c r="W127">
        <f ca="1">G127/100*RANDBETWEEN(6,8)</f>
        <v>2666.23</v>
      </c>
    </row>
    <row r="128" spans="1:23" x14ac:dyDescent="0.25">
      <c r="A128" s="34" t="s">
        <v>2608</v>
      </c>
      <c r="B128" t="s">
        <v>2601</v>
      </c>
      <c r="C128" t="s">
        <v>2605</v>
      </c>
      <c r="D128" t="s">
        <v>2606</v>
      </c>
      <c r="E128" t="s">
        <v>29</v>
      </c>
      <c r="F128">
        <v>1</v>
      </c>
      <c r="G128">
        <f ca="1">G127+V127</f>
        <v>39231.67</v>
      </c>
      <c r="H128">
        <f t="shared" ca="1" si="4"/>
        <v>32693.058333333334</v>
      </c>
      <c r="L128">
        <f t="shared" ca="1" si="5"/>
        <v>32693.058333333334</v>
      </c>
      <c r="O128" t="s">
        <v>2449</v>
      </c>
      <c r="P128">
        <v>7806155468</v>
      </c>
      <c r="Q128">
        <v>780601001</v>
      </c>
      <c r="R128" t="s">
        <v>41</v>
      </c>
      <c r="S128" t="s">
        <v>42</v>
      </c>
      <c r="T128">
        <v>1</v>
      </c>
      <c r="U128" t="s">
        <v>2423</v>
      </c>
    </row>
    <row r="129" spans="1:23" x14ac:dyDescent="0.25">
      <c r="A129" s="34" t="s">
        <v>2609</v>
      </c>
      <c r="B129" t="s">
        <v>2601</v>
      </c>
      <c r="C129" t="s">
        <v>2605</v>
      </c>
      <c r="D129" t="s">
        <v>2606</v>
      </c>
      <c r="E129" t="s">
        <v>29</v>
      </c>
      <c r="F129">
        <v>1</v>
      </c>
      <c r="G129">
        <f ca="1">G127+W127</f>
        <v>40755.230000000003</v>
      </c>
      <c r="H129">
        <f t="shared" ca="1" si="4"/>
        <v>33962.691666666673</v>
      </c>
      <c r="L129">
        <f t="shared" ca="1" si="5"/>
        <v>33962.691666666673</v>
      </c>
      <c r="O129" t="s">
        <v>2450</v>
      </c>
      <c r="P129">
        <v>7806155468</v>
      </c>
      <c r="Q129">
        <v>780601001</v>
      </c>
      <c r="R129" t="s">
        <v>41</v>
      </c>
      <c r="S129" t="s">
        <v>42</v>
      </c>
      <c r="T129">
        <v>1</v>
      </c>
      <c r="U129" t="s">
        <v>2423</v>
      </c>
    </row>
    <row r="130" spans="1:23" x14ac:dyDescent="0.25">
      <c r="A130" s="34" t="s">
        <v>2611</v>
      </c>
      <c r="B130" s="33" t="s">
        <v>2601</v>
      </c>
      <c r="C130" s="33" t="s">
        <v>2610</v>
      </c>
      <c r="D130" s="33" t="s">
        <v>2606</v>
      </c>
      <c r="E130" s="33" t="s">
        <v>29</v>
      </c>
      <c r="F130" s="33">
        <v>1</v>
      </c>
      <c r="G130" s="33" t="s">
        <v>2600</v>
      </c>
      <c r="H130" s="33">
        <f t="shared" si="4"/>
        <v>31740.833333333336</v>
      </c>
      <c r="I130" s="33"/>
      <c r="J130" s="33"/>
      <c r="K130" s="33"/>
      <c r="L130" s="33">
        <f t="shared" si="5"/>
        <v>31740.833333333336</v>
      </c>
      <c r="M130" s="33"/>
      <c r="N130" s="33"/>
      <c r="O130" s="33" t="s">
        <v>40</v>
      </c>
      <c r="P130" s="33">
        <v>7806155468</v>
      </c>
      <c r="Q130" s="33">
        <v>780601001</v>
      </c>
      <c r="R130" s="33" t="s">
        <v>41</v>
      </c>
      <c r="S130" s="33" t="s">
        <v>42</v>
      </c>
      <c r="T130" s="33">
        <v>1</v>
      </c>
      <c r="U130" s="33" t="s">
        <v>2423</v>
      </c>
      <c r="V130">
        <f ca="1">G130/100*RANDBETWEEN(3,5)</f>
        <v>1523.56</v>
      </c>
      <c r="W130">
        <f ca="1">G130/100*RANDBETWEEN(6,8)</f>
        <v>2285.34</v>
      </c>
    </row>
    <row r="131" spans="1:23" x14ac:dyDescent="0.25">
      <c r="A131" s="34" t="s">
        <v>2612</v>
      </c>
      <c r="B131" t="s">
        <v>2601</v>
      </c>
      <c r="C131" t="s">
        <v>2610</v>
      </c>
      <c r="D131" t="s">
        <v>2606</v>
      </c>
      <c r="E131" t="s">
        <v>29</v>
      </c>
      <c r="F131">
        <v>1</v>
      </c>
      <c r="G131">
        <f ca="1">G130+V130</f>
        <v>39612.559999999998</v>
      </c>
      <c r="H131">
        <f t="shared" ca="1" si="4"/>
        <v>33010.466666666667</v>
      </c>
      <c r="L131">
        <f t="shared" ca="1" si="5"/>
        <v>33010.466666666667</v>
      </c>
      <c r="O131" t="s">
        <v>2449</v>
      </c>
      <c r="P131">
        <v>7806155468</v>
      </c>
      <c r="Q131">
        <v>780601001</v>
      </c>
      <c r="R131" t="s">
        <v>41</v>
      </c>
      <c r="S131" t="s">
        <v>42</v>
      </c>
      <c r="T131">
        <v>1</v>
      </c>
      <c r="U131" t="s">
        <v>2423</v>
      </c>
    </row>
    <row r="132" spans="1:23" x14ac:dyDescent="0.25">
      <c r="A132" s="34" t="s">
        <v>2613</v>
      </c>
      <c r="B132" t="s">
        <v>2601</v>
      </c>
      <c r="C132" t="s">
        <v>2610</v>
      </c>
      <c r="D132" t="s">
        <v>2606</v>
      </c>
      <c r="E132" t="s">
        <v>29</v>
      </c>
      <c r="F132">
        <v>1</v>
      </c>
      <c r="G132">
        <f ca="1">G130+W130</f>
        <v>40374.339999999997</v>
      </c>
      <c r="H132">
        <f t="shared" ca="1" si="4"/>
        <v>33645.283333333333</v>
      </c>
      <c r="L132">
        <f t="shared" ca="1" si="5"/>
        <v>33645.283333333333</v>
      </c>
      <c r="O132" t="s">
        <v>2450</v>
      </c>
      <c r="P132">
        <v>7806155468</v>
      </c>
      <c r="Q132">
        <v>780601001</v>
      </c>
      <c r="R132" t="s">
        <v>41</v>
      </c>
      <c r="S132" t="s">
        <v>42</v>
      </c>
      <c r="T132">
        <v>1</v>
      </c>
      <c r="U132" t="s">
        <v>2423</v>
      </c>
    </row>
    <row r="133" spans="1:23" x14ac:dyDescent="0.25">
      <c r="A133" s="34" t="s">
        <v>2617</v>
      </c>
      <c r="B133" s="33" t="s">
        <v>2601</v>
      </c>
      <c r="C133" s="33" t="s">
        <v>2614</v>
      </c>
      <c r="D133" s="33" t="s">
        <v>2615</v>
      </c>
      <c r="E133" s="33" t="s">
        <v>29</v>
      </c>
      <c r="F133" s="33">
        <v>1</v>
      </c>
      <c r="G133" s="33" t="s">
        <v>2616</v>
      </c>
      <c r="H133" s="33">
        <f t="shared" si="4"/>
        <v>26377.5</v>
      </c>
      <c r="I133" s="33"/>
      <c r="J133" s="33"/>
      <c r="K133" s="33"/>
      <c r="L133" s="33">
        <f t="shared" si="5"/>
        <v>26377.5</v>
      </c>
      <c r="M133" s="33"/>
      <c r="N133" s="33"/>
      <c r="O133" s="33" t="s">
        <v>40</v>
      </c>
      <c r="P133" s="33">
        <v>7806155468</v>
      </c>
      <c r="Q133" s="33">
        <v>780601001</v>
      </c>
      <c r="R133" s="33" t="s">
        <v>41</v>
      </c>
      <c r="S133" s="33" t="s">
        <v>42</v>
      </c>
      <c r="T133" s="33">
        <v>1</v>
      </c>
      <c r="U133" s="33" t="s">
        <v>2423</v>
      </c>
      <c r="V133">
        <f ca="1">G133/100*RANDBETWEEN(3,5)</f>
        <v>949.58999999999992</v>
      </c>
      <c r="W133">
        <f ca="1">G133/100*RANDBETWEEN(6,8)</f>
        <v>2532.2399999999998</v>
      </c>
    </row>
    <row r="134" spans="1:23" x14ac:dyDescent="0.25">
      <c r="A134" s="34" t="s">
        <v>2618</v>
      </c>
      <c r="B134" t="s">
        <v>2601</v>
      </c>
      <c r="C134" t="s">
        <v>2614</v>
      </c>
      <c r="D134" t="s">
        <v>2615</v>
      </c>
      <c r="E134" t="s">
        <v>29</v>
      </c>
      <c r="F134">
        <v>1</v>
      </c>
      <c r="G134">
        <f ca="1">G133+V133</f>
        <v>32602.59</v>
      </c>
      <c r="H134">
        <f t="shared" ca="1" si="4"/>
        <v>27168.825000000001</v>
      </c>
      <c r="L134">
        <f t="shared" ca="1" si="5"/>
        <v>27168.825000000001</v>
      </c>
      <c r="O134" t="s">
        <v>2449</v>
      </c>
      <c r="P134">
        <v>7806155468</v>
      </c>
      <c r="Q134">
        <v>780601001</v>
      </c>
      <c r="R134" t="s">
        <v>41</v>
      </c>
      <c r="S134" t="s">
        <v>42</v>
      </c>
      <c r="T134">
        <v>1</v>
      </c>
      <c r="U134" t="s">
        <v>2423</v>
      </c>
    </row>
    <row r="135" spans="1:23" x14ac:dyDescent="0.25">
      <c r="A135" s="34" t="s">
        <v>2619</v>
      </c>
      <c r="B135" t="s">
        <v>2601</v>
      </c>
      <c r="C135" t="s">
        <v>2614</v>
      </c>
      <c r="D135" t="s">
        <v>2615</v>
      </c>
      <c r="E135" t="s">
        <v>29</v>
      </c>
      <c r="F135">
        <v>1</v>
      </c>
      <c r="G135">
        <f ca="1">G133+W133</f>
        <v>34185.24</v>
      </c>
      <c r="H135">
        <f t="shared" ca="1" si="4"/>
        <v>28487.7</v>
      </c>
      <c r="L135">
        <f t="shared" ca="1" si="5"/>
        <v>28487.7</v>
      </c>
      <c r="O135" t="s">
        <v>2450</v>
      </c>
      <c r="P135">
        <v>7806155468</v>
      </c>
      <c r="Q135">
        <v>780601001</v>
      </c>
      <c r="R135" t="s">
        <v>41</v>
      </c>
      <c r="S135" t="s">
        <v>42</v>
      </c>
      <c r="T135">
        <v>1</v>
      </c>
      <c r="U135" t="s">
        <v>2423</v>
      </c>
    </row>
    <row r="136" spans="1:23" x14ac:dyDescent="0.25">
      <c r="A136" s="34" t="s">
        <v>2623</v>
      </c>
      <c r="B136" s="33" t="s">
        <v>2601</v>
      </c>
      <c r="C136" s="33" t="s">
        <v>2620</v>
      </c>
      <c r="D136" s="33" t="s">
        <v>2621</v>
      </c>
      <c r="E136" s="33" t="s">
        <v>29</v>
      </c>
      <c r="F136" s="33">
        <v>7</v>
      </c>
      <c r="G136" s="33" t="s">
        <v>2622</v>
      </c>
      <c r="H136" s="33">
        <f t="shared" si="4"/>
        <v>5941.666666666667</v>
      </c>
      <c r="I136" s="33"/>
      <c r="J136" s="33"/>
      <c r="K136" s="33"/>
      <c r="L136" s="33">
        <f t="shared" si="5"/>
        <v>5941.666666666667</v>
      </c>
      <c r="M136" s="33"/>
      <c r="N136" s="33"/>
      <c r="O136" s="33" t="s">
        <v>40</v>
      </c>
      <c r="P136" s="33">
        <v>7806155468</v>
      </c>
      <c r="Q136" s="33">
        <v>780601001</v>
      </c>
      <c r="R136" s="33" t="s">
        <v>41</v>
      </c>
      <c r="S136" s="33" t="s">
        <v>42</v>
      </c>
      <c r="T136" s="33">
        <v>1</v>
      </c>
      <c r="U136" s="33" t="s">
        <v>2423</v>
      </c>
      <c r="V136">
        <f ca="1">G136/100*RANDBETWEEN(3,5)</f>
        <v>285.2</v>
      </c>
      <c r="W136">
        <f ca="1">G136/100*RANDBETWEEN(6,8)</f>
        <v>499.09999999999997</v>
      </c>
    </row>
    <row r="137" spans="1:23" x14ac:dyDescent="0.25">
      <c r="A137" s="34" t="s">
        <v>2624</v>
      </c>
      <c r="B137" t="s">
        <v>2601</v>
      </c>
      <c r="C137" t="s">
        <v>2620</v>
      </c>
      <c r="D137" t="s">
        <v>2621</v>
      </c>
      <c r="E137" t="s">
        <v>29</v>
      </c>
      <c r="F137">
        <v>7</v>
      </c>
      <c r="G137">
        <f ca="1">G136+V136</f>
        <v>7415.2</v>
      </c>
      <c r="H137">
        <f t="shared" ca="1" si="4"/>
        <v>6179.333333333333</v>
      </c>
      <c r="L137">
        <f t="shared" ca="1" si="5"/>
        <v>6179.333333333333</v>
      </c>
      <c r="O137" t="s">
        <v>2449</v>
      </c>
      <c r="P137">
        <v>7806155468</v>
      </c>
      <c r="Q137">
        <v>780601001</v>
      </c>
      <c r="R137" t="s">
        <v>41</v>
      </c>
      <c r="S137" t="s">
        <v>42</v>
      </c>
      <c r="T137">
        <v>1</v>
      </c>
      <c r="U137" t="s">
        <v>2423</v>
      </c>
    </row>
    <row r="138" spans="1:23" x14ac:dyDescent="0.25">
      <c r="A138" s="34" t="s">
        <v>2625</v>
      </c>
      <c r="B138" t="s">
        <v>2601</v>
      </c>
      <c r="C138" t="s">
        <v>2620</v>
      </c>
      <c r="D138" t="s">
        <v>2621</v>
      </c>
      <c r="E138" t="s">
        <v>29</v>
      </c>
      <c r="F138">
        <v>7</v>
      </c>
      <c r="G138">
        <f ca="1">G136+W136</f>
        <v>7629.1</v>
      </c>
      <c r="H138">
        <f t="shared" ca="1" si="4"/>
        <v>6357.5833333333339</v>
      </c>
      <c r="L138">
        <f t="shared" ca="1" si="5"/>
        <v>6357.5833333333339</v>
      </c>
      <c r="O138" t="s">
        <v>2450</v>
      </c>
      <c r="P138">
        <v>7806155468</v>
      </c>
      <c r="Q138">
        <v>780601001</v>
      </c>
      <c r="R138" t="s">
        <v>41</v>
      </c>
      <c r="S138" t="s">
        <v>42</v>
      </c>
      <c r="T138">
        <v>1</v>
      </c>
      <c r="U138" t="s">
        <v>2423</v>
      </c>
    </row>
    <row r="139" spans="1:23" x14ac:dyDescent="0.25">
      <c r="A139" s="34" t="s">
        <v>2628</v>
      </c>
      <c r="B139" s="33" t="s">
        <v>2639</v>
      </c>
      <c r="C139" s="33" t="s">
        <v>2626</v>
      </c>
      <c r="D139" s="33" t="s">
        <v>2627</v>
      </c>
      <c r="E139" s="33" t="s">
        <v>29</v>
      </c>
      <c r="F139" s="33">
        <v>1</v>
      </c>
      <c r="G139" s="33">
        <v>1350000</v>
      </c>
      <c r="H139" s="33">
        <f t="shared" si="4"/>
        <v>1125000</v>
      </c>
      <c r="I139" s="33"/>
      <c r="J139" s="33"/>
      <c r="K139" s="33"/>
      <c r="L139" s="33">
        <f t="shared" si="5"/>
        <v>1125000</v>
      </c>
      <c r="M139" s="33"/>
      <c r="N139" s="33"/>
      <c r="O139" s="33" t="s">
        <v>43</v>
      </c>
      <c r="P139" s="33">
        <v>7839109650</v>
      </c>
      <c r="Q139" s="33">
        <v>783901001</v>
      </c>
      <c r="R139" s="33" t="s">
        <v>44</v>
      </c>
      <c r="S139" s="33" t="s">
        <v>42</v>
      </c>
      <c r="T139" s="33">
        <v>2</v>
      </c>
      <c r="U139" s="33" t="s">
        <v>2638</v>
      </c>
      <c r="V139">
        <f ca="1">G139/100*RANDBETWEEN(3,5)</f>
        <v>40500</v>
      </c>
      <c r="W139">
        <f ca="1">G139/100*RANDBETWEEN(6,8)</f>
        <v>94500</v>
      </c>
    </row>
    <row r="140" spans="1:23" x14ac:dyDescent="0.25">
      <c r="A140" s="34" t="s">
        <v>2629</v>
      </c>
      <c r="B140" t="s">
        <v>2639</v>
      </c>
      <c r="C140" t="s">
        <v>2626</v>
      </c>
      <c r="D140" t="s">
        <v>2627</v>
      </c>
      <c r="E140" t="s">
        <v>29</v>
      </c>
      <c r="F140">
        <v>1</v>
      </c>
      <c r="G140">
        <f ca="1">G139+V139</f>
        <v>1390500</v>
      </c>
      <c r="H140">
        <f t="shared" ca="1" si="4"/>
        <v>1158750</v>
      </c>
      <c r="L140">
        <f t="shared" ca="1" si="5"/>
        <v>1158750</v>
      </c>
      <c r="O140" t="s">
        <v>2449</v>
      </c>
      <c r="P140">
        <v>7839109650</v>
      </c>
      <c r="Q140">
        <v>783901001</v>
      </c>
      <c r="R140" t="s">
        <v>44</v>
      </c>
      <c r="S140" t="s">
        <v>42</v>
      </c>
      <c r="T140">
        <v>2</v>
      </c>
      <c r="U140" t="s">
        <v>2638</v>
      </c>
    </row>
    <row r="141" spans="1:23" x14ac:dyDescent="0.25">
      <c r="A141" s="34" t="s">
        <v>2630</v>
      </c>
      <c r="B141" t="s">
        <v>2639</v>
      </c>
      <c r="C141" t="s">
        <v>2626</v>
      </c>
      <c r="D141" t="s">
        <v>2627</v>
      </c>
      <c r="E141" t="s">
        <v>29</v>
      </c>
      <c r="F141">
        <v>1</v>
      </c>
      <c r="G141">
        <f ca="1">G139+W139</f>
        <v>1444500</v>
      </c>
      <c r="H141">
        <f t="shared" ca="1" si="4"/>
        <v>1203750</v>
      </c>
      <c r="L141">
        <f t="shared" ca="1" si="5"/>
        <v>1203750</v>
      </c>
      <c r="O141" t="s">
        <v>2450</v>
      </c>
      <c r="P141">
        <v>7839109650</v>
      </c>
      <c r="Q141">
        <v>783901001</v>
      </c>
      <c r="R141" t="s">
        <v>44</v>
      </c>
      <c r="S141" t="s">
        <v>42</v>
      </c>
      <c r="T141">
        <v>2</v>
      </c>
      <c r="U141" t="s">
        <v>2638</v>
      </c>
    </row>
    <row r="142" spans="1:23" x14ac:dyDescent="0.25">
      <c r="A142" s="34" t="s">
        <v>2633</v>
      </c>
      <c r="B142" s="33" t="s">
        <v>2639</v>
      </c>
      <c r="C142" s="33" t="s">
        <v>2631</v>
      </c>
      <c r="D142" s="33" t="s">
        <v>2632</v>
      </c>
      <c r="E142" s="33" t="s">
        <v>29</v>
      </c>
      <c r="F142" s="33">
        <v>1</v>
      </c>
      <c r="G142" s="33">
        <v>540000</v>
      </c>
      <c r="H142" s="33">
        <f t="shared" si="4"/>
        <v>450000</v>
      </c>
      <c r="I142" s="33"/>
      <c r="J142" s="33"/>
      <c r="K142" s="33"/>
      <c r="L142" s="33">
        <f t="shared" si="5"/>
        <v>450000</v>
      </c>
      <c r="M142" s="33"/>
      <c r="N142" s="33"/>
      <c r="O142" s="33" t="s">
        <v>43</v>
      </c>
      <c r="P142" s="33">
        <v>7839109650</v>
      </c>
      <c r="Q142" s="33">
        <v>783901001</v>
      </c>
      <c r="R142" s="33" t="s">
        <v>44</v>
      </c>
      <c r="S142" s="33" t="s">
        <v>42</v>
      </c>
      <c r="T142" s="33">
        <v>2</v>
      </c>
      <c r="U142" s="33" t="s">
        <v>2638</v>
      </c>
      <c r="V142">
        <f ca="1">G142/100*RANDBETWEEN(3,5)</f>
        <v>27000</v>
      </c>
      <c r="W142">
        <f ca="1">G142/100*RANDBETWEEN(6,8)</f>
        <v>43200</v>
      </c>
    </row>
    <row r="143" spans="1:23" x14ac:dyDescent="0.25">
      <c r="A143" s="34" t="s">
        <v>2634</v>
      </c>
      <c r="B143" t="s">
        <v>2639</v>
      </c>
      <c r="C143" t="s">
        <v>2631</v>
      </c>
      <c r="D143" t="s">
        <v>2632</v>
      </c>
      <c r="E143" t="s">
        <v>29</v>
      </c>
      <c r="F143">
        <v>1</v>
      </c>
      <c r="G143">
        <f ca="1">G142+V142</f>
        <v>567000</v>
      </c>
      <c r="H143">
        <f t="shared" ca="1" si="4"/>
        <v>472500</v>
      </c>
      <c r="L143">
        <f t="shared" ca="1" si="5"/>
        <v>472500</v>
      </c>
      <c r="O143" t="s">
        <v>2449</v>
      </c>
      <c r="P143">
        <v>7839109650</v>
      </c>
      <c r="Q143">
        <v>783901001</v>
      </c>
      <c r="R143" t="s">
        <v>44</v>
      </c>
      <c r="S143" t="s">
        <v>42</v>
      </c>
      <c r="T143">
        <v>2</v>
      </c>
      <c r="U143" t="s">
        <v>2638</v>
      </c>
    </row>
    <row r="144" spans="1:23" x14ac:dyDescent="0.25">
      <c r="A144" s="34" t="s">
        <v>2635</v>
      </c>
      <c r="B144" t="s">
        <v>2639</v>
      </c>
      <c r="C144" t="s">
        <v>2631</v>
      </c>
      <c r="D144" t="s">
        <v>2632</v>
      </c>
      <c r="E144" t="s">
        <v>29</v>
      </c>
      <c r="F144">
        <v>1</v>
      </c>
      <c r="G144">
        <f ca="1">G142+W142</f>
        <v>583200</v>
      </c>
      <c r="H144">
        <f t="shared" ca="1" si="4"/>
        <v>486000</v>
      </c>
      <c r="L144">
        <f t="shared" ca="1" si="5"/>
        <v>486000</v>
      </c>
      <c r="O144" t="s">
        <v>2450</v>
      </c>
      <c r="P144">
        <v>7839109650</v>
      </c>
      <c r="Q144">
        <v>783901001</v>
      </c>
      <c r="R144" t="s">
        <v>44</v>
      </c>
      <c r="S144" t="s">
        <v>42</v>
      </c>
      <c r="T144">
        <v>2</v>
      </c>
      <c r="U144" t="s">
        <v>2638</v>
      </c>
    </row>
    <row r="145" spans="1:23" x14ac:dyDescent="0.25">
      <c r="A145" s="34" t="s">
        <v>2640</v>
      </c>
      <c r="B145" s="33" t="s">
        <v>2639</v>
      </c>
      <c r="C145" s="33" t="s">
        <v>2636</v>
      </c>
      <c r="D145" s="33" t="s">
        <v>2637</v>
      </c>
      <c r="E145" s="33" t="s">
        <v>29</v>
      </c>
      <c r="F145" s="33">
        <v>1</v>
      </c>
      <c r="G145" s="33">
        <v>522000</v>
      </c>
      <c r="H145" s="33">
        <f t="shared" si="4"/>
        <v>435000</v>
      </c>
      <c r="I145" s="33"/>
      <c r="J145" s="33"/>
      <c r="K145" s="33"/>
      <c r="L145" s="33">
        <f t="shared" si="5"/>
        <v>435000</v>
      </c>
      <c r="M145" s="33"/>
      <c r="N145" s="33"/>
      <c r="O145" s="33" t="s">
        <v>43</v>
      </c>
      <c r="P145" s="33">
        <v>7839109650</v>
      </c>
      <c r="Q145" s="33">
        <v>783901001</v>
      </c>
      <c r="R145" s="33" t="s">
        <v>44</v>
      </c>
      <c r="S145" s="33" t="s">
        <v>42</v>
      </c>
      <c r="T145" s="33">
        <v>2</v>
      </c>
      <c r="U145" s="33" t="s">
        <v>2638</v>
      </c>
      <c r="V145">
        <f ca="1">G145/100*RANDBETWEEN(3,5)</f>
        <v>20880</v>
      </c>
      <c r="W145">
        <f ca="1">G145/100*RANDBETWEEN(6,8)</f>
        <v>31320</v>
      </c>
    </row>
    <row r="146" spans="1:23" x14ac:dyDescent="0.25">
      <c r="A146" s="34" t="s">
        <v>2641</v>
      </c>
      <c r="B146" t="s">
        <v>2639</v>
      </c>
      <c r="C146" t="s">
        <v>2636</v>
      </c>
      <c r="D146" t="s">
        <v>2637</v>
      </c>
      <c r="E146" t="s">
        <v>29</v>
      </c>
      <c r="F146">
        <v>1</v>
      </c>
      <c r="G146">
        <f ca="1">G145+V145</f>
        <v>542880</v>
      </c>
      <c r="H146">
        <f t="shared" ca="1" si="4"/>
        <v>452400</v>
      </c>
      <c r="L146">
        <f t="shared" ca="1" si="5"/>
        <v>452400</v>
      </c>
      <c r="O146" t="s">
        <v>2449</v>
      </c>
      <c r="P146">
        <v>7839109650</v>
      </c>
      <c r="Q146">
        <v>783901001</v>
      </c>
      <c r="R146" t="s">
        <v>44</v>
      </c>
      <c r="S146" t="s">
        <v>42</v>
      </c>
      <c r="T146">
        <v>2</v>
      </c>
      <c r="U146" t="s">
        <v>2638</v>
      </c>
    </row>
    <row r="147" spans="1:23" x14ac:dyDescent="0.25">
      <c r="A147" s="34" t="s">
        <v>2642</v>
      </c>
      <c r="B147" t="s">
        <v>2639</v>
      </c>
      <c r="C147" t="s">
        <v>2636</v>
      </c>
      <c r="D147" t="s">
        <v>2637</v>
      </c>
      <c r="E147" t="s">
        <v>29</v>
      </c>
      <c r="F147">
        <v>1</v>
      </c>
      <c r="G147">
        <f ca="1">G145+W145</f>
        <v>553320</v>
      </c>
      <c r="H147">
        <f t="shared" ca="1" si="4"/>
        <v>461100</v>
      </c>
      <c r="L147">
        <f t="shared" ca="1" si="5"/>
        <v>461100</v>
      </c>
      <c r="O147" t="s">
        <v>2450</v>
      </c>
      <c r="P147">
        <v>7839109650</v>
      </c>
      <c r="Q147">
        <v>783901001</v>
      </c>
      <c r="R147" t="s">
        <v>44</v>
      </c>
      <c r="S147" t="s">
        <v>42</v>
      </c>
      <c r="T147">
        <v>2</v>
      </c>
      <c r="U147" t="s">
        <v>2638</v>
      </c>
    </row>
    <row r="148" spans="1:23" x14ac:dyDescent="0.25">
      <c r="A148" s="34" t="s">
        <v>2646</v>
      </c>
      <c r="B148" s="33" t="s">
        <v>2645</v>
      </c>
      <c r="C148" s="33" t="s">
        <v>2380</v>
      </c>
      <c r="D148" s="33" t="s">
        <v>2643</v>
      </c>
      <c r="E148" s="33" t="s">
        <v>2644</v>
      </c>
      <c r="F148" s="33">
        <v>1</v>
      </c>
      <c r="G148" s="33">
        <v>9000</v>
      </c>
      <c r="H148" s="33">
        <f t="shared" si="4"/>
        <v>7500</v>
      </c>
      <c r="I148" s="33"/>
      <c r="J148" s="33"/>
      <c r="K148" s="33"/>
      <c r="L148" s="33">
        <f t="shared" si="5"/>
        <v>7500</v>
      </c>
      <c r="M148" s="33"/>
      <c r="N148" s="33"/>
      <c r="O148" s="33" t="s">
        <v>43</v>
      </c>
      <c r="P148" s="33">
        <v>7839109650</v>
      </c>
      <c r="Q148" s="33">
        <v>783901001</v>
      </c>
      <c r="R148" s="33" t="s">
        <v>44</v>
      </c>
      <c r="S148" s="33" t="s">
        <v>42</v>
      </c>
      <c r="T148" s="33">
        <v>2</v>
      </c>
      <c r="U148" s="33" t="s">
        <v>2638</v>
      </c>
      <c r="V148">
        <f ca="1">G148/100*RANDBETWEEN(3,5)</f>
        <v>270</v>
      </c>
      <c r="W148">
        <f ca="1">G148/100*RANDBETWEEN(6,8)</f>
        <v>720</v>
      </c>
    </row>
    <row r="149" spans="1:23" x14ac:dyDescent="0.25">
      <c r="A149" s="34" t="s">
        <v>2647</v>
      </c>
      <c r="B149" t="s">
        <v>2645</v>
      </c>
      <c r="C149" t="s">
        <v>2380</v>
      </c>
      <c r="D149" t="s">
        <v>2643</v>
      </c>
      <c r="E149" t="s">
        <v>2644</v>
      </c>
      <c r="F149">
        <v>1</v>
      </c>
      <c r="G149">
        <f ca="1">G148+V148</f>
        <v>9270</v>
      </c>
      <c r="H149">
        <f t="shared" ca="1" si="4"/>
        <v>7725</v>
      </c>
      <c r="L149">
        <f t="shared" ca="1" si="5"/>
        <v>7725</v>
      </c>
      <c r="O149" t="s">
        <v>2449</v>
      </c>
      <c r="P149">
        <v>7839109650</v>
      </c>
      <c r="Q149">
        <v>783901001</v>
      </c>
      <c r="R149" t="s">
        <v>44</v>
      </c>
      <c r="S149" t="s">
        <v>42</v>
      </c>
      <c r="T149">
        <v>2</v>
      </c>
      <c r="U149" t="s">
        <v>2638</v>
      </c>
    </row>
    <row r="150" spans="1:23" x14ac:dyDescent="0.25">
      <c r="A150" s="34" t="s">
        <v>2648</v>
      </c>
      <c r="B150" t="s">
        <v>2645</v>
      </c>
      <c r="C150" t="s">
        <v>2380</v>
      </c>
      <c r="D150" t="s">
        <v>2643</v>
      </c>
      <c r="E150" t="s">
        <v>2644</v>
      </c>
      <c r="F150">
        <v>1</v>
      </c>
      <c r="G150">
        <f ca="1">G148+W148</f>
        <v>9720</v>
      </c>
      <c r="H150">
        <f t="shared" ca="1" si="4"/>
        <v>8100</v>
      </c>
      <c r="L150">
        <f t="shared" ca="1" si="5"/>
        <v>8100</v>
      </c>
      <c r="O150" t="s">
        <v>2450</v>
      </c>
      <c r="P150">
        <v>7839109650</v>
      </c>
      <c r="Q150">
        <v>783901001</v>
      </c>
      <c r="R150" t="s">
        <v>44</v>
      </c>
      <c r="S150" t="s">
        <v>42</v>
      </c>
      <c r="T150">
        <v>2</v>
      </c>
      <c r="U150" t="s">
        <v>2638</v>
      </c>
    </row>
    <row r="151" spans="1:23" x14ac:dyDescent="0.25">
      <c r="A151" s="34" t="s">
        <v>2650</v>
      </c>
      <c r="B151" s="33" t="s">
        <v>2645</v>
      </c>
      <c r="C151" s="33" t="s">
        <v>2381</v>
      </c>
      <c r="D151" s="33" t="s">
        <v>2649</v>
      </c>
      <c r="E151" s="33" t="s">
        <v>2644</v>
      </c>
      <c r="F151" s="33">
        <v>1</v>
      </c>
      <c r="G151" s="33">
        <v>9000</v>
      </c>
      <c r="H151" s="33">
        <f t="shared" si="4"/>
        <v>7500</v>
      </c>
      <c r="I151" s="33"/>
      <c r="J151" s="33"/>
      <c r="K151" s="33"/>
      <c r="L151" s="33">
        <f t="shared" si="5"/>
        <v>7500</v>
      </c>
      <c r="M151" s="33"/>
      <c r="N151" s="33"/>
      <c r="O151" s="33" t="s">
        <v>43</v>
      </c>
      <c r="P151" s="33">
        <v>7839109650</v>
      </c>
      <c r="Q151" s="33">
        <v>783901001</v>
      </c>
      <c r="R151" s="33" t="s">
        <v>44</v>
      </c>
      <c r="S151" s="33" t="s">
        <v>42</v>
      </c>
      <c r="T151" s="33">
        <v>2</v>
      </c>
      <c r="U151" s="33" t="s">
        <v>2638</v>
      </c>
      <c r="V151">
        <f ca="1">G151/100*RANDBETWEEN(3,5)</f>
        <v>450</v>
      </c>
      <c r="W151">
        <f ca="1">G151/100*RANDBETWEEN(6,8)</f>
        <v>540</v>
      </c>
    </row>
    <row r="152" spans="1:23" x14ac:dyDescent="0.25">
      <c r="A152" s="34" t="s">
        <v>2651</v>
      </c>
      <c r="B152" t="s">
        <v>2645</v>
      </c>
      <c r="C152" t="s">
        <v>2381</v>
      </c>
      <c r="D152" t="s">
        <v>2649</v>
      </c>
      <c r="E152" t="s">
        <v>2644</v>
      </c>
      <c r="F152">
        <v>1</v>
      </c>
      <c r="G152">
        <f ca="1">G151+V151</f>
        <v>9450</v>
      </c>
      <c r="H152">
        <f t="shared" ca="1" si="4"/>
        <v>7875</v>
      </c>
      <c r="L152">
        <f t="shared" ca="1" si="5"/>
        <v>7875</v>
      </c>
      <c r="O152" t="s">
        <v>2449</v>
      </c>
      <c r="P152">
        <v>7839109650</v>
      </c>
      <c r="Q152">
        <v>783901001</v>
      </c>
      <c r="R152" t="s">
        <v>44</v>
      </c>
      <c r="S152" t="s">
        <v>42</v>
      </c>
      <c r="T152">
        <v>2</v>
      </c>
      <c r="U152" t="s">
        <v>2638</v>
      </c>
    </row>
    <row r="153" spans="1:23" x14ac:dyDescent="0.25">
      <c r="A153" s="34" t="s">
        <v>2652</v>
      </c>
      <c r="B153" t="s">
        <v>2645</v>
      </c>
      <c r="C153" t="s">
        <v>2381</v>
      </c>
      <c r="D153" t="s">
        <v>2649</v>
      </c>
      <c r="E153" t="s">
        <v>2644</v>
      </c>
      <c r="F153">
        <v>1</v>
      </c>
      <c r="G153">
        <f ca="1">G151+W151</f>
        <v>9540</v>
      </c>
      <c r="H153">
        <f t="shared" ca="1" si="4"/>
        <v>7950</v>
      </c>
      <c r="L153">
        <f t="shared" ca="1" si="5"/>
        <v>7950</v>
      </c>
      <c r="O153" t="s">
        <v>2450</v>
      </c>
      <c r="P153">
        <v>7839109650</v>
      </c>
      <c r="Q153">
        <v>783901001</v>
      </c>
      <c r="R153" t="s">
        <v>44</v>
      </c>
      <c r="S153" t="s">
        <v>42</v>
      </c>
      <c r="T153">
        <v>2</v>
      </c>
      <c r="U153" t="s">
        <v>2638</v>
      </c>
    </row>
    <row r="154" spans="1:23" x14ac:dyDescent="0.25">
      <c r="A154" s="34" t="s">
        <v>2657</v>
      </c>
      <c r="B154" s="33" t="s">
        <v>2656</v>
      </c>
      <c r="C154" s="33" t="s">
        <v>2653</v>
      </c>
      <c r="D154" s="33" t="s">
        <v>2654</v>
      </c>
      <c r="E154" s="33" t="s">
        <v>33</v>
      </c>
      <c r="F154" s="45">
        <v>2373</v>
      </c>
      <c r="G154" s="33" t="s">
        <v>2655</v>
      </c>
      <c r="H154" s="33">
        <f t="shared" si="4"/>
        <v>160890</v>
      </c>
      <c r="I154" s="33"/>
      <c r="J154" s="33"/>
      <c r="K154" s="33"/>
      <c r="L154" s="33">
        <f t="shared" si="5"/>
        <v>160890</v>
      </c>
      <c r="M154" s="33"/>
      <c r="N154" s="33"/>
      <c r="O154" s="33" t="s">
        <v>49</v>
      </c>
      <c r="P154" s="33">
        <v>5036002480</v>
      </c>
      <c r="Q154" s="33">
        <v>503601001</v>
      </c>
      <c r="R154" s="33" t="s">
        <v>50</v>
      </c>
      <c r="S154" s="33" t="s">
        <v>51</v>
      </c>
      <c r="T154" s="33">
        <v>2</v>
      </c>
      <c r="U154" s="33" t="s">
        <v>2638</v>
      </c>
      <c r="V154">
        <f ca="1">G154/100*RANDBETWEEN(3,5)</f>
        <v>5792.04</v>
      </c>
      <c r="W154">
        <f ca="1">G154/100*RANDBETWEEN(6,8)</f>
        <v>13514.76</v>
      </c>
    </row>
    <row r="155" spans="1:23" x14ac:dyDescent="0.25">
      <c r="A155" s="34" t="s">
        <v>2658</v>
      </c>
      <c r="B155" t="s">
        <v>2656</v>
      </c>
      <c r="C155" t="s">
        <v>2653</v>
      </c>
      <c r="D155" t="s">
        <v>2654</v>
      </c>
      <c r="E155" t="s">
        <v>33</v>
      </c>
      <c r="F155">
        <v>2373</v>
      </c>
      <c r="G155">
        <f ca="1">G154+V154</f>
        <v>198860.04</v>
      </c>
      <c r="H155">
        <f t="shared" ca="1" si="4"/>
        <v>165716.70000000001</v>
      </c>
      <c r="L155">
        <f t="shared" ca="1" si="5"/>
        <v>165716.70000000001</v>
      </c>
      <c r="O155" t="s">
        <v>2449</v>
      </c>
      <c r="P155">
        <v>5036002480</v>
      </c>
      <c r="Q155">
        <v>503601001</v>
      </c>
      <c r="R155" t="s">
        <v>50</v>
      </c>
      <c r="S155" t="s">
        <v>51</v>
      </c>
      <c r="T155">
        <v>2</v>
      </c>
      <c r="U155" t="s">
        <v>2638</v>
      </c>
    </row>
    <row r="156" spans="1:23" x14ac:dyDescent="0.25">
      <c r="A156" s="34" t="s">
        <v>2659</v>
      </c>
      <c r="B156" t="s">
        <v>2656</v>
      </c>
      <c r="C156" t="s">
        <v>2653</v>
      </c>
      <c r="D156" t="s">
        <v>2654</v>
      </c>
      <c r="E156" t="s">
        <v>33</v>
      </c>
      <c r="F156">
        <v>2373</v>
      </c>
      <c r="G156">
        <f ca="1">G154+W154</f>
        <v>206582.76</v>
      </c>
      <c r="H156">
        <f t="shared" ca="1" si="4"/>
        <v>172152.30000000002</v>
      </c>
      <c r="L156">
        <f t="shared" ca="1" si="5"/>
        <v>172152.30000000002</v>
      </c>
      <c r="O156" t="s">
        <v>2450</v>
      </c>
      <c r="P156">
        <v>5036002480</v>
      </c>
      <c r="Q156">
        <v>503601001</v>
      </c>
      <c r="R156" t="s">
        <v>50</v>
      </c>
      <c r="S156" t="s">
        <v>51</v>
      </c>
      <c r="T156">
        <v>2</v>
      </c>
      <c r="U156" t="s">
        <v>2638</v>
      </c>
    </row>
    <row r="157" spans="1:23" x14ac:dyDescent="0.25">
      <c r="A157" s="34" t="s">
        <v>2663</v>
      </c>
      <c r="B157" s="33" t="s">
        <v>2656</v>
      </c>
      <c r="C157" s="33" t="s">
        <v>2660</v>
      </c>
      <c r="D157" s="33" t="s">
        <v>2661</v>
      </c>
      <c r="E157" s="33" t="s">
        <v>33</v>
      </c>
      <c r="F157" s="45">
        <v>1096</v>
      </c>
      <c r="G157" s="33" t="s">
        <v>2662</v>
      </c>
      <c r="H157" s="33">
        <f t="shared" si="4"/>
        <v>50010</v>
      </c>
      <c r="I157" s="33"/>
      <c r="J157" s="33"/>
      <c r="K157" s="33"/>
      <c r="L157" s="33">
        <f t="shared" si="5"/>
        <v>50010</v>
      </c>
      <c r="M157" s="33"/>
      <c r="N157" s="33"/>
      <c r="O157" s="33" t="s">
        <v>49</v>
      </c>
      <c r="P157" s="33">
        <v>5036002480</v>
      </c>
      <c r="Q157" s="33">
        <v>503601001</v>
      </c>
      <c r="R157" s="33" t="s">
        <v>50</v>
      </c>
      <c r="S157" s="33" t="s">
        <v>51</v>
      </c>
      <c r="T157" s="33">
        <v>2</v>
      </c>
      <c r="U157" s="33" t="s">
        <v>2638</v>
      </c>
      <c r="V157">
        <f ca="1">G157/100*RANDBETWEEN(3,5)</f>
        <v>3000.6</v>
      </c>
      <c r="W157">
        <f ca="1">G157/100*RANDBETWEEN(6,8)</f>
        <v>3600.7200000000003</v>
      </c>
    </row>
    <row r="158" spans="1:23" x14ac:dyDescent="0.25">
      <c r="A158" s="34" t="s">
        <v>2664</v>
      </c>
      <c r="B158" t="s">
        <v>2656</v>
      </c>
      <c r="C158" t="s">
        <v>2660</v>
      </c>
      <c r="D158" t="s">
        <v>2661</v>
      </c>
      <c r="E158" t="s">
        <v>33</v>
      </c>
      <c r="F158">
        <v>1096</v>
      </c>
      <c r="G158">
        <f ca="1">G157+V157</f>
        <v>63012.6</v>
      </c>
      <c r="H158">
        <f t="shared" ca="1" si="4"/>
        <v>52510.5</v>
      </c>
      <c r="L158">
        <f t="shared" ca="1" si="5"/>
        <v>52510.5</v>
      </c>
      <c r="O158" t="s">
        <v>2449</v>
      </c>
      <c r="P158">
        <v>5036002480</v>
      </c>
      <c r="Q158">
        <v>503601001</v>
      </c>
      <c r="R158" t="s">
        <v>50</v>
      </c>
      <c r="S158" t="s">
        <v>51</v>
      </c>
      <c r="T158">
        <v>2</v>
      </c>
      <c r="U158" t="s">
        <v>2638</v>
      </c>
    </row>
    <row r="159" spans="1:23" x14ac:dyDescent="0.25">
      <c r="A159" s="34" t="s">
        <v>2665</v>
      </c>
      <c r="B159" t="s">
        <v>2656</v>
      </c>
      <c r="C159" t="s">
        <v>2660</v>
      </c>
      <c r="D159" t="s">
        <v>2661</v>
      </c>
      <c r="E159" t="s">
        <v>33</v>
      </c>
      <c r="F159">
        <v>1096</v>
      </c>
      <c r="G159">
        <f ca="1">G157+W157</f>
        <v>63612.72</v>
      </c>
      <c r="H159">
        <f t="shared" ca="1" si="4"/>
        <v>53010.600000000006</v>
      </c>
      <c r="L159">
        <f t="shared" ca="1" si="5"/>
        <v>53010.600000000006</v>
      </c>
      <c r="O159" t="s">
        <v>2450</v>
      </c>
      <c r="P159">
        <v>5036002480</v>
      </c>
      <c r="Q159">
        <v>503601001</v>
      </c>
      <c r="R159" t="s">
        <v>50</v>
      </c>
      <c r="S159" t="s">
        <v>51</v>
      </c>
      <c r="T159">
        <v>2</v>
      </c>
      <c r="U159" t="s">
        <v>2638</v>
      </c>
    </row>
    <row r="160" spans="1:23" x14ac:dyDescent="0.25">
      <c r="A160" s="34" t="s">
        <v>2670</v>
      </c>
      <c r="B160" s="33" t="s">
        <v>2656</v>
      </c>
      <c r="C160" s="33" t="s">
        <v>2666</v>
      </c>
      <c r="D160" s="33" t="s">
        <v>2667</v>
      </c>
      <c r="E160" s="33" t="s">
        <v>33</v>
      </c>
      <c r="F160" s="33" t="s">
        <v>2668</v>
      </c>
      <c r="G160" s="33" t="s">
        <v>2669</v>
      </c>
      <c r="H160" s="33">
        <f t="shared" si="4"/>
        <v>255300</v>
      </c>
      <c r="I160" s="33"/>
      <c r="J160" s="33"/>
      <c r="K160" s="33"/>
      <c r="L160" s="33">
        <f t="shared" si="5"/>
        <v>255300</v>
      </c>
      <c r="M160" s="33"/>
      <c r="N160" s="33"/>
      <c r="O160" s="33" t="s">
        <v>49</v>
      </c>
      <c r="P160" s="33">
        <v>5036002480</v>
      </c>
      <c r="Q160" s="33">
        <v>503601001</v>
      </c>
      <c r="R160" s="33" t="s">
        <v>50</v>
      </c>
      <c r="S160" s="33" t="s">
        <v>51</v>
      </c>
      <c r="T160" s="33">
        <v>2</v>
      </c>
      <c r="U160" s="33" t="s">
        <v>2638</v>
      </c>
      <c r="V160">
        <f ca="1">G160/100*RANDBETWEEN(3,5)</f>
        <v>12254.4</v>
      </c>
      <c r="W160">
        <f ca="1">G160/100*RANDBETWEEN(6,8)</f>
        <v>24508.799999999999</v>
      </c>
    </row>
    <row r="161" spans="1:23" x14ac:dyDescent="0.25">
      <c r="A161" s="34" t="s">
        <v>2671</v>
      </c>
      <c r="B161" t="s">
        <v>2656</v>
      </c>
      <c r="C161" t="s">
        <v>2666</v>
      </c>
      <c r="D161" t="s">
        <v>2667</v>
      </c>
      <c r="E161" t="s">
        <v>33</v>
      </c>
      <c r="F161" t="s">
        <v>2668</v>
      </c>
      <c r="G161">
        <f ca="1">G160+V160</f>
        <v>318614.40000000002</v>
      </c>
      <c r="H161">
        <f t="shared" ca="1" si="4"/>
        <v>265512.00000000006</v>
      </c>
      <c r="L161">
        <f t="shared" ca="1" si="5"/>
        <v>265512.00000000006</v>
      </c>
      <c r="O161" t="s">
        <v>2449</v>
      </c>
      <c r="P161">
        <v>5036002480</v>
      </c>
      <c r="Q161">
        <v>503601001</v>
      </c>
      <c r="R161" t="s">
        <v>50</v>
      </c>
      <c r="S161" t="s">
        <v>51</v>
      </c>
      <c r="T161">
        <v>2</v>
      </c>
      <c r="U161" t="s">
        <v>2638</v>
      </c>
    </row>
    <row r="162" spans="1:23" x14ac:dyDescent="0.25">
      <c r="A162" s="34" t="s">
        <v>2672</v>
      </c>
      <c r="B162" t="s">
        <v>2656</v>
      </c>
      <c r="C162" t="s">
        <v>2666</v>
      </c>
      <c r="D162" t="s">
        <v>2667</v>
      </c>
      <c r="E162" t="s">
        <v>33</v>
      </c>
      <c r="F162" t="s">
        <v>2668</v>
      </c>
      <c r="G162">
        <f ca="1">G160+W160</f>
        <v>330868.8</v>
      </c>
      <c r="H162">
        <f t="shared" ref="H162:H225" ca="1" si="6">G162/1.2</f>
        <v>275724</v>
      </c>
      <c r="L162">
        <f t="shared" ref="L162:L225" ca="1" si="7">H162+I162+K162</f>
        <v>275724</v>
      </c>
      <c r="O162" t="s">
        <v>2450</v>
      </c>
      <c r="P162">
        <v>5036002480</v>
      </c>
      <c r="Q162">
        <v>503601001</v>
      </c>
      <c r="R162" t="s">
        <v>50</v>
      </c>
      <c r="S162" t="s">
        <v>51</v>
      </c>
      <c r="T162">
        <v>2</v>
      </c>
      <c r="U162" t="s">
        <v>2638</v>
      </c>
    </row>
    <row r="163" spans="1:23" x14ac:dyDescent="0.25">
      <c r="A163" s="34" t="s">
        <v>2676</v>
      </c>
      <c r="B163" s="33" t="s">
        <v>2656</v>
      </c>
      <c r="C163" s="33" t="s">
        <v>2673</v>
      </c>
      <c r="D163" s="33" t="s">
        <v>2667</v>
      </c>
      <c r="E163" s="33" t="s">
        <v>33</v>
      </c>
      <c r="F163" s="33" t="s">
        <v>2674</v>
      </c>
      <c r="G163" s="33" t="s">
        <v>2675</v>
      </c>
      <c r="H163" s="33">
        <f t="shared" si="6"/>
        <v>173330</v>
      </c>
      <c r="I163" s="33"/>
      <c r="J163" s="33"/>
      <c r="K163" s="33"/>
      <c r="L163" s="33">
        <f t="shared" si="7"/>
        <v>173330</v>
      </c>
      <c r="M163" s="33"/>
      <c r="N163" s="33"/>
      <c r="O163" s="33" t="s">
        <v>49</v>
      </c>
      <c r="P163" s="33">
        <v>5036002480</v>
      </c>
      <c r="Q163" s="33">
        <v>503601001</v>
      </c>
      <c r="R163" s="33" t="s">
        <v>50</v>
      </c>
      <c r="S163" s="33" t="s">
        <v>51</v>
      </c>
      <c r="T163" s="33">
        <v>2</v>
      </c>
      <c r="U163" s="33" t="s">
        <v>2638</v>
      </c>
      <c r="V163">
        <f ca="1">G163/100*RANDBETWEEN(3,5)</f>
        <v>10399.799999999999</v>
      </c>
      <c r="W163">
        <f ca="1">G163/100*RANDBETWEEN(6,8)</f>
        <v>12479.76</v>
      </c>
    </row>
    <row r="164" spans="1:23" x14ac:dyDescent="0.25">
      <c r="A164" s="34" t="s">
        <v>2677</v>
      </c>
      <c r="B164" t="s">
        <v>2656</v>
      </c>
      <c r="C164" t="s">
        <v>2673</v>
      </c>
      <c r="D164" t="s">
        <v>2667</v>
      </c>
      <c r="E164" t="s">
        <v>33</v>
      </c>
      <c r="F164" t="s">
        <v>2674</v>
      </c>
      <c r="G164">
        <f ca="1">G163+V163</f>
        <v>218395.8</v>
      </c>
      <c r="H164">
        <f t="shared" ca="1" si="6"/>
        <v>181996.5</v>
      </c>
      <c r="L164">
        <f t="shared" ca="1" si="7"/>
        <v>181996.5</v>
      </c>
      <c r="O164" t="s">
        <v>2449</v>
      </c>
      <c r="P164">
        <v>5036002480</v>
      </c>
      <c r="Q164">
        <v>503601001</v>
      </c>
      <c r="R164" t="s">
        <v>50</v>
      </c>
      <c r="S164" t="s">
        <v>51</v>
      </c>
      <c r="T164">
        <v>2</v>
      </c>
      <c r="U164" t="s">
        <v>2638</v>
      </c>
    </row>
    <row r="165" spans="1:23" x14ac:dyDescent="0.25">
      <c r="A165" s="34" t="s">
        <v>2678</v>
      </c>
      <c r="B165" t="s">
        <v>2656</v>
      </c>
      <c r="C165" t="s">
        <v>2673</v>
      </c>
      <c r="D165" t="s">
        <v>2667</v>
      </c>
      <c r="E165" t="s">
        <v>33</v>
      </c>
      <c r="F165" t="s">
        <v>2674</v>
      </c>
      <c r="G165">
        <f ca="1">G163+W163</f>
        <v>220475.76</v>
      </c>
      <c r="H165">
        <f t="shared" ca="1" si="6"/>
        <v>183729.80000000002</v>
      </c>
      <c r="L165">
        <f t="shared" ca="1" si="7"/>
        <v>183729.80000000002</v>
      </c>
      <c r="O165" t="s">
        <v>2450</v>
      </c>
      <c r="P165">
        <v>5036002480</v>
      </c>
      <c r="Q165">
        <v>503601001</v>
      </c>
      <c r="R165" t="s">
        <v>50</v>
      </c>
      <c r="S165" t="s">
        <v>51</v>
      </c>
      <c r="T165">
        <v>2</v>
      </c>
      <c r="U165" t="s">
        <v>2638</v>
      </c>
    </row>
    <row r="166" spans="1:23" x14ac:dyDescent="0.25">
      <c r="A166" s="34" t="s">
        <v>2684</v>
      </c>
      <c r="B166" s="33" t="s">
        <v>2683</v>
      </c>
      <c r="C166" s="33" t="s">
        <v>2679</v>
      </c>
      <c r="D166" s="33" t="s">
        <v>2680</v>
      </c>
      <c r="E166" s="33" t="s">
        <v>33</v>
      </c>
      <c r="F166" s="33" t="s">
        <v>2681</v>
      </c>
      <c r="G166" s="33" t="s">
        <v>2682</v>
      </c>
      <c r="H166" s="33">
        <f t="shared" si="6"/>
        <v>89640</v>
      </c>
      <c r="I166" s="33"/>
      <c r="J166" s="33"/>
      <c r="K166" s="33"/>
      <c r="L166" s="33">
        <f t="shared" si="7"/>
        <v>89640</v>
      </c>
      <c r="M166" s="33"/>
      <c r="N166" s="33"/>
      <c r="O166" s="33" t="s">
        <v>49</v>
      </c>
      <c r="P166" s="33">
        <v>5036002480</v>
      </c>
      <c r="Q166" s="33">
        <v>503601001</v>
      </c>
      <c r="R166" s="33" t="s">
        <v>50</v>
      </c>
      <c r="S166" s="33" t="s">
        <v>51</v>
      </c>
      <c r="T166" s="33">
        <v>2</v>
      </c>
      <c r="U166" s="33" t="s">
        <v>2638</v>
      </c>
      <c r="V166">
        <f ca="1">G166/100*RANDBETWEEN(3,5)</f>
        <v>5378.4000000000005</v>
      </c>
      <c r="W166">
        <f ca="1">G166/100*RANDBETWEEN(6,8)</f>
        <v>6454.08</v>
      </c>
    </row>
    <row r="167" spans="1:23" x14ac:dyDescent="0.25">
      <c r="A167" s="34" t="s">
        <v>2685</v>
      </c>
      <c r="B167" t="s">
        <v>2683</v>
      </c>
      <c r="C167" t="s">
        <v>2679</v>
      </c>
      <c r="D167" t="s">
        <v>2680</v>
      </c>
      <c r="E167" t="s">
        <v>33</v>
      </c>
      <c r="F167" t="s">
        <v>2681</v>
      </c>
      <c r="G167">
        <f ca="1">G166+V166</f>
        <v>112946.4</v>
      </c>
      <c r="H167">
        <f t="shared" ca="1" si="6"/>
        <v>94122</v>
      </c>
      <c r="L167">
        <f t="shared" ca="1" si="7"/>
        <v>94122</v>
      </c>
      <c r="O167" t="s">
        <v>2449</v>
      </c>
      <c r="P167">
        <v>5036002480</v>
      </c>
      <c r="Q167">
        <v>503601001</v>
      </c>
      <c r="R167" t="s">
        <v>50</v>
      </c>
      <c r="S167" t="s">
        <v>51</v>
      </c>
      <c r="T167">
        <v>2</v>
      </c>
      <c r="U167" t="s">
        <v>2638</v>
      </c>
    </row>
    <row r="168" spans="1:23" x14ac:dyDescent="0.25">
      <c r="A168" s="34" t="s">
        <v>2686</v>
      </c>
      <c r="B168" t="s">
        <v>2683</v>
      </c>
      <c r="C168" t="s">
        <v>2679</v>
      </c>
      <c r="D168" t="s">
        <v>2680</v>
      </c>
      <c r="E168" t="s">
        <v>33</v>
      </c>
      <c r="F168" t="s">
        <v>2681</v>
      </c>
      <c r="G168">
        <f ca="1">G166+W166</f>
        <v>114022.08</v>
      </c>
      <c r="H168">
        <f t="shared" ca="1" si="6"/>
        <v>95018.400000000009</v>
      </c>
      <c r="L168">
        <f t="shared" ca="1" si="7"/>
        <v>95018.400000000009</v>
      </c>
      <c r="O168" t="s">
        <v>2450</v>
      </c>
      <c r="P168">
        <v>5036002480</v>
      </c>
      <c r="Q168">
        <v>503601001</v>
      </c>
      <c r="R168" t="s">
        <v>50</v>
      </c>
      <c r="S168" t="s">
        <v>51</v>
      </c>
      <c r="T168">
        <v>2</v>
      </c>
      <c r="U168" t="s">
        <v>2638</v>
      </c>
    </row>
    <row r="169" spans="1:23" x14ac:dyDescent="0.25">
      <c r="A169" s="34" t="s">
        <v>2691</v>
      </c>
      <c r="B169" s="33" t="s">
        <v>2690</v>
      </c>
      <c r="C169" s="33" t="s">
        <v>2687</v>
      </c>
      <c r="D169" s="33" t="s">
        <v>2688</v>
      </c>
      <c r="E169" s="33" t="s">
        <v>33</v>
      </c>
      <c r="F169" s="33" t="s">
        <v>2668</v>
      </c>
      <c r="G169" s="33" t="s">
        <v>2689</v>
      </c>
      <c r="H169" s="33">
        <f t="shared" si="6"/>
        <v>73690</v>
      </c>
      <c r="I169" s="33"/>
      <c r="J169" s="33"/>
      <c r="K169" s="33"/>
      <c r="L169" s="33">
        <f t="shared" si="7"/>
        <v>73690</v>
      </c>
      <c r="M169" s="33"/>
      <c r="N169" s="33"/>
      <c r="O169" s="33" t="s">
        <v>49</v>
      </c>
      <c r="P169" s="33">
        <v>5036002480</v>
      </c>
      <c r="Q169" s="33">
        <v>503601001</v>
      </c>
      <c r="R169" s="33" t="s">
        <v>50</v>
      </c>
      <c r="S169" s="33" t="s">
        <v>51</v>
      </c>
      <c r="T169" s="33">
        <v>2</v>
      </c>
      <c r="U169" s="33" t="s">
        <v>2638</v>
      </c>
      <c r="V169">
        <f ca="1">G169/100*RANDBETWEEN(3,5)</f>
        <v>4421.3999999999996</v>
      </c>
      <c r="W169">
        <f ca="1">G169/100*RANDBETWEEN(6,8)</f>
        <v>5305.68</v>
      </c>
    </row>
    <row r="170" spans="1:23" x14ac:dyDescent="0.25">
      <c r="A170" s="34" t="s">
        <v>2692</v>
      </c>
      <c r="B170" t="s">
        <v>2690</v>
      </c>
      <c r="C170" t="s">
        <v>2687</v>
      </c>
      <c r="D170" t="s">
        <v>2688</v>
      </c>
      <c r="E170" t="s">
        <v>33</v>
      </c>
      <c r="F170" t="s">
        <v>2668</v>
      </c>
      <c r="G170">
        <f ca="1">G169+V169</f>
        <v>92849.4</v>
      </c>
      <c r="H170">
        <f t="shared" ca="1" si="6"/>
        <v>77374.5</v>
      </c>
      <c r="L170">
        <f t="shared" ca="1" si="7"/>
        <v>77374.5</v>
      </c>
      <c r="O170" t="s">
        <v>2449</v>
      </c>
      <c r="P170">
        <v>5036002480</v>
      </c>
      <c r="Q170">
        <v>503601001</v>
      </c>
      <c r="R170" t="s">
        <v>50</v>
      </c>
      <c r="S170" t="s">
        <v>51</v>
      </c>
      <c r="T170">
        <v>2</v>
      </c>
      <c r="U170" t="s">
        <v>2638</v>
      </c>
    </row>
    <row r="171" spans="1:23" x14ac:dyDescent="0.25">
      <c r="A171" s="34" t="s">
        <v>2693</v>
      </c>
      <c r="B171" t="s">
        <v>2690</v>
      </c>
      <c r="C171" t="s">
        <v>2687</v>
      </c>
      <c r="D171" t="s">
        <v>2688</v>
      </c>
      <c r="E171" t="s">
        <v>33</v>
      </c>
      <c r="F171" t="s">
        <v>2668</v>
      </c>
      <c r="G171">
        <f ca="1">G169+W169</f>
        <v>93733.68</v>
      </c>
      <c r="H171">
        <f t="shared" ca="1" si="6"/>
        <v>78111.399999999994</v>
      </c>
      <c r="L171">
        <f t="shared" ca="1" si="7"/>
        <v>78111.399999999994</v>
      </c>
      <c r="O171" t="s">
        <v>2450</v>
      </c>
      <c r="P171">
        <v>5036002480</v>
      </c>
      <c r="Q171">
        <v>503601001</v>
      </c>
      <c r="R171" t="s">
        <v>50</v>
      </c>
      <c r="S171" t="s">
        <v>51</v>
      </c>
      <c r="T171">
        <v>2</v>
      </c>
      <c r="U171" t="s">
        <v>2638</v>
      </c>
    </row>
    <row r="172" spans="1:23" x14ac:dyDescent="0.25">
      <c r="A172" s="34" t="s">
        <v>2697</v>
      </c>
      <c r="B172" s="33" t="s">
        <v>2696</v>
      </c>
      <c r="C172" s="33" t="s">
        <v>2694</v>
      </c>
      <c r="D172" s="33" t="s">
        <v>2695</v>
      </c>
      <c r="E172" s="33" t="s">
        <v>31</v>
      </c>
      <c r="F172" s="33">
        <v>28</v>
      </c>
      <c r="G172" s="33">
        <v>94.51</v>
      </c>
      <c r="H172" s="33">
        <f t="shared" si="6"/>
        <v>78.75833333333334</v>
      </c>
      <c r="I172" s="33"/>
      <c r="J172" s="33"/>
      <c r="K172" s="33"/>
      <c r="L172" s="33">
        <f t="shared" si="7"/>
        <v>78.75833333333334</v>
      </c>
      <c r="M172" s="33"/>
      <c r="N172" s="33"/>
      <c r="O172" s="33" t="s">
        <v>47</v>
      </c>
      <c r="P172" s="33">
        <v>7804274156</v>
      </c>
      <c r="Q172" s="33">
        <v>780401001</v>
      </c>
      <c r="R172" s="33" t="s">
        <v>48</v>
      </c>
      <c r="S172" s="33" t="s">
        <v>42</v>
      </c>
      <c r="T172" s="33">
        <v>2</v>
      </c>
      <c r="U172" s="33" t="s">
        <v>2324</v>
      </c>
      <c r="V172">
        <f ca="1">G172/100*RANDBETWEEN(3,5)</f>
        <v>4.7255000000000003</v>
      </c>
      <c r="W172">
        <f ca="1">G172/100*RANDBETWEEN(6,8)</f>
        <v>7.5608000000000004</v>
      </c>
    </row>
    <row r="173" spans="1:23" x14ac:dyDescent="0.25">
      <c r="A173" s="34" t="s">
        <v>2698</v>
      </c>
      <c r="B173" t="s">
        <v>2696</v>
      </c>
      <c r="C173" t="s">
        <v>2694</v>
      </c>
      <c r="D173" t="s">
        <v>2695</v>
      </c>
      <c r="E173" t="s">
        <v>31</v>
      </c>
      <c r="F173">
        <v>28</v>
      </c>
      <c r="G173">
        <f ca="1">G172+V172</f>
        <v>99.235500000000002</v>
      </c>
      <c r="H173">
        <f t="shared" ca="1" si="6"/>
        <v>82.696250000000006</v>
      </c>
      <c r="L173">
        <f t="shared" ca="1" si="7"/>
        <v>82.696250000000006</v>
      </c>
      <c r="O173" t="s">
        <v>2449</v>
      </c>
      <c r="P173">
        <v>7804274156</v>
      </c>
      <c r="Q173">
        <v>780401001</v>
      </c>
      <c r="R173" t="s">
        <v>48</v>
      </c>
      <c r="S173" t="s">
        <v>42</v>
      </c>
      <c r="T173">
        <v>2</v>
      </c>
      <c r="U173" t="s">
        <v>2324</v>
      </c>
    </row>
    <row r="174" spans="1:23" x14ac:dyDescent="0.25">
      <c r="A174" s="34" t="s">
        <v>2699</v>
      </c>
      <c r="B174" t="s">
        <v>2696</v>
      </c>
      <c r="C174" t="s">
        <v>2694</v>
      </c>
      <c r="D174" t="s">
        <v>2695</v>
      </c>
      <c r="E174" t="s">
        <v>31</v>
      </c>
      <c r="F174">
        <v>28</v>
      </c>
      <c r="G174">
        <f ca="1">G172+W172</f>
        <v>102.07080000000001</v>
      </c>
      <c r="H174">
        <f t="shared" ca="1" si="6"/>
        <v>85.059000000000012</v>
      </c>
      <c r="L174">
        <f t="shared" ca="1" si="7"/>
        <v>85.059000000000012</v>
      </c>
      <c r="O174" t="s">
        <v>2450</v>
      </c>
      <c r="P174">
        <v>7804274156</v>
      </c>
      <c r="Q174">
        <v>780401001</v>
      </c>
      <c r="R174" t="s">
        <v>48</v>
      </c>
      <c r="S174" t="s">
        <v>42</v>
      </c>
      <c r="T174">
        <v>2</v>
      </c>
      <c r="U174" t="s">
        <v>2324</v>
      </c>
    </row>
    <row r="175" spans="1:23" x14ac:dyDescent="0.25">
      <c r="A175" s="34" t="s">
        <v>2703</v>
      </c>
      <c r="B175" s="33" t="s">
        <v>2702</v>
      </c>
      <c r="C175" s="33" t="s">
        <v>2700</v>
      </c>
      <c r="D175" s="33" t="s">
        <v>2701</v>
      </c>
      <c r="E175" s="33" t="s">
        <v>31</v>
      </c>
      <c r="F175" s="33">
        <v>50</v>
      </c>
      <c r="G175" s="33">
        <v>60.23</v>
      </c>
      <c r="H175" s="33">
        <f t="shared" si="6"/>
        <v>50.191666666666663</v>
      </c>
      <c r="I175" s="33"/>
      <c r="J175" s="33"/>
      <c r="K175" s="33"/>
      <c r="L175" s="33">
        <f t="shared" si="7"/>
        <v>50.191666666666663</v>
      </c>
      <c r="M175" s="33"/>
      <c r="N175" s="33"/>
      <c r="O175" s="33" t="s">
        <v>47</v>
      </c>
      <c r="P175" s="33">
        <v>7804274156</v>
      </c>
      <c r="Q175" s="33">
        <v>780401001</v>
      </c>
      <c r="R175" s="33" t="s">
        <v>48</v>
      </c>
      <c r="S175" s="33" t="s">
        <v>42</v>
      </c>
      <c r="T175" s="33">
        <v>2</v>
      </c>
      <c r="U175" s="33" t="s">
        <v>2324</v>
      </c>
      <c r="V175">
        <f ca="1">G175/100*RANDBETWEEN(3,5)</f>
        <v>1.8068999999999997</v>
      </c>
      <c r="W175">
        <f ca="1">G175/100*RANDBETWEEN(6,8)</f>
        <v>4.8183999999999996</v>
      </c>
    </row>
    <row r="176" spans="1:23" x14ac:dyDescent="0.25">
      <c r="A176" s="34" t="s">
        <v>2704</v>
      </c>
      <c r="B176" t="s">
        <v>2702</v>
      </c>
      <c r="C176" t="s">
        <v>2700</v>
      </c>
      <c r="D176" t="s">
        <v>2701</v>
      </c>
      <c r="E176" t="s">
        <v>31</v>
      </c>
      <c r="F176">
        <v>50</v>
      </c>
      <c r="G176">
        <f ca="1">G175+V175</f>
        <v>62.036899999999996</v>
      </c>
      <c r="H176">
        <f t="shared" ca="1" si="6"/>
        <v>51.697416666666662</v>
      </c>
      <c r="L176">
        <f t="shared" ca="1" si="7"/>
        <v>51.697416666666662</v>
      </c>
      <c r="O176" t="s">
        <v>2449</v>
      </c>
      <c r="P176">
        <v>7804274156</v>
      </c>
      <c r="Q176">
        <v>780401001</v>
      </c>
      <c r="R176" t="s">
        <v>48</v>
      </c>
      <c r="S176" t="s">
        <v>42</v>
      </c>
      <c r="T176">
        <v>2</v>
      </c>
      <c r="U176" t="s">
        <v>2324</v>
      </c>
    </row>
    <row r="177" spans="1:23" x14ac:dyDescent="0.25">
      <c r="A177" s="34" t="s">
        <v>2705</v>
      </c>
      <c r="B177" t="s">
        <v>2702</v>
      </c>
      <c r="C177" t="s">
        <v>2700</v>
      </c>
      <c r="D177" t="s">
        <v>2701</v>
      </c>
      <c r="E177" t="s">
        <v>31</v>
      </c>
      <c r="F177">
        <v>50</v>
      </c>
      <c r="G177">
        <f ca="1">G175+W175</f>
        <v>65.048400000000001</v>
      </c>
      <c r="H177">
        <f t="shared" ca="1" si="6"/>
        <v>54.207000000000001</v>
      </c>
      <c r="L177">
        <f t="shared" ca="1" si="7"/>
        <v>54.207000000000001</v>
      </c>
      <c r="O177" t="s">
        <v>2450</v>
      </c>
      <c r="P177">
        <v>7804274156</v>
      </c>
      <c r="Q177">
        <v>780401001</v>
      </c>
      <c r="R177" t="s">
        <v>48</v>
      </c>
      <c r="S177" t="s">
        <v>42</v>
      </c>
      <c r="T177">
        <v>2</v>
      </c>
      <c r="U177" t="s">
        <v>2324</v>
      </c>
    </row>
    <row r="178" spans="1:23" x14ac:dyDescent="0.25">
      <c r="A178" s="34" t="s">
        <v>2708</v>
      </c>
      <c r="B178" s="33" t="s">
        <v>2702</v>
      </c>
      <c r="C178" s="33" t="s">
        <v>2706</v>
      </c>
      <c r="D178" s="33" t="s">
        <v>2707</v>
      </c>
      <c r="E178" s="33" t="s">
        <v>31</v>
      </c>
      <c r="F178" s="33">
        <v>50</v>
      </c>
      <c r="G178" s="33">
        <v>74.72</v>
      </c>
      <c r="H178" s="33">
        <f t="shared" si="6"/>
        <v>62.266666666666666</v>
      </c>
      <c r="I178" s="33"/>
      <c r="J178" s="33"/>
      <c r="K178" s="33"/>
      <c r="L178" s="33">
        <f t="shared" si="7"/>
        <v>62.266666666666666</v>
      </c>
      <c r="M178" s="33"/>
      <c r="N178" s="33"/>
      <c r="O178" s="33" t="s">
        <v>47</v>
      </c>
      <c r="P178" s="33">
        <v>7804274156</v>
      </c>
      <c r="Q178" s="33">
        <v>780401001</v>
      </c>
      <c r="R178" s="33" t="s">
        <v>48</v>
      </c>
      <c r="S178" s="33" t="s">
        <v>42</v>
      </c>
      <c r="T178" s="33">
        <v>2</v>
      </c>
      <c r="U178" s="33" t="s">
        <v>2324</v>
      </c>
      <c r="V178">
        <f ca="1">G178/100*RANDBETWEEN(3,5)</f>
        <v>2.9887999999999999</v>
      </c>
      <c r="W178">
        <f ca="1">G178/100*RANDBETWEEN(6,8)</f>
        <v>5.9775999999999998</v>
      </c>
    </row>
    <row r="179" spans="1:23" x14ac:dyDescent="0.25">
      <c r="A179" s="34" t="s">
        <v>2709</v>
      </c>
      <c r="B179" t="s">
        <v>2702</v>
      </c>
      <c r="C179" t="s">
        <v>2706</v>
      </c>
      <c r="D179" t="s">
        <v>2707</v>
      </c>
      <c r="E179" t="s">
        <v>31</v>
      </c>
      <c r="F179">
        <v>50</v>
      </c>
      <c r="G179">
        <f ca="1">G178+V178</f>
        <v>77.708799999999997</v>
      </c>
      <c r="H179">
        <f t="shared" ca="1" si="6"/>
        <v>64.757333333333335</v>
      </c>
      <c r="L179">
        <f t="shared" ca="1" si="7"/>
        <v>64.757333333333335</v>
      </c>
      <c r="O179" t="s">
        <v>2449</v>
      </c>
      <c r="P179">
        <v>7804274156</v>
      </c>
      <c r="Q179">
        <v>780401001</v>
      </c>
      <c r="R179" t="s">
        <v>48</v>
      </c>
      <c r="S179" t="s">
        <v>42</v>
      </c>
      <c r="T179">
        <v>2</v>
      </c>
      <c r="U179" t="s">
        <v>2324</v>
      </c>
    </row>
    <row r="180" spans="1:23" x14ac:dyDescent="0.25">
      <c r="A180" s="34" t="s">
        <v>2710</v>
      </c>
      <c r="B180" t="s">
        <v>2702</v>
      </c>
      <c r="C180" t="s">
        <v>2706</v>
      </c>
      <c r="D180" t="s">
        <v>2707</v>
      </c>
      <c r="E180" t="s">
        <v>31</v>
      </c>
      <c r="F180">
        <v>50</v>
      </c>
      <c r="G180">
        <f ca="1">G178+W178</f>
        <v>80.697599999999994</v>
      </c>
      <c r="H180">
        <f t="shared" ca="1" si="6"/>
        <v>67.248000000000005</v>
      </c>
      <c r="L180">
        <f t="shared" ca="1" si="7"/>
        <v>67.248000000000005</v>
      </c>
      <c r="O180" t="s">
        <v>2450</v>
      </c>
      <c r="P180">
        <v>7804274156</v>
      </c>
      <c r="Q180">
        <v>780401001</v>
      </c>
      <c r="R180" t="s">
        <v>48</v>
      </c>
      <c r="S180" t="s">
        <v>42</v>
      </c>
      <c r="T180">
        <v>2</v>
      </c>
      <c r="U180" t="s">
        <v>2324</v>
      </c>
    </row>
    <row r="181" spans="1:23" x14ac:dyDescent="0.25">
      <c r="A181" s="34" t="s">
        <v>2713</v>
      </c>
      <c r="B181" s="33" t="s">
        <v>2712</v>
      </c>
      <c r="C181" s="33" t="s">
        <v>2711</v>
      </c>
      <c r="D181" s="33" t="s">
        <v>2711</v>
      </c>
      <c r="E181" s="33" t="s">
        <v>29</v>
      </c>
      <c r="F181" s="33">
        <v>100</v>
      </c>
      <c r="G181" s="33">
        <v>2.23</v>
      </c>
      <c r="H181" s="33">
        <f t="shared" si="6"/>
        <v>1.8583333333333334</v>
      </c>
      <c r="I181" s="33"/>
      <c r="J181" s="33"/>
      <c r="K181" s="33"/>
      <c r="L181" s="33">
        <f t="shared" si="7"/>
        <v>1.8583333333333334</v>
      </c>
      <c r="M181" s="33"/>
      <c r="N181" s="33"/>
      <c r="O181" s="33" t="s">
        <v>47</v>
      </c>
      <c r="P181" s="33">
        <v>7804274156</v>
      </c>
      <c r="Q181" s="33">
        <v>780401001</v>
      </c>
      <c r="R181" s="33" t="s">
        <v>48</v>
      </c>
      <c r="S181" s="33" t="s">
        <v>42</v>
      </c>
      <c r="T181" s="33">
        <v>2</v>
      </c>
      <c r="U181" s="33" t="s">
        <v>2324</v>
      </c>
      <c r="V181">
        <f ca="1">G181/100*RANDBETWEEN(3,5)</f>
        <v>0.1115</v>
      </c>
      <c r="W181">
        <f ca="1">G181/100*RANDBETWEEN(6,8)</f>
        <v>0.15610000000000002</v>
      </c>
    </row>
    <row r="182" spans="1:23" x14ac:dyDescent="0.25">
      <c r="A182" s="34" t="s">
        <v>2714</v>
      </c>
      <c r="B182" t="s">
        <v>2712</v>
      </c>
      <c r="C182" t="s">
        <v>2711</v>
      </c>
      <c r="D182" t="s">
        <v>2711</v>
      </c>
      <c r="E182" t="s">
        <v>29</v>
      </c>
      <c r="F182">
        <v>100</v>
      </c>
      <c r="G182">
        <f ca="1">G181+V181</f>
        <v>2.3414999999999999</v>
      </c>
      <c r="H182">
        <f t="shared" ca="1" si="6"/>
        <v>1.9512499999999999</v>
      </c>
      <c r="L182">
        <f t="shared" ca="1" si="7"/>
        <v>1.9512499999999999</v>
      </c>
      <c r="O182" t="s">
        <v>2449</v>
      </c>
      <c r="P182">
        <v>7804274156</v>
      </c>
      <c r="Q182">
        <v>780401001</v>
      </c>
      <c r="R182" t="s">
        <v>48</v>
      </c>
      <c r="S182" t="s">
        <v>42</v>
      </c>
      <c r="T182">
        <v>2</v>
      </c>
      <c r="U182" t="s">
        <v>2324</v>
      </c>
    </row>
    <row r="183" spans="1:23" x14ac:dyDescent="0.25">
      <c r="A183" s="34" t="s">
        <v>2715</v>
      </c>
      <c r="B183" t="s">
        <v>2712</v>
      </c>
      <c r="C183" t="s">
        <v>2711</v>
      </c>
      <c r="D183" t="s">
        <v>2711</v>
      </c>
      <c r="E183" t="s">
        <v>29</v>
      </c>
      <c r="F183">
        <v>100</v>
      </c>
      <c r="G183">
        <f ca="1">G181+W181</f>
        <v>2.3860999999999999</v>
      </c>
      <c r="H183">
        <f t="shared" ca="1" si="6"/>
        <v>1.9884166666666667</v>
      </c>
      <c r="L183">
        <f t="shared" ca="1" si="7"/>
        <v>1.9884166666666667</v>
      </c>
      <c r="O183" t="s">
        <v>2450</v>
      </c>
      <c r="P183">
        <v>7804274156</v>
      </c>
      <c r="Q183">
        <v>780401001</v>
      </c>
      <c r="R183" t="s">
        <v>48</v>
      </c>
      <c r="S183" t="s">
        <v>42</v>
      </c>
      <c r="T183">
        <v>2</v>
      </c>
      <c r="U183" t="s">
        <v>2324</v>
      </c>
    </row>
    <row r="184" spans="1:23" x14ac:dyDescent="0.25">
      <c r="A184" s="34" t="s">
        <v>2717</v>
      </c>
      <c r="B184" s="33" t="s">
        <v>2712</v>
      </c>
      <c r="C184" s="33" t="s">
        <v>2716</v>
      </c>
      <c r="D184" s="33" t="s">
        <v>2716</v>
      </c>
      <c r="E184" s="33" t="s">
        <v>29</v>
      </c>
      <c r="F184" s="33">
        <v>100</v>
      </c>
      <c r="G184" s="33">
        <v>3.83</v>
      </c>
      <c r="H184" s="33">
        <f t="shared" si="6"/>
        <v>3.1916666666666669</v>
      </c>
      <c r="I184" s="33"/>
      <c r="J184" s="33"/>
      <c r="K184" s="33"/>
      <c r="L184" s="33">
        <f t="shared" si="7"/>
        <v>3.1916666666666669</v>
      </c>
      <c r="M184" s="33"/>
      <c r="N184" s="33"/>
      <c r="O184" s="33" t="s">
        <v>47</v>
      </c>
      <c r="P184" s="33">
        <v>7804274156</v>
      </c>
      <c r="Q184" s="33">
        <v>780401001</v>
      </c>
      <c r="R184" s="33" t="s">
        <v>48</v>
      </c>
      <c r="S184" s="33" t="s">
        <v>42</v>
      </c>
      <c r="T184" s="33">
        <v>2</v>
      </c>
      <c r="U184" s="33" t="s">
        <v>2324</v>
      </c>
      <c r="V184">
        <f ca="1">G184/100*RANDBETWEEN(3,5)</f>
        <v>0.1915</v>
      </c>
      <c r="W184">
        <f ca="1">G184/100*RANDBETWEEN(6,8)</f>
        <v>0.2298</v>
      </c>
    </row>
    <row r="185" spans="1:23" x14ac:dyDescent="0.25">
      <c r="A185" s="34" t="s">
        <v>2718</v>
      </c>
      <c r="B185" t="s">
        <v>2712</v>
      </c>
      <c r="C185" t="s">
        <v>2716</v>
      </c>
      <c r="D185" t="s">
        <v>2716</v>
      </c>
      <c r="E185" t="s">
        <v>29</v>
      </c>
      <c r="F185">
        <v>100</v>
      </c>
      <c r="G185">
        <f ca="1">G184+V184</f>
        <v>4.0214999999999996</v>
      </c>
      <c r="H185">
        <f t="shared" ca="1" si="6"/>
        <v>3.3512499999999998</v>
      </c>
      <c r="L185">
        <f t="shared" ca="1" si="7"/>
        <v>3.3512499999999998</v>
      </c>
      <c r="O185" t="s">
        <v>2449</v>
      </c>
      <c r="P185">
        <v>7804274156</v>
      </c>
      <c r="Q185">
        <v>780401001</v>
      </c>
      <c r="R185" t="s">
        <v>48</v>
      </c>
      <c r="S185" t="s">
        <v>42</v>
      </c>
      <c r="T185">
        <v>2</v>
      </c>
      <c r="U185" t="s">
        <v>2324</v>
      </c>
    </row>
    <row r="186" spans="1:23" x14ac:dyDescent="0.25">
      <c r="A186" s="34" t="s">
        <v>2719</v>
      </c>
      <c r="B186" t="s">
        <v>2712</v>
      </c>
      <c r="C186" t="s">
        <v>2716</v>
      </c>
      <c r="D186" t="s">
        <v>2716</v>
      </c>
      <c r="E186" t="s">
        <v>29</v>
      </c>
      <c r="F186">
        <v>100</v>
      </c>
      <c r="G186">
        <f ca="1">G184+W184</f>
        <v>4.0598000000000001</v>
      </c>
      <c r="H186">
        <f t="shared" ca="1" si="6"/>
        <v>3.3831666666666669</v>
      </c>
      <c r="L186">
        <f t="shared" ca="1" si="7"/>
        <v>3.3831666666666669</v>
      </c>
      <c r="O186" t="s">
        <v>2450</v>
      </c>
      <c r="P186">
        <v>7804274156</v>
      </c>
      <c r="Q186">
        <v>780401001</v>
      </c>
      <c r="R186" t="s">
        <v>48</v>
      </c>
      <c r="S186" t="s">
        <v>42</v>
      </c>
      <c r="T186">
        <v>2</v>
      </c>
      <c r="U186" t="s">
        <v>2324</v>
      </c>
    </row>
    <row r="187" spans="1:23" x14ac:dyDescent="0.25">
      <c r="A187" s="34" t="s">
        <v>2722</v>
      </c>
      <c r="B187" s="33" t="s">
        <v>2721</v>
      </c>
      <c r="C187" s="33" t="s">
        <v>2720</v>
      </c>
      <c r="D187" s="33" t="s">
        <v>2720</v>
      </c>
      <c r="E187" s="33" t="s">
        <v>2644</v>
      </c>
      <c r="F187" s="33">
        <v>3</v>
      </c>
      <c r="G187" s="33">
        <v>238.42</v>
      </c>
      <c r="H187" s="33">
        <f t="shared" si="6"/>
        <v>198.68333333333334</v>
      </c>
      <c r="I187" s="33"/>
      <c r="J187" s="33"/>
      <c r="K187" s="33"/>
      <c r="L187" s="33">
        <f t="shared" si="7"/>
        <v>198.68333333333334</v>
      </c>
      <c r="M187" s="33"/>
      <c r="N187" s="33"/>
      <c r="O187" s="33" t="s">
        <v>47</v>
      </c>
      <c r="P187" s="33">
        <v>7804274156</v>
      </c>
      <c r="Q187" s="33">
        <v>780401001</v>
      </c>
      <c r="R187" s="33" t="s">
        <v>48</v>
      </c>
      <c r="S187" s="33" t="s">
        <v>42</v>
      </c>
      <c r="T187" s="33">
        <v>2</v>
      </c>
      <c r="U187" s="33" t="s">
        <v>2324</v>
      </c>
      <c r="V187">
        <f ca="1">G187/100*RANDBETWEEN(3,5)</f>
        <v>9.5367999999999995</v>
      </c>
      <c r="W187">
        <f ca="1">G187/100*RANDBETWEEN(6,8)</f>
        <v>19.073599999999999</v>
      </c>
    </row>
    <row r="188" spans="1:23" x14ac:dyDescent="0.25">
      <c r="A188" s="34" t="s">
        <v>2723</v>
      </c>
      <c r="B188" t="s">
        <v>2721</v>
      </c>
      <c r="C188" t="s">
        <v>2720</v>
      </c>
      <c r="D188" t="s">
        <v>2720</v>
      </c>
      <c r="E188" t="s">
        <v>2644</v>
      </c>
      <c r="F188">
        <v>3</v>
      </c>
      <c r="G188">
        <f ca="1">G187+V187</f>
        <v>247.95679999999999</v>
      </c>
      <c r="H188">
        <f t="shared" ca="1" si="6"/>
        <v>206.63066666666666</v>
      </c>
      <c r="L188">
        <f t="shared" ca="1" si="7"/>
        <v>206.63066666666666</v>
      </c>
      <c r="O188" t="s">
        <v>2449</v>
      </c>
      <c r="P188">
        <v>7804274156</v>
      </c>
      <c r="Q188">
        <v>780401001</v>
      </c>
      <c r="R188" t="s">
        <v>48</v>
      </c>
      <c r="S188" t="s">
        <v>42</v>
      </c>
      <c r="T188">
        <v>2</v>
      </c>
      <c r="U188" t="s">
        <v>2324</v>
      </c>
    </row>
    <row r="189" spans="1:23" x14ac:dyDescent="0.25">
      <c r="A189" s="34" t="s">
        <v>2724</v>
      </c>
      <c r="B189" t="s">
        <v>2721</v>
      </c>
      <c r="C189" t="s">
        <v>2720</v>
      </c>
      <c r="D189" t="s">
        <v>2720</v>
      </c>
      <c r="E189" t="s">
        <v>2644</v>
      </c>
      <c r="F189">
        <v>3</v>
      </c>
      <c r="G189">
        <f ca="1">G187+W187</f>
        <v>257.49360000000001</v>
      </c>
      <c r="H189">
        <f t="shared" ca="1" si="6"/>
        <v>214.57800000000003</v>
      </c>
      <c r="L189">
        <f t="shared" ca="1" si="7"/>
        <v>214.57800000000003</v>
      </c>
      <c r="O189" t="s">
        <v>2450</v>
      </c>
      <c r="P189">
        <v>7804274156</v>
      </c>
      <c r="Q189">
        <v>780401001</v>
      </c>
      <c r="R189" t="s">
        <v>48</v>
      </c>
      <c r="S189" t="s">
        <v>42</v>
      </c>
      <c r="T189">
        <v>2</v>
      </c>
      <c r="U189" t="s">
        <v>2324</v>
      </c>
    </row>
    <row r="190" spans="1:23" x14ac:dyDescent="0.25">
      <c r="A190" s="34" t="s">
        <v>2727</v>
      </c>
      <c r="B190" s="33" t="s">
        <v>2721</v>
      </c>
      <c r="C190" s="33" t="s">
        <v>2725</v>
      </c>
      <c r="D190" s="33" t="s">
        <v>2726</v>
      </c>
      <c r="E190" s="33" t="s">
        <v>2644</v>
      </c>
      <c r="F190" s="33">
        <v>3</v>
      </c>
      <c r="G190" s="33">
        <v>550.1</v>
      </c>
      <c r="H190" s="33">
        <f t="shared" si="6"/>
        <v>458.41666666666669</v>
      </c>
      <c r="I190" s="33"/>
      <c r="J190" s="33"/>
      <c r="K190" s="33"/>
      <c r="L190" s="33">
        <f t="shared" si="7"/>
        <v>458.41666666666669</v>
      </c>
      <c r="M190" s="33"/>
      <c r="N190" s="33"/>
      <c r="O190" s="33" t="s">
        <v>47</v>
      </c>
      <c r="P190" s="33">
        <v>7804274156</v>
      </c>
      <c r="Q190" s="33">
        <v>780401001</v>
      </c>
      <c r="R190" s="33" t="s">
        <v>48</v>
      </c>
      <c r="S190" s="33" t="s">
        <v>42</v>
      </c>
      <c r="T190" s="33">
        <v>2</v>
      </c>
      <c r="U190" s="33" t="s">
        <v>2324</v>
      </c>
      <c r="V190">
        <f ca="1">G190/100*RANDBETWEEN(3,5)</f>
        <v>22.004000000000001</v>
      </c>
      <c r="W190">
        <f ca="1">G190/100*RANDBETWEEN(6,8)</f>
        <v>44.008000000000003</v>
      </c>
    </row>
    <row r="191" spans="1:23" x14ac:dyDescent="0.25">
      <c r="A191" s="34" t="s">
        <v>2728</v>
      </c>
      <c r="B191" t="s">
        <v>2721</v>
      </c>
      <c r="C191" t="s">
        <v>2725</v>
      </c>
      <c r="D191" t="s">
        <v>2726</v>
      </c>
      <c r="E191" t="s">
        <v>2644</v>
      </c>
      <c r="F191">
        <v>3</v>
      </c>
      <c r="G191">
        <f ca="1">G190+V190</f>
        <v>572.10400000000004</v>
      </c>
      <c r="H191">
        <f t="shared" ca="1" si="6"/>
        <v>476.75333333333339</v>
      </c>
      <c r="L191">
        <f t="shared" ca="1" si="7"/>
        <v>476.75333333333339</v>
      </c>
      <c r="O191" t="s">
        <v>2449</v>
      </c>
      <c r="P191">
        <v>7804274156</v>
      </c>
      <c r="Q191">
        <v>780401001</v>
      </c>
      <c r="R191" t="s">
        <v>48</v>
      </c>
      <c r="S191" t="s">
        <v>42</v>
      </c>
      <c r="T191">
        <v>2</v>
      </c>
      <c r="U191" t="s">
        <v>2324</v>
      </c>
    </row>
    <row r="192" spans="1:23" x14ac:dyDescent="0.25">
      <c r="A192" s="34" t="s">
        <v>2729</v>
      </c>
      <c r="B192" t="s">
        <v>2721</v>
      </c>
      <c r="C192" t="s">
        <v>2725</v>
      </c>
      <c r="D192" t="s">
        <v>2726</v>
      </c>
      <c r="E192" t="s">
        <v>2644</v>
      </c>
      <c r="F192">
        <v>3</v>
      </c>
      <c r="G192">
        <f ca="1">G190+W190</f>
        <v>594.10800000000006</v>
      </c>
      <c r="H192">
        <f t="shared" ca="1" si="6"/>
        <v>495.09000000000009</v>
      </c>
      <c r="L192">
        <f t="shared" ca="1" si="7"/>
        <v>495.09000000000009</v>
      </c>
      <c r="O192" t="s">
        <v>2450</v>
      </c>
      <c r="P192">
        <v>7804274156</v>
      </c>
      <c r="Q192">
        <v>780401001</v>
      </c>
      <c r="R192" t="s">
        <v>48</v>
      </c>
      <c r="S192" t="s">
        <v>42</v>
      </c>
      <c r="T192">
        <v>2</v>
      </c>
      <c r="U192" t="s">
        <v>2324</v>
      </c>
    </row>
    <row r="193" spans="1:23" x14ac:dyDescent="0.25">
      <c r="A193" s="34" t="s">
        <v>2731</v>
      </c>
      <c r="B193" s="33" t="s">
        <v>2721</v>
      </c>
      <c r="C193" s="33" t="s">
        <v>2730</v>
      </c>
      <c r="D193" s="33" t="s">
        <v>2730</v>
      </c>
      <c r="E193" s="33" t="s">
        <v>29</v>
      </c>
      <c r="F193" s="33">
        <v>100</v>
      </c>
      <c r="G193" s="33">
        <v>11.51</v>
      </c>
      <c r="H193" s="33">
        <f t="shared" si="6"/>
        <v>9.5916666666666668</v>
      </c>
      <c r="I193" s="33"/>
      <c r="J193" s="33"/>
      <c r="K193" s="33"/>
      <c r="L193" s="33">
        <f t="shared" si="7"/>
        <v>9.5916666666666668</v>
      </c>
      <c r="M193" s="33"/>
      <c r="N193" s="33"/>
      <c r="O193" s="33" t="s">
        <v>47</v>
      </c>
      <c r="P193" s="33">
        <v>7804274156</v>
      </c>
      <c r="Q193" s="33">
        <v>780401001</v>
      </c>
      <c r="R193" s="33" t="s">
        <v>48</v>
      </c>
      <c r="S193" s="33" t="s">
        <v>42</v>
      </c>
      <c r="T193" s="33">
        <v>2</v>
      </c>
      <c r="U193" s="33" t="s">
        <v>2324</v>
      </c>
      <c r="V193">
        <f ca="1">G193/100*RANDBETWEEN(3,5)</f>
        <v>0.57550000000000001</v>
      </c>
      <c r="W193">
        <f ca="1">G193/100*RANDBETWEEN(6,8)</f>
        <v>0.92079999999999995</v>
      </c>
    </row>
    <row r="194" spans="1:23" x14ac:dyDescent="0.25">
      <c r="A194" s="34" t="s">
        <v>2732</v>
      </c>
      <c r="B194" t="s">
        <v>2721</v>
      </c>
      <c r="C194" t="s">
        <v>2730</v>
      </c>
      <c r="D194" t="s">
        <v>2730</v>
      </c>
      <c r="E194" t="s">
        <v>29</v>
      </c>
      <c r="F194">
        <v>100</v>
      </c>
      <c r="G194">
        <f ca="1">G193+V193</f>
        <v>12.0855</v>
      </c>
      <c r="H194">
        <f t="shared" ca="1" si="6"/>
        <v>10.071250000000001</v>
      </c>
      <c r="L194">
        <f t="shared" ca="1" si="7"/>
        <v>10.071250000000001</v>
      </c>
      <c r="O194" t="s">
        <v>2449</v>
      </c>
      <c r="P194">
        <v>7804274156</v>
      </c>
      <c r="Q194">
        <v>780401001</v>
      </c>
      <c r="R194" t="s">
        <v>48</v>
      </c>
      <c r="S194" t="s">
        <v>42</v>
      </c>
      <c r="T194">
        <v>2</v>
      </c>
      <c r="U194" t="s">
        <v>2324</v>
      </c>
    </row>
    <row r="195" spans="1:23" x14ac:dyDescent="0.25">
      <c r="A195" s="34" t="s">
        <v>2733</v>
      </c>
      <c r="B195" t="s">
        <v>2721</v>
      </c>
      <c r="C195" t="s">
        <v>2730</v>
      </c>
      <c r="D195" t="s">
        <v>2730</v>
      </c>
      <c r="E195" t="s">
        <v>29</v>
      </c>
      <c r="F195">
        <v>100</v>
      </c>
      <c r="G195">
        <f ca="1">G193+W193</f>
        <v>12.4308</v>
      </c>
      <c r="H195">
        <f t="shared" ca="1" si="6"/>
        <v>10.359</v>
      </c>
      <c r="L195">
        <f t="shared" ca="1" si="7"/>
        <v>10.359</v>
      </c>
      <c r="O195" t="s">
        <v>2450</v>
      </c>
      <c r="P195">
        <v>7804274156</v>
      </c>
      <c r="Q195">
        <v>780401001</v>
      </c>
      <c r="R195" t="s">
        <v>48</v>
      </c>
      <c r="S195" t="s">
        <v>42</v>
      </c>
      <c r="T195">
        <v>2</v>
      </c>
      <c r="U195" t="s">
        <v>2324</v>
      </c>
    </row>
    <row r="196" spans="1:23" x14ac:dyDescent="0.25">
      <c r="A196" s="34" t="s">
        <v>2737</v>
      </c>
      <c r="B196" s="33" t="s">
        <v>2736</v>
      </c>
      <c r="C196" s="33" t="s">
        <v>2734</v>
      </c>
      <c r="D196" s="33" t="s">
        <v>2735</v>
      </c>
      <c r="E196" s="33" t="s">
        <v>29</v>
      </c>
      <c r="F196" s="33">
        <v>350</v>
      </c>
      <c r="G196" s="33">
        <v>0.71</v>
      </c>
      <c r="H196" s="33">
        <f t="shared" si="6"/>
        <v>0.59166666666666667</v>
      </c>
      <c r="I196" s="33"/>
      <c r="J196" s="33"/>
      <c r="K196" s="33"/>
      <c r="L196" s="33">
        <f t="shared" si="7"/>
        <v>0.59166666666666667</v>
      </c>
      <c r="M196" s="33"/>
      <c r="N196" s="33"/>
      <c r="O196" s="33" t="s">
        <v>47</v>
      </c>
      <c r="P196" s="33">
        <v>7804274156</v>
      </c>
      <c r="Q196" s="33">
        <v>780401001</v>
      </c>
      <c r="R196" s="33" t="s">
        <v>48</v>
      </c>
      <c r="S196" s="33" t="s">
        <v>42</v>
      </c>
      <c r="T196" s="33">
        <v>2</v>
      </c>
      <c r="U196" s="33" t="s">
        <v>2324</v>
      </c>
      <c r="V196">
        <f ca="1">G196/100*RANDBETWEEN(3,5)</f>
        <v>3.5499999999999997E-2</v>
      </c>
      <c r="W196">
        <f ca="1">G196/100*RANDBETWEEN(6,8)</f>
        <v>5.6799999999999996E-2</v>
      </c>
    </row>
    <row r="197" spans="1:23" x14ac:dyDescent="0.25">
      <c r="A197" s="34" t="s">
        <v>2738</v>
      </c>
      <c r="B197" t="s">
        <v>2736</v>
      </c>
      <c r="C197" t="s">
        <v>2734</v>
      </c>
      <c r="D197" t="s">
        <v>2735</v>
      </c>
      <c r="E197" t="s">
        <v>29</v>
      </c>
      <c r="F197">
        <v>350</v>
      </c>
      <c r="G197">
        <f ca="1">G196+V196</f>
        <v>0.74549999999999994</v>
      </c>
      <c r="H197">
        <f t="shared" ca="1" si="6"/>
        <v>0.62124999999999997</v>
      </c>
      <c r="L197">
        <f t="shared" ca="1" si="7"/>
        <v>0.62124999999999997</v>
      </c>
      <c r="O197" t="s">
        <v>2449</v>
      </c>
      <c r="P197">
        <v>7804274156</v>
      </c>
      <c r="Q197">
        <v>780401001</v>
      </c>
      <c r="R197" t="s">
        <v>48</v>
      </c>
      <c r="S197" t="s">
        <v>42</v>
      </c>
      <c r="T197">
        <v>2</v>
      </c>
      <c r="U197" t="s">
        <v>2324</v>
      </c>
    </row>
    <row r="198" spans="1:23" x14ac:dyDescent="0.25">
      <c r="A198" s="34" t="s">
        <v>2739</v>
      </c>
      <c r="B198" t="s">
        <v>2736</v>
      </c>
      <c r="C198" t="s">
        <v>2734</v>
      </c>
      <c r="D198" t="s">
        <v>2735</v>
      </c>
      <c r="E198" t="s">
        <v>29</v>
      </c>
      <c r="F198">
        <v>350</v>
      </c>
      <c r="G198">
        <f ca="1">G196+W196</f>
        <v>0.76679999999999993</v>
      </c>
      <c r="H198">
        <f t="shared" ca="1" si="6"/>
        <v>0.63900000000000001</v>
      </c>
      <c r="L198">
        <f t="shared" ca="1" si="7"/>
        <v>0.63900000000000001</v>
      </c>
      <c r="O198" t="s">
        <v>2450</v>
      </c>
      <c r="P198">
        <v>7804274156</v>
      </c>
      <c r="Q198">
        <v>780401001</v>
      </c>
      <c r="R198" t="s">
        <v>48</v>
      </c>
      <c r="S198" t="s">
        <v>42</v>
      </c>
      <c r="T198">
        <v>2</v>
      </c>
      <c r="U198" t="s">
        <v>2324</v>
      </c>
    </row>
    <row r="199" spans="1:23" x14ac:dyDescent="0.25">
      <c r="A199" s="34" t="s">
        <v>2741</v>
      </c>
      <c r="B199" s="33" t="s">
        <v>2736</v>
      </c>
      <c r="C199" s="33" t="s">
        <v>2740</v>
      </c>
      <c r="D199" s="33" t="s">
        <v>2740</v>
      </c>
      <c r="E199" s="33" t="s">
        <v>29</v>
      </c>
      <c r="F199" s="33">
        <v>70</v>
      </c>
      <c r="G199" s="33">
        <v>30.98</v>
      </c>
      <c r="H199" s="33">
        <f t="shared" si="6"/>
        <v>25.816666666666666</v>
      </c>
      <c r="I199" s="33"/>
      <c r="J199" s="33"/>
      <c r="K199" s="33"/>
      <c r="L199" s="33">
        <f t="shared" si="7"/>
        <v>25.816666666666666</v>
      </c>
      <c r="M199" s="33"/>
      <c r="N199" s="33"/>
      <c r="O199" s="33" t="s">
        <v>47</v>
      </c>
      <c r="P199" s="33">
        <v>7804274156</v>
      </c>
      <c r="Q199" s="33">
        <v>780401001</v>
      </c>
      <c r="R199" s="33" t="s">
        <v>48</v>
      </c>
      <c r="S199" s="33" t="s">
        <v>42</v>
      </c>
      <c r="T199" s="33">
        <v>2</v>
      </c>
      <c r="U199" s="33" t="s">
        <v>2324</v>
      </c>
      <c r="V199">
        <f ca="1">G199/100*RANDBETWEEN(3,5)</f>
        <v>1.2392000000000001</v>
      </c>
      <c r="W199">
        <f ca="1">G199/100*RANDBETWEEN(6,8)</f>
        <v>2.4784000000000002</v>
      </c>
    </row>
    <row r="200" spans="1:23" x14ac:dyDescent="0.25">
      <c r="A200" s="34" t="s">
        <v>2742</v>
      </c>
      <c r="B200" t="s">
        <v>2736</v>
      </c>
      <c r="C200" t="s">
        <v>2740</v>
      </c>
      <c r="D200" t="s">
        <v>2740</v>
      </c>
      <c r="E200" t="s">
        <v>29</v>
      </c>
      <c r="F200">
        <v>70</v>
      </c>
      <c r="G200">
        <f ca="1">G199+V199</f>
        <v>32.219200000000001</v>
      </c>
      <c r="H200">
        <f t="shared" ca="1" si="6"/>
        <v>26.849333333333334</v>
      </c>
      <c r="L200">
        <f t="shared" ca="1" si="7"/>
        <v>26.849333333333334</v>
      </c>
      <c r="O200" t="s">
        <v>2449</v>
      </c>
      <c r="P200">
        <v>7804274156</v>
      </c>
      <c r="Q200">
        <v>780401001</v>
      </c>
      <c r="R200" t="s">
        <v>48</v>
      </c>
      <c r="S200" t="s">
        <v>42</v>
      </c>
      <c r="T200">
        <v>2</v>
      </c>
      <c r="U200" t="s">
        <v>2324</v>
      </c>
    </row>
    <row r="201" spans="1:23" x14ac:dyDescent="0.25">
      <c r="A201" s="34" t="s">
        <v>2743</v>
      </c>
      <c r="B201" t="s">
        <v>2736</v>
      </c>
      <c r="C201" t="s">
        <v>2740</v>
      </c>
      <c r="D201" t="s">
        <v>2740</v>
      </c>
      <c r="E201" t="s">
        <v>29</v>
      </c>
      <c r="F201">
        <v>70</v>
      </c>
      <c r="G201">
        <f ca="1">G199+W199</f>
        <v>33.458399999999997</v>
      </c>
      <c r="H201">
        <f t="shared" ca="1" si="6"/>
        <v>27.881999999999998</v>
      </c>
      <c r="L201">
        <f t="shared" ca="1" si="7"/>
        <v>27.881999999999998</v>
      </c>
      <c r="O201" t="s">
        <v>2450</v>
      </c>
      <c r="P201">
        <v>7804274156</v>
      </c>
      <c r="Q201">
        <v>780401001</v>
      </c>
      <c r="R201" t="s">
        <v>48</v>
      </c>
      <c r="S201" t="s">
        <v>42</v>
      </c>
      <c r="T201">
        <v>2</v>
      </c>
      <c r="U201" t="s">
        <v>2324</v>
      </c>
    </row>
    <row r="202" spans="1:23" x14ac:dyDescent="0.25">
      <c r="A202" s="34" t="s">
        <v>2746</v>
      </c>
      <c r="B202" s="33" t="s">
        <v>2745</v>
      </c>
      <c r="C202" s="33" t="s">
        <v>2744</v>
      </c>
      <c r="D202" s="33" t="s">
        <v>2744</v>
      </c>
      <c r="E202" s="33" t="s">
        <v>31</v>
      </c>
      <c r="F202" s="33">
        <v>5</v>
      </c>
      <c r="G202" s="33">
        <v>105.59</v>
      </c>
      <c r="H202" s="33">
        <f t="shared" si="6"/>
        <v>87.991666666666674</v>
      </c>
      <c r="I202" s="33"/>
      <c r="J202" s="33"/>
      <c r="K202" s="33"/>
      <c r="L202" s="33">
        <f t="shared" si="7"/>
        <v>87.991666666666674</v>
      </c>
      <c r="M202" s="33"/>
      <c r="N202" s="33"/>
      <c r="O202" s="33" t="s">
        <v>47</v>
      </c>
      <c r="P202" s="33">
        <v>7804274156</v>
      </c>
      <c r="Q202" s="33">
        <v>780401001</v>
      </c>
      <c r="R202" s="33" t="s">
        <v>48</v>
      </c>
      <c r="S202" s="33" t="s">
        <v>42</v>
      </c>
      <c r="T202" s="33">
        <v>2</v>
      </c>
      <c r="U202" s="33" t="s">
        <v>2324</v>
      </c>
      <c r="V202">
        <f ca="1">G202/100*RANDBETWEEN(3,5)</f>
        <v>3.1677</v>
      </c>
      <c r="W202">
        <f ca="1">G202/100*RANDBETWEEN(6,8)</f>
        <v>8.4472000000000005</v>
      </c>
    </row>
    <row r="203" spans="1:23" x14ac:dyDescent="0.25">
      <c r="A203" s="34" t="s">
        <v>2747</v>
      </c>
      <c r="B203" t="s">
        <v>2745</v>
      </c>
      <c r="C203" t="s">
        <v>2744</v>
      </c>
      <c r="D203" t="s">
        <v>2744</v>
      </c>
      <c r="E203" t="s">
        <v>31</v>
      </c>
      <c r="F203">
        <v>5</v>
      </c>
      <c r="G203">
        <f ca="1">G202+V202</f>
        <v>108.7577</v>
      </c>
      <c r="H203">
        <f t="shared" ca="1" si="6"/>
        <v>90.631416666666667</v>
      </c>
      <c r="L203">
        <f t="shared" ca="1" si="7"/>
        <v>90.631416666666667</v>
      </c>
      <c r="O203" t="s">
        <v>2449</v>
      </c>
      <c r="P203">
        <v>7804274156</v>
      </c>
      <c r="Q203">
        <v>780401001</v>
      </c>
      <c r="R203" t="s">
        <v>48</v>
      </c>
      <c r="S203" t="s">
        <v>42</v>
      </c>
      <c r="T203">
        <v>2</v>
      </c>
      <c r="U203" t="s">
        <v>2324</v>
      </c>
    </row>
    <row r="204" spans="1:23" x14ac:dyDescent="0.25">
      <c r="A204" s="34" t="s">
        <v>2748</v>
      </c>
      <c r="B204" t="s">
        <v>2745</v>
      </c>
      <c r="C204" t="s">
        <v>2744</v>
      </c>
      <c r="D204" t="s">
        <v>2744</v>
      </c>
      <c r="E204" t="s">
        <v>31</v>
      </c>
      <c r="F204">
        <v>5</v>
      </c>
      <c r="G204">
        <f ca="1">G202+W202</f>
        <v>114.0372</v>
      </c>
      <c r="H204">
        <f t="shared" ca="1" si="6"/>
        <v>95.031000000000006</v>
      </c>
      <c r="L204">
        <f t="shared" ca="1" si="7"/>
        <v>95.031000000000006</v>
      </c>
      <c r="O204" t="s">
        <v>2450</v>
      </c>
      <c r="P204">
        <v>7804274156</v>
      </c>
      <c r="Q204">
        <v>780401001</v>
      </c>
      <c r="R204" t="s">
        <v>48</v>
      </c>
      <c r="S204" t="s">
        <v>42</v>
      </c>
      <c r="T204">
        <v>2</v>
      </c>
      <c r="U204" t="s">
        <v>2324</v>
      </c>
    </row>
    <row r="205" spans="1:23" x14ac:dyDescent="0.25">
      <c r="A205" s="34" t="s">
        <v>2751</v>
      </c>
      <c r="B205" s="33" t="s">
        <v>2750</v>
      </c>
      <c r="C205" s="33" t="s">
        <v>2749</v>
      </c>
      <c r="D205" s="33" t="s">
        <v>2749</v>
      </c>
      <c r="E205" s="33" t="s">
        <v>29</v>
      </c>
      <c r="F205" s="33">
        <v>100</v>
      </c>
      <c r="G205" s="33">
        <v>25.22</v>
      </c>
      <c r="H205" s="33">
        <f t="shared" si="6"/>
        <v>21.016666666666666</v>
      </c>
      <c r="I205" s="33"/>
      <c r="J205" s="33"/>
      <c r="K205" s="33"/>
      <c r="L205" s="33">
        <f t="shared" si="7"/>
        <v>21.016666666666666</v>
      </c>
      <c r="M205" s="33"/>
      <c r="N205" s="33"/>
      <c r="O205" s="33" t="s">
        <v>47</v>
      </c>
      <c r="P205" s="33">
        <v>7804274156</v>
      </c>
      <c r="Q205" s="33">
        <v>780401001</v>
      </c>
      <c r="R205" s="33" t="s">
        <v>48</v>
      </c>
      <c r="S205" s="33" t="s">
        <v>42</v>
      </c>
      <c r="T205" s="33">
        <v>2</v>
      </c>
      <c r="U205" s="33" t="s">
        <v>2324</v>
      </c>
      <c r="V205">
        <f ca="1">G205/100*RANDBETWEEN(3,5)</f>
        <v>1.2609999999999999</v>
      </c>
      <c r="W205">
        <f ca="1">G205/100*RANDBETWEEN(6,8)</f>
        <v>2.0175999999999998</v>
      </c>
    </row>
    <row r="206" spans="1:23" x14ac:dyDescent="0.25">
      <c r="A206" s="34" t="s">
        <v>2752</v>
      </c>
      <c r="B206" t="s">
        <v>2750</v>
      </c>
      <c r="C206" t="s">
        <v>2749</v>
      </c>
      <c r="D206" t="s">
        <v>2749</v>
      </c>
      <c r="E206" t="s">
        <v>29</v>
      </c>
      <c r="F206">
        <v>100</v>
      </c>
      <c r="G206">
        <f ca="1">G205+V205</f>
        <v>26.480999999999998</v>
      </c>
      <c r="H206">
        <f t="shared" ca="1" si="6"/>
        <v>22.067499999999999</v>
      </c>
      <c r="L206">
        <f t="shared" ca="1" si="7"/>
        <v>22.067499999999999</v>
      </c>
      <c r="O206" t="s">
        <v>2449</v>
      </c>
      <c r="P206">
        <v>7804274156</v>
      </c>
      <c r="Q206">
        <v>780401001</v>
      </c>
      <c r="R206" t="s">
        <v>48</v>
      </c>
      <c r="S206" t="s">
        <v>42</v>
      </c>
      <c r="T206">
        <v>2</v>
      </c>
      <c r="U206" t="s">
        <v>2324</v>
      </c>
    </row>
    <row r="207" spans="1:23" x14ac:dyDescent="0.25">
      <c r="A207" s="34" t="s">
        <v>2753</v>
      </c>
      <c r="B207" t="s">
        <v>2750</v>
      </c>
      <c r="C207" t="s">
        <v>2749</v>
      </c>
      <c r="D207" t="s">
        <v>2749</v>
      </c>
      <c r="E207" t="s">
        <v>29</v>
      </c>
      <c r="F207">
        <v>100</v>
      </c>
      <c r="G207">
        <f ca="1">G205+W205</f>
        <v>27.2376</v>
      </c>
      <c r="H207">
        <f t="shared" ca="1" si="6"/>
        <v>22.698</v>
      </c>
      <c r="L207">
        <f t="shared" ca="1" si="7"/>
        <v>22.698</v>
      </c>
      <c r="O207" t="s">
        <v>2450</v>
      </c>
      <c r="P207">
        <v>7804274156</v>
      </c>
      <c r="Q207">
        <v>780401001</v>
      </c>
      <c r="R207" t="s">
        <v>48</v>
      </c>
      <c r="S207" t="s">
        <v>42</v>
      </c>
      <c r="T207">
        <v>2</v>
      </c>
      <c r="U207" t="s">
        <v>2324</v>
      </c>
    </row>
    <row r="208" spans="1:23" x14ac:dyDescent="0.25">
      <c r="A208" s="34" t="s">
        <v>2756</v>
      </c>
      <c r="B208" s="33" t="s">
        <v>2755</v>
      </c>
      <c r="C208" s="33" t="s">
        <v>2754</v>
      </c>
      <c r="D208" s="33" t="s">
        <v>2754</v>
      </c>
      <c r="E208" s="33" t="s">
        <v>2644</v>
      </c>
      <c r="F208" s="33">
        <v>150</v>
      </c>
      <c r="G208" s="33">
        <v>412.39</v>
      </c>
      <c r="H208" s="33">
        <f t="shared" si="6"/>
        <v>343.65833333333336</v>
      </c>
      <c r="I208" s="33"/>
      <c r="J208" s="33"/>
      <c r="K208" s="33"/>
      <c r="L208" s="33">
        <f t="shared" si="7"/>
        <v>343.65833333333336</v>
      </c>
      <c r="M208" s="33"/>
      <c r="N208" s="33"/>
      <c r="O208" s="33" t="s">
        <v>47</v>
      </c>
      <c r="P208" s="33">
        <v>7804274156</v>
      </c>
      <c r="Q208" s="33">
        <v>780401001</v>
      </c>
      <c r="R208" s="33" t="s">
        <v>48</v>
      </c>
      <c r="S208" s="33" t="s">
        <v>42</v>
      </c>
      <c r="T208" s="33">
        <v>2</v>
      </c>
      <c r="U208" s="33" t="s">
        <v>2324</v>
      </c>
      <c r="V208">
        <f ca="1">G208/100*RANDBETWEEN(3,5)</f>
        <v>16.4956</v>
      </c>
      <c r="W208">
        <f ca="1">G208/100*RANDBETWEEN(6,8)</f>
        <v>24.743400000000001</v>
      </c>
    </row>
    <row r="209" spans="1:23" x14ac:dyDescent="0.25">
      <c r="A209" s="34" t="s">
        <v>2757</v>
      </c>
      <c r="B209" t="s">
        <v>2755</v>
      </c>
      <c r="C209" t="s">
        <v>2754</v>
      </c>
      <c r="D209" t="s">
        <v>2754</v>
      </c>
      <c r="E209" t="s">
        <v>2644</v>
      </c>
      <c r="F209">
        <v>150</v>
      </c>
      <c r="G209">
        <f ca="1">G208+V208</f>
        <v>428.88560000000001</v>
      </c>
      <c r="H209">
        <f t="shared" ca="1" si="6"/>
        <v>357.40466666666669</v>
      </c>
      <c r="L209">
        <f t="shared" ca="1" si="7"/>
        <v>357.40466666666669</v>
      </c>
      <c r="O209" t="s">
        <v>2449</v>
      </c>
      <c r="P209">
        <v>7804274156</v>
      </c>
      <c r="Q209">
        <v>780401001</v>
      </c>
      <c r="R209" t="s">
        <v>48</v>
      </c>
      <c r="S209" t="s">
        <v>42</v>
      </c>
      <c r="T209">
        <v>2</v>
      </c>
      <c r="U209" t="s">
        <v>2324</v>
      </c>
    </row>
    <row r="210" spans="1:23" x14ac:dyDescent="0.25">
      <c r="A210" s="34" t="s">
        <v>2758</v>
      </c>
      <c r="B210" t="s">
        <v>2755</v>
      </c>
      <c r="C210" t="s">
        <v>2754</v>
      </c>
      <c r="D210" t="s">
        <v>2754</v>
      </c>
      <c r="E210" t="s">
        <v>2644</v>
      </c>
      <c r="F210">
        <v>150</v>
      </c>
      <c r="G210">
        <f ca="1">G208+W208</f>
        <v>437.13339999999999</v>
      </c>
      <c r="H210">
        <f t="shared" ca="1" si="6"/>
        <v>364.27783333333332</v>
      </c>
      <c r="L210">
        <f t="shared" ca="1" si="7"/>
        <v>364.27783333333332</v>
      </c>
      <c r="O210" t="s">
        <v>2450</v>
      </c>
      <c r="P210">
        <v>7804274156</v>
      </c>
      <c r="Q210">
        <v>780401001</v>
      </c>
      <c r="R210" t="s">
        <v>48</v>
      </c>
      <c r="S210" t="s">
        <v>42</v>
      </c>
      <c r="T210">
        <v>2</v>
      </c>
      <c r="U210" t="s">
        <v>2324</v>
      </c>
    </row>
    <row r="211" spans="1:23" x14ac:dyDescent="0.25">
      <c r="A211" s="34" t="s">
        <v>2761</v>
      </c>
      <c r="B211" s="33" t="s">
        <v>2760</v>
      </c>
      <c r="C211" s="33" t="s">
        <v>2759</v>
      </c>
      <c r="D211" s="33" t="s">
        <v>2759</v>
      </c>
      <c r="E211" s="33" t="s">
        <v>29</v>
      </c>
      <c r="F211" s="33">
        <v>48</v>
      </c>
      <c r="G211" s="33">
        <v>95.32</v>
      </c>
      <c r="H211" s="33">
        <f t="shared" si="6"/>
        <v>79.433333333333337</v>
      </c>
      <c r="I211" s="33"/>
      <c r="J211" s="33"/>
      <c r="K211" s="33"/>
      <c r="L211" s="33">
        <f t="shared" si="7"/>
        <v>79.433333333333337</v>
      </c>
      <c r="M211" s="33"/>
      <c r="N211" s="33"/>
      <c r="O211" s="33" t="s">
        <v>47</v>
      </c>
      <c r="P211" s="33">
        <v>7804274156</v>
      </c>
      <c r="Q211" s="33">
        <v>780401001</v>
      </c>
      <c r="R211" s="33" t="s">
        <v>48</v>
      </c>
      <c r="S211" s="33" t="s">
        <v>42</v>
      </c>
      <c r="T211" s="33">
        <v>2</v>
      </c>
      <c r="U211" s="33" t="s">
        <v>2324</v>
      </c>
      <c r="V211">
        <f ca="1">G211/100*RANDBETWEEN(3,5)</f>
        <v>4.766</v>
      </c>
      <c r="W211">
        <f ca="1">G211/100*RANDBETWEEN(6,8)</f>
        <v>5.7191999999999998</v>
      </c>
    </row>
    <row r="212" spans="1:23" x14ac:dyDescent="0.25">
      <c r="A212" s="34" t="s">
        <v>2762</v>
      </c>
      <c r="B212" t="s">
        <v>2760</v>
      </c>
      <c r="C212" t="s">
        <v>2759</v>
      </c>
      <c r="D212" t="s">
        <v>2759</v>
      </c>
      <c r="E212" t="s">
        <v>29</v>
      </c>
      <c r="F212">
        <v>48</v>
      </c>
      <c r="G212">
        <f ca="1">G211+V211</f>
        <v>100.086</v>
      </c>
      <c r="H212">
        <f t="shared" ca="1" si="6"/>
        <v>83.405000000000001</v>
      </c>
      <c r="L212">
        <f t="shared" ca="1" si="7"/>
        <v>83.405000000000001</v>
      </c>
      <c r="O212" t="s">
        <v>2449</v>
      </c>
      <c r="P212">
        <v>7804274156</v>
      </c>
      <c r="Q212">
        <v>780401001</v>
      </c>
      <c r="R212" t="s">
        <v>48</v>
      </c>
      <c r="S212" t="s">
        <v>42</v>
      </c>
      <c r="T212">
        <v>2</v>
      </c>
      <c r="U212" t="s">
        <v>2324</v>
      </c>
    </row>
    <row r="213" spans="1:23" x14ac:dyDescent="0.25">
      <c r="A213" s="34" t="s">
        <v>2763</v>
      </c>
      <c r="B213" t="s">
        <v>2760</v>
      </c>
      <c r="C213" t="s">
        <v>2759</v>
      </c>
      <c r="D213" t="s">
        <v>2759</v>
      </c>
      <c r="E213" t="s">
        <v>29</v>
      </c>
      <c r="F213">
        <v>48</v>
      </c>
      <c r="G213">
        <f ca="1">G211+W211</f>
        <v>101.03919999999999</v>
      </c>
      <c r="H213">
        <f t="shared" ca="1" si="6"/>
        <v>84.199333333333328</v>
      </c>
      <c r="L213">
        <f t="shared" ca="1" si="7"/>
        <v>84.199333333333328</v>
      </c>
      <c r="O213" t="s">
        <v>2450</v>
      </c>
      <c r="P213">
        <v>7804274156</v>
      </c>
      <c r="Q213">
        <v>780401001</v>
      </c>
      <c r="R213" t="s">
        <v>48</v>
      </c>
      <c r="S213" t="s">
        <v>42</v>
      </c>
      <c r="T213">
        <v>2</v>
      </c>
      <c r="U213" t="s">
        <v>2324</v>
      </c>
    </row>
    <row r="214" spans="1:23" x14ac:dyDescent="0.25">
      <c r="A214" s="34" t="s">
        <v>2765</v>
      </c>
      <c r="B214" s="33" t="s">
        <v>2764</v>
      </c>
      <c r="C214" s="33" t="s">
        <v>2399</v>
      </c>
      <c r="D214" s="33" t="s">
        <v>2399</v>
      </c>
      <c r="E214" s="33" t="s">
        <v>29</v>
      </c>
      <c r="F214" s="33">
        <v>24</v>
      </c>
      <c r="G214" s="33">
        <v>105.35</v>
      </c>
      <c r="H214" s="33">
        <f t="shared" si="6"/>
        <v>87.791666666666671</v>
      </c>
      <c r="I214" s="33"/>
      <c r="J214" s="33"/>
      <c r="K214" s="33"/>
      <c r="L214" s="33">
        <f t="shared" si="7"/>
        <v>87.791666666666671</v>
      </c>
      <c r="M214" s="33"/>
      <c r="N214" s="33"/>
      <c r="O214" s="33" t="s">
        <v>47</v>
      </c>
      <c r="P214" s="33">
        <v>7804274156</v>
      </c>
      <c r="Q214" s="33">
        <v>780401001</v>
      </c>
      <c r="R214" s="33" t="s">
        <v>48</v>
      </c>
      <c r="S214" s="33" t="s">
        <v>42</v>
      </c>
      <c r="T214" s="33">
        <v>2</v>
      </c>
      <c r="U214" s="33" t="s">
        <v>2324</v>
      </c>
      <c r="V214">
        <f ca="1">G214/100*RANDBETWEEN(3,5)</f>
        <v>5.2674999999999992</v>
      </c>
      <c r="W214">
        <f ca="1">G214/100*RANDBETWEEN(6,8)</f>
        <v>6.3209999999999997</v>
      </c>
    </row>
    <row r="215" spans="1:23" x14ac:dyDescent="0.25">
      <c r="A215" s="34" t="s">
        <v>2766</v>
      </c>
      <c r="B215" t="s">
        <v>2764</v>
      </c>
      <c r="C215" t="s">
        <v>2399</v>
      </c>
      <c r="D215" t="s">
        <v>2399</v>
      </c>
      <c r="E215" t="s">
        <v>29</v>
      </c>
      <c r="F215">
        <v>24</v>
      </c>
      <c r="G215">
        <f ca="1">G214+V214</f>
        <v>110.61749999999999</v>
      </c>
      <c r="H215">
        <f t="shared" ca="1" si="6"/>
        <v>92.181249999999991</v>
      </c>
      <c r="L215">
        <f t="shared" ca="1" si="7"/>
        <v>92.181249999999991</v>
      </c>
      <c r="O215" t="s">
        <v>2449</v>
      </c>
      <c r="P215">
        <v>7804274156</v>
      </c>
      <c r="Q215">
        <v>780401001</v>
      </c>
      <c r="R215" t="s">
        <v>48</v>
      </c>
      <c r="S215" t="s">
        <v>42</v>
      </c>
      <c r="T215">
        <v>2</v>
      </c>
      <c r="U215" t="s">
        <v>2324</v>
      </c>
    </row>
    <row r="216" spans="1:23" x14ac:dyDescent="0.25">
      <c r="A216" s="34" t="s">
        <v>2767</v>
      </c>
      <c r="B216" t="s">
        <v>2764</v>
      </c>
      <c r="C216" t="s">
        <v>2399</v>
      </c>
      <c r="D216" t="s">
        <v>2399</v>
      </c>
      <c r="E216" t="s">
        <v>29</v>
      </c>
      <c r="F216">
        <v>24</v>
      </c>
      <c r="G216">
        <f ca="1">G214+W214</f>
        <v>111.67099999999999</v>
      </c>
      <c r="H216">
        <f t="shared" ca="1" si="6"/>
        <v>93.05916666666667</v>
      </c>
      <c r="L216">
        <f t="shared" ca="1" si="7"/>
        <v>93.05916666666667</v>
      </c>
      <c r="O216" t="s">
        <v>2450</v>
      </c>
      <c r="P216">
        <v>7804274156</v>
      </c>
      <c r="Q216">
        <v>780401001</v>
      </c>
      <c r="R216" t="s">
        <v>48</v>
      </c>
      <c r="S216" t="s">
        <v>42</v>
      </c>
      <c r="T216">
        <v>2</v>
      </c>
      <c r="U216" t="s">
        <v>2324</v>
      </c>
    </row>
    <row r="217" spans="1:23" x14ac:dyDescent="0.25">
      <c r="A217" s="34" t="s">
        <v>2770</v>
      </c>
      <c r="B217" s="33" t="s">
        <v>2769</v>
      </c>
      <c r="C217" s="33" t="s">
        <v>2768</v>
      </c>
      <c r="D217" s="33" t="s">
        <v>2768</v>
      </c>
      <c r="E217" s="33" t="s">
        <v>29</v>
      </c>
      <c r="F217" s="33">
        <v>12</v>
      </c>
      <c r="G217" s="33">
        <v>40.01</v>
      </c>
      <c r="H217" s="33">
        <f t="shared" si="6"/>
        <v>33.341666666666669</v>
      </c>
      <c r="I217" s="33"/>
      <c r="J217" s="33"/>
      <c r="K217" s="33"/>
      <c r="L217" s="33">
        <f t="shared" si="7"/>
        <v>33.341666666666669</v>
      </c>
      <c r="M217" s="33"/>
      <c r="N217" s="33"/>
      <c r="O217" s="33" t="s">
        <v>47</v>
      </c>
      <c r="P217" s="33">
        <v>7804274156</v>
      </c>
      <c r="Q217" s="33">
        <v>780401001</v>
      </c>
      <c r="R217" s="33" t="s">
        <v>48</v>
      </c>
      <c r="S217" s="33" t="s">
        <v>42</v>
      </c>
      <c r="T217" s="33">
        <v>2</v>
      </c>
      <c r="U217" s="33" t="s">
        <v>2324</v>
      </c>
      <c r="V217">
        <f ca="1">G217/100*RANDBETWEEN(3,5)</f>
        <v>1.6003999999999998</v>
      </c>
      <c r="W217">
        <f ca="1">G217/100*RANDBETWEEN(6,8)</f>
        <v>2.4005999999999998</v>
      </c>
    </row>
    <row r="218" spans="1:23" x14ac:dyDescent="0.25">
      <c r="A218" s="34" t="s">
        <v>2771</v>
      </c>
      <c r="B218" t="s">
        <v>2769</v>
      </c>
      <c r="C218" t="s">
        <v>2768</v>
      </c>
      <c r="D218" t="s">
        <v>2768</v>
      </c>
      <c r="E218" t="s">
        <v>29</v>
      </c>
      <c r="F218">
        <v>12</v>
      </c>
      <c r="G218">
        <f ca="1">G217+V217</f>
        <v>41.610399999999998</v>
      </c>
      <c r="H218">
        <f t="shared" ca="1" si="6"/>
        <v>34.675333333333334</v>
      </c>
      <c r="L218">
        <f t="shared" ca="1" si="7"/>
        <v>34.675333333333334</v>
      </c>
      <c r="O218" t="s">
        <v>2449</v>
      </c>
      <c r="P218">
        <v>7804274156</v>
      </c>
      <c r="Q218">
        <v>780401001</v>
      </c>
      <c r="R218" t="s">
        <v>48</v>
      </c>
      <c r="S218" t="s">
        <v>42</v>
      </c>
      <c r="T218">
        <v>2</v>
      </c>
      <c r="U218" t="s">
        <v>2324</v>
      </c>
    </row>
    <row r="219" spans="1:23" x14ac:dyDescent="0.25">
      <c r="A219" s="34" t="s">
        <v>2772</v>
      </c>
      <c r="B219" t="s">
        <v>2769</v>
      </c>
      <c r="C219" t="s">
        <v>2768</v>
      </c>
      <c r="D219" t="s">
        <v>2768</v>
      </c>
      <c r="E219" t="s">
        <v>29</v>
      </c>
      <c r="F219">
        <v>12</v>
      </c>
      <c r="G219">
        <f ca="1">G217+W217</f>
        <v>42.410599999999995</v>
      </c>
      <c r="H219">
        <f t="shared" ca="1" si="6"/>
        <v>35.342166666666664</v>
      </c>
      <c r="L219">
        <f t="shared" ca="1" si="7"/>
        <v>35.342166666666664</v>
      </c>
      <c r="O219" t="s">
        <v>2450</v>
      </c>
      <c r="P219">
        <v>7804274156</v>
      </c>
      <c r="Q219">
        <v>780401001</v>
      </c>
      <c r="R219" t="s">
        <v>48</v>
      </c>
      <c r="S219" t="s">
        <v>42</v>
      </c>
      <c r="T219">
        <v>2</v>
      </c>
      <c r="U219" t="s">
        <v>2324</v>
      </c>
    </row>
    <row r="220" spans="1:23" x14ac:dyDescent="0.25">
      <c r="A220" s="34" t="s">
        <v>2775</v>
      </c>
      <c r="B220" s="33" t="s">
        <v>2774</v>
      </c>
      <c r="C220" s="33" t="s">
        <v>2773</v>
      </c>
      <c r="D220" s="33" t="s">
        <v>2773</v>
      </c>
      <c r="E220" s="33" t="s">
        <v>29</v>
      </c>
      <c r="F220" s="33">
        <v>2</v>
      </c>
      <c r="G220" s="33">
        <v>44.29</v>
      </c>
      <c r="H220" s="33">
        <f t="shared" si="6"/>
        <v>36.908333333333331</v>
      </c>
      <c r="I220" s="33"/>
      <c r="J220" s="33"/>
      <c r="K220" s="33"/>
      <c r="L220" s="33">
        <f t="shared" si="7"/>
        <v>36.908333333333331</v>
      </c>
      <c r="M220" s="33"/>
      <c r="N220" s="33"/>
      <c r="O220" s="33" t="s">
        <v>47</v>
      </c>
      <c r="P220" s="33">
        <v>7804274156</v>
      </c>
      <c r="Q220" s="33">
        <v>780401001</v>
      </c>
      <c r="R220" s="33" t="s">
        <v>48</v>
      </c>
      <c r="S220" s="33" t="s">
        <v>42</v>
      </c>
      <c r="T220" s="33">
        <v>2</v>
      </c>
      <c r="U220" s="33" t="s">
        <v>2324</v>
      </c>
      <c r="V220">
        <f ca="1">G220/100*RANDBETWEEN(3,5)</f>
        <v>1.3287</v>
      </c>
      <c r="W220">
        <f ca="1">G220/100*RANDBETWEEN(6,8)</f>
        <v>3.1003000000000003</v>
      </c>
    </row>
    <row r="221" spans="1:23" x14ac:dyDescent="0.25">
      <c r="A221" s="34" t="s">
        <v>2776</v>
      </c>
      <c r="B221" t="s">
        <v>2774</v>
      </c>
      <c r="C221" t="s">
        <v>2773</v>
      </c>
      <c r="D221" t="s">
        <v>2773</v>
      </c>
      <c r="E221" t="s">
        <v>29</v>
      </c>
      <c r="F221">
        <v>2</v>
      </c>
      <c r="G221">
        <f ca="1">G220+V220</f>
        <v>45.618699999999997</v>
      </c>
      <c r="H221">
        <f t="shared" ca="1" si="6"/>
        <v>38.015583333333332</v>
      </c>
      <c r="L221">
        <f t="shared" ca="1" si="7"/>
        <v>38.015583333333332</v>
      </c>
      <c r="O221" t="s">
        <v>2449</v>
      </c>
      <c r="P221">
        <v>7804274156</v>
      </c>
      <c r="Q221">
        <v>780401001</v>
      </c>
      <c r="R221" t="s">
        <v>48</v>
      </c>
      <c r="S221" t="s">
        <v>42</v>
      </c>
      <c r="T221">
        <v>2</v>
      </c>
      <c r="U221" t="s">
        <v>2324</v>
      </c>
    </row>
    <row r="222" spans="1:23" x14ac:dyDescent="0.25">
      <c r="A222" s="34" t="s">
        <v>2777</v>
      </c>
      <c r="B222" t="s">
        <v>2774</v>
      </c>
      <c r="C222" t="s">
        <v>2773</v>
      </c>
      <c r="D222" t="s">
        <v>2773</v>
      </c>
      <c r="E222" t="s">
        <v>29</v>
      </c>
      <c r="F222">
        <v>2</v>
      </c>
      <c r="G222">
        <f ca="1">G220+W220</f>
        <v>47.390299999999996</v>
      </c>
      <c r="H222">
        <f t="shared" ca="1" si="6"/>
        <v>39.491916666666668</v>
      </c>
      <c r="L222">
        <f t="shared" ca="1" si="7"/>
        <v>39.491916666666668</v>
      </c>
      <c r="O222" t="s">
        <v>2450</v>
      </c>
      <c r="P222">
        <v>7804274156</v>
      </c>
      <c r="Q222">
        <v>780401001</v>
      </c>
      <c r="R222" t="s">
        <v>48</v>
      </c>
      <c r="S222" t="s">
        <v>42</v>
      </c>
      <c r="T222">
        <v>2</v>
      </c>
      <c r="U222" t="s">
        <v>2324</v>
      </c>
    </row>
    <row r="223" spans="1:23" x14ac:dyDescent="0.25">
      <c r="A223" s="34" t="s">
        <v>2780</v>
      </c>
      <c r="B223" s="33" t="s">
        <v>2779</v>
      </c>
      <c r="C223" s="33" t="s">
        <v>2778</v>
      </c>
      <c r="D223" s="33" t="s">
        <v>2778</v>
      </c>
      <c r="E223" s="33" t="s">
        <v>29</v>
      </c>
      <c r="F223" s="33">
        <v>4</v>
      </c>
      <c r="G223" s="33">
        <v>89.4</v>
      </c>
      <c r="H223" s="33">
        <f t="shared" si="6"/>
        <v>74.500000000000014</v>
      </c>
      <c r="I223" s="33"/>
      <c r="J223" s="33"/>
      <c r="K223" s="33"/>
      <c r="L223" s="33">
        <f t="shared" si="7"/>
        <v>74.500000000000014</v>
      </c>
      <c r="M223" s="33"/>
      <c r="N223" s="33"/>
      <c r="O223" s="33" t="s">
        <v>47</v>
      </c>
      <c r="P223" s="33">
        <v>7804274156</v>
      </c>
      <c r="Q223" s="33">
        <v>780401001</v>
      </c>
      <c r="R223" s="33" t="s">
        <v>48</v>
      </c>
      <c r="S223" s="33" t="s">
        <v>42</v>
      </c>
      <c r="T223" s="33">
        <v>2</v>
      </c>
      <c r="U223" s="33" t="s">
        <v>2324</v>
      </c>
      <c r="V223">
        <f ca="1">G223/100*RANDBETWEEN(3,5)</f>
        <v>2.6819999999999999</v>
      </c>
      <c r="W223">
        <f ca="1">G223/100*RANDBETWEEN(6,8)</f>
        <v>6.258</v>
      </c>
    </row>
    <row r="224" spans="1:23" x14ac:dyDescent="0.25">
      <c r="A224" s="34" t="s">
        <v>2781</v>
      </c>
      <c r="B224" t="s">
        <v>2779</v>
      </c>
      <c r="C224" t="s">
        <v>2778</v>
      </c>
      <c r="D224" t="s">
        <v>2778</v>
      </c>
      <c r="E224" t="s">
        <v>29</v>
      </c>
      <c r="F224">
        <v>4</v>
      </c>
      <c r="G224">
        <f ca="1">G223+V223</f>
        <v>92.082000000000008</v>
      </c>
      <c r="H224">
        <f t="shared" ca="1" si="6"/>
        <v>76.735000000000014</v>
      </c>
      <c r="L224">
        <f t="shared" ca="1" si="7"/>
        <v>76.735000000000014</v>
      </c>
      <c r="O224" t="s">
        <v>2449</v>
      </c>
      <c r="P224">
        <v>7804274156</v>
      </c>
      <c r="Q224">
        <v>780401001</v>
      </c>
      <c r="R224" t="s">
        <v>48</v>
      </c>
      <c r="S224" t="s">
        <v>42</v>
      </c>
      <c r="T224">
        <v>2</v>
      </c>
      <c r="U224" t="s">
        <v>2324</v>
      </c>
    </row>
    <row r="225" spans="1:23" x14ac:dyDescent="0.25">
      <c r="A225" s="34" t="s">
        <v>2782</v>
      </c>
      <c r="B225" t="s">
        <v>2779</v>
      </c>
      <c r="C225" t="s">
        <v>2778</v>
      </c>
      <c r="D225" t="s">
        <v>2778</v>
      </c>
      <c r="E225" t="s">
        <v>29</v>
      </c>
      <c r="F225">
        <v>4</v>
      </c>
      <c r="G225">
        <f ca="1">G223+W223</f>
        <v>95.658000000000001</v>
      </c>
      <c r="H225">
        <f t="shared" ca="1" si="6"/>
        <v>79.715000000000003</v>
      </c>
      <c r="L225">
        <f t="shared" ca="1" si="7"/>
        <v>79.715000000000003</v>
      </c>
      <c r="O225" t="s">
        <v>2450</v>
      </c>
      <c r="P225">
        <v>7804274156</v>
      </c>
      <c r="Q225">
        <v>780401001</v>
      </c>
      <c r="R225" t="s">
        <v>48</v>
      </c>
      <c r="S225" t="s">
        <v>42</v>
      </c>
      <c r="T225">
        <v>2</v>
      </c>
      <c r="U225" t="s">
        <v>2324</v>
      </c>
    </row>
    <row r="226" spans="1:23" x14ac:dyDescent="0.25">
      <c r="A226" s="34" t="s">
        <v>2783</v>
      </c>
      <c r="B226" s="33" t="s">
        <v>2769</v>
      </c>
      <c r="C226" s="33" t="s">
        <v>2274</v>
      </c>
      <c r="D226" s="33" t="s">
        <v>2274</v>
      </c>
      <c r="E226" s="33" t="s">
        <v>29</v>
      </c>
      <c r="F226" s="33">
        <v>50</v>
      </c>
      <c r="G226" s="33">
        <v>136.12</v>
      </c>
      <c r="H226" s="33">
        <f t="shared" ref="H226:H252" si="8">G226/1.2</f>
        <v>113.43333333333334</v>
      </c>
      <c r="I226" s="33"/>
      <c r="J226" s="33"/>
      <c r="K226" s="33"/>
      <c r="L226" s="33">
        <f t="shared" ref="L226:L252" si="9">H226+I226+K226</f>
        <v>113.43333333333334</v>
      </c>
      <c r="M226" s="33"/>
      <c r="N226" s="33"/>
      <c r="O226" s="33" t="s">
        <v>47</v>
      </c>
      <c r="P226" s="33">
        <v>7804274156</v>
      </c>
      <c r="Q226" s="33">
        <v>780401001</v>
      </c>
      <c r="R226" s="33" t="s">
        <v>48</v>
      </c>
      <c r="S226" s="33" t="s">
        <v>42</v>
      </c>
      <c r="T226" s="33">
        <v>2</v>
      </c>
      <c r="U226" s="33" t="s">
        <v>2324</v>
      </c>
      <c r="V226">
        <f ca="1">G226/100*RANDBETWEEN(3,5)</f>
        <v>5.4447999999999999</v>
      </c>
      <c r="W226">
        <f ca="1">G226/100*RANDBETWEEN(6,8)</f>
        <v>10.8896</v>
      </c>
    </row>
    <row r="227" spans="1:23" x14ac:dyDescent="0.25">
      <c r="A227" s="34" t="s">
        <v>2784</v>
      </c>
      <c r="B227" t="s">
        <v>2769</v>
      </c>
      <c r="C227" t="s">
        <v>2274</v>
      </c>
      <c r="D227" t="s">
        <v>2274</v>
      </c>
      <c r="E227" t="s">
        <v>29</v>
      </c>
      <c r="F227">
        <v>50</v>
      </c>
      <c r="G227">
        <f ca="1">G226+V226</f>
        <v>141.56479999999999</v>
      </c>
      <c r="H227">
        <f t="shared" ca="1" si="8"/>
        <v>117.97066666666666</v>
      </c>
      <c r="L227">
        <f t="shared" ca="1" si="9"/>
        <v>117.97066666666666</v>
      </c>
      <c r="O227" t="s">
        <v>2449</v>
      </c>
      <c r="P227">
        <v>7804274156</v>
      </c>
      <c r="Q227">
        <v>780401001</v>
      </c>
      <c r="R227" t="s">
        <v>48</v>
      </c>
      <c r="S227" t="s">
        <v>42</v>
      </c>
      <c r="T227">
        <v>2</v>
      </c>
      <c r="U227" t="s">
        <v>2324</v>
      </c>
    </row>
    <row r="228" spans="1:23" x14ac:dyDescent="0.25">
      <c r="A228" s="34" t="s">
        <v>2785</v>
      </c>
      <c r="B228" t="s">
        <v>2769</v>
      </c>
      <c r="C228" t="s">
        <v>2274</v>
      </c>
      <c r="D228" t="s">
        <v>2274</v>
      </c>
      <c r="E228" t="s">
        <v>29</v>
      </c>
      <c r="F228">
        <v>50</v>
      </c>
      <c r="G228">
        <f ca="1">G226+W226</f>
        <v>147.00960000000001</v>
      </c>
      <c r="H228">
        <f t="shared" ca="1" si="8"/>
        <v>122.50800000000001</v>
      </c>
      <c r="L228">
        <f t="shared" ca="1" si="9"/>
        <v>122.50800000000001</v>
      </c>
      <c r="O228" t="s">
        <v>2450</v>
      </c>
      <c r="P228">
        <v>7804274156</v>
      </c>
      <c r="Q228">
        <v>780401001</v>
      </c>
      <c r="R228" t="s">
        <v>48</v>
      </c>
      <c r="S228" t="s">
        <v>42</v>
      </c>
      <c r="T228">
        <v>2</v>
      </c>
      <c r="U228" t="s">
        <v>2324</v>
      </c>
    </row>
    <row r="229" spans="1:23" x14ac:dyDescent="0.25">
      <c r="A229" s="34" t="s">
        <v>2789</v>
      </c>
      <c r="B229" s="33" t="s">
        <v>2788</v>
      </c>
      <c r="C229" s="33" t="s">
        <v>2408</v>
      </c>
      <c r="D229" s="33" t="s">
        <v>2408</v>
      </c>
      <c r="E229" s="33" t="s">
        <v>35</v>
      </c>
      <c r="F229" s="33" t="s">
        <v>2786</v>
      </c>
      <c r="G229" s="33" t="s">
        <v>2787</v>
      </c>
      <c r="H229" s="33">
        <f t="shared" si="8"/>
        <v>193.33333333333334</v>
      </c>
      <c r="I229" s="33"/>
      <c r="J229" s="33"/>
      <c r="K229" s="33"/>
      <c r="L229" s="33">
        <f t="shared" si="9"/>
        <v>193.33333333333334</v>
      </c>
      <c r="M229" s="33"/>
      <c r="N229" s="33"/>
      <c r="O229" s="33" t="s">
        <v>2792</v>
      </c>
      <c r="P229" s="33">
        <v>7802348846</v>
      </c>
      <c r="Q229" s="33">
        <v>997350001</v>
      </c>
      <c r="R229" s="33" t="s">
        <v>2793</v>
      </c>
      <c r="S229" s="33" t="s">
        <v>42</v>
      </c>
      <c r="T229" s="33"/>
      <c r="U229" s="33" t="s">
        <v>2324</v>
      </c>
      <c r="V229">
        <f ca="1">G229/100*RANDBETWEEN(3,5)</f>
        <v>11.6</v>
      </c>
      <c r="W229">
        <f ca="1">G229/100*RANDBETWEEN(6,8)</f>
        <v>13.919999999999998</v>
      </c>
    </row>
    <row r="230" spans="1:23" x14ac:dyDescent="0.25">
      <c r="A230" s="34" t="s">
        <v>2790</v>
      </c>
      <c r="B230" t="s">
        <v>2788</v>
      </c>
      <c r="C230" t="s">
        <v>2408</v>
      </c>
      <c r="D230" t="s">
        <v>2408</v>
      </c>
      <c r="E230" t="s">
        <v>35</v>
      </c>
      <c r="F230" t="s">
        <v>2786</v>
      </c>
      <c r="G230">
        <f ca="1">G229+V229</f>
        <v>243.6</v>
      </c>
      <c r="H230">
        <f t="shared" ca="1" si="8"/>
        <v>203</v>
      </c>
      <c r="L230">
        <f t="shared" ca="1" si="9"/>
        <v>203</v>
      </c>
      <c r="O230" t="s">
        <v>2792</v>
      </c>
      <c r="P230">
        <v>7802348846</v>
      </c>
      <c r="Q230">
        <v>997350001</v>
      </c>
      <c r="R230" t="s">
        <v>2793</v>
      </c>
      <c r="S230" t="s">
        <v>42</v>
      </c>
      <c r="U230" t="s">
        <v>2324</v>
      </c>
    </row>
    <row r="231" spans="1:23" x14ac:dyDescent="0.25">
      <c r="A231" s="34" t="s">
        <v>2791</v>
      </c>
      <c r="B231" t="s">
        <v>2788</v>
      </c>
      <c r="C231" t="s">
        <v>2408</v>
      </c>
      <c r="D231" t="s">
        <v>2408</v>
      </c>
      <c r="E231" t="s">
        <v>35</v>
      </c>
      <c r="F231" t="s">
        <v>2786</v>
      </c>
      <c r="G231">
        <f ca="1">G229+W229</f>
        <v>245.92</v>
      </c>
      <c r="H231">
        <f t="shared" ca="1" si="8"/>
        <v>204.93333333333334</v>
      </c>
      <c r="L231">
        <f t="shared" ca="1" si="9"/>
        <v>204.93333333333334</v>
      </c>
      <c r="O231" t="s">
        <v>2792</v>
      </c>
      <c r="P231">
        <v>7802348846</v>
      </c>
      <c r="Q231">
        <v>997350001</v>
      </c>
      <c r="R231" t="s">
        <v>2793</v>
      </c>
      <c r="S231" t="s">
        <v>42</v>
      </c>
      <c r="U231" t="s">
        <v>2324</v>
      </c>
    </row>
    <row r="232" spans="1:23" x14ac:dyDescent="0.25">
      <c r="A232" s="34" t="s">
        <v>2794</v>
      </c>
      <c r="B232" s="33" t="s">
        <v>2800</v>
      </c>
      <c r="C232" s="33" t="s">
        <v>2797</v>
      </c>
      <c r="D232" s="33" t="s">
        <v>2797</v>
      </c>
      <c r="E232" s="33" t="s">
        <v>35</v>
      </c>
      <c r="F232" s="33" t="s">
        <v>2798</v>
      </c>
      <c r="G232" s="33" t="s">
        <v>2799</v>
      </c>
      <c r="H232" s="33">
        <f t="shared" si="8"/>
        <v>158.33333333333334</v>
      </c>
      <c r="I232" s="33"/>
      <c r="J232" s="33"/>
      <c r="K232" s="33"/>
      <c r="L232" s="33">
        <f t="shared" si="9"/>
        <v>158.33333333333334</v>
      </c>
      <c r="M232" s="33"/>
      <c r="N232" s="33"/>
      <c r="O232" s="33" t="s">
        <v>2792</v>
      </c>
      <c r="P232" s="33">
        <v>7802348846</v>
      </c>
      <c r="Q232" s="33">
        <v>997350001</v>
      </c>
      <c r="R232" s="33" t="s">
        <v>2793</v>
      </c>
      <c r="S232" s="33" t="s">
        <v>42</v>
      </c>
      <c r="T232" s="33"/>
      <c r="U232" s="33" t="s">
        <v>2324</v>
      </c>
      <c r="V232">
        <f ca="1">G232/100*RANDBETWEEN(3,5)</f>
        <v>9.5</v>
      </c>
      <c r="W232">
        <f ca="1">G232/100*RANDBETWEEN(6,8)</f>
        <v>11.399999999999999</v>
      </c>
    </row>
    <row r="233" spans="1:23" x14ac:dyDescent="0.25">
      <c r="A233" s="34" t="s">
        <v>2795</v>
      </c>
      <c r="B233" t="s">
        <v>2800</v>
      </c>
      <c r="C233" t="s">
        <v>2797</v>
      </c>
      <c r="D233" t="s">
        <v>2797</v>
      </c>
      <c r="E233" t="s">
        <v>35</v>
      </c>
      <c r="F233" t="s">
        <v>2798</v>
      </c>
      <c r="G233">
        <f ca="1">G232+V232</f>
        <v>199.5</v>
      </c>
      <c r="H233">
        <f t="shared" ca="1" si="8"/>
        <v>166.25</v>
      </c>
      <c r="L233">
        <f t="shared" ca="1" si="9"/>
        <v>166.25</v>
      </c>
      <c r="O233" t="s">
        <v>2449</v>
      </c>
      <c r="P233">
        <v>7802348846</v>
      </c>
      <c r="Q233">
        <v>997350001</v>
      </c>
      <c r="R233" t="s">
        <v>2793</v>
      </c>
      <c r="S233" t="s">
        <v>42</v>
      </c>
      <c r="U233" t="s">
        <v>2324</v>
      </c>
    </row>
    <row r="234" spans="1:23" x14ac:dyDescent="0.25">
      <c r="A234" s="34" t="s">
        <v>2796</v>
      </c>
      <c r="B234" t="s">
        <v>2800</v>
      </c>
      <c r="C234" t="s">
        <v>2797</v>
      </c>
      <c r="D234" t="s">
        <v>2797</v>
      </c>
      <c r="E234" t="s">
        <v>35</v>
      </c>
      <c r="F234" t="s">
        <v>2798</v>
      </c>
      <c r="G234">
        <f ca="1">G232+W232</f>
        <v>201.4</v>
      </c>
      <c r="H234">
        <f t="shared" ca="1" si="8"/>
        <v>167.83333333333334</v>
      </c>
      <c r="L234">
        <f t="shared" ca="1" si="9"/>
        <v>167.83333333333334</v>
      </c>
      <c r="O234" t="s">
        <v>2450</v>
      </c>
      <c r="P234">
        <v>7802348846</v>
      </c>
      <c r="Q234">
        <v>997350001</v>
      </c>
      <c r="R234" t="s">
        <v>2793</v>
      </c>
      <c r="S234" t="s">
        <v>42</v>
      </c>
      <c r="U234" t="s">
        <v>2324</v>
      </c>
    </row>
    <row r="235" spans="1:23" x14ac:dyDescent="0.25">
      <c r="A235" s="34" t="s">
        <v>2805</v>
      </c>
      <c r="B235" s="33" t="s">
        <v>2804</v>
      </c>
      <c r="C235" s="33" t="s">
        <v>2410</v>
      </c>
      <c r="D235" s="33" t="s">
        <v>2801</v>
      </c>
      <c r="E235" s="33" t="s">
        <v>35</v>
      </c>
      <c r="F235" s="33" t="s">
        <v>2802</v>
      </c>
      <c r="G235" s="33" t="s">
        <v>2803</v>
      </c>
      <c r="H235" s="33">
        <f t="shared" si="8"/>
        <v>692.5</v>
      </c>
      <c r="I235" s="33"/>
      <c r="J235" s="33"/>
      <c r="K235" s="33"/>
      <c r="L235" s="33">
        <f t="shared" si="9"/>
        <v>692.5</v>
      </c>
      <c r="M235" s="33"/>
      <c r="N235" s="33"/>
      <c r="O235" s="33" t="s">
        <v>2792</v>
      </c>
      <c r="P235" s="33">
        <v>7802348846</v>
      </c>
      <c r="Q235" s="33">
        <v>997350001</v>
      </c>
      <c r="R235" s="33" t="s">
        <v>2793</v>
      </c>
      <c r="S235" s="33" t="s">
        <v>42</v>
      </c>
      <c r="T235" s="33"/>
      <c r="U235" s="33" t="s">
        <v>2324</v>
      </c>
      <c r="V235">
        <f ca="1">G235/100*RANDBETWEEN(3,5)</f>
        <v>33.24</v>
      </c>
      <c r="W235">
        <f ca="1">G235/100*RANDBETWEEN(6,8)</f>
        <v>58.17</v>
      </c>
    </row>
    <row r="236" spans="1:23" x14ac:dyDescent="0.25">
      <c r="A236" s="34" t="s">
        <v>2806</v>
      </c>
      <c r="B236" t="s">
        <v>2804</v>
      </c>
      <c r="C236" t="s">
        <v>2410</v>
      </c>
      <c r="D236" t="s">
        <v>2801</v>
      </c>
      <c r="E236" t="s">
        <v>35</v>
      </c>
      <c r="F236" t="s">
        <v>2802</v>
      </c>
      <c r="G236">
        <f ca="1">G235+V235</f>
        <v>864.24</v>
      </c>
      <c r="H236">
        <f t="shared" ca="1" si="8"/>
        <v>720.2</v>
      </c>
      <c r="L236">
        <f t="shared" ca="1" si="9"/>
        <v>720.2</v>
      </c>
      <c r="O236" t="s">
        <v>2449</v>
      </c>
      <c r="P236">
        <v>7802348846</v>
      </c>
      <c r="Q236">
        <v>997350001</v>
      </c>
      <c r="R236" t="s">
        <v>2793</v>
      </c>
      <c r="S236" t="s">
        <v>42</v>
      </c>
      <c r="U236" t="s">
        <v>2324</v>
      </c>
    </row>
    <row r="237" spans="1:23" x14ac:dyDescent="0.25">
      <c r="A237" s="34" t="s">
        <v>2807</v>
      </c>
      <c r="B237" t="s">
        <v>2804</v>
      </c>
      <c r="C237" t="s">
        <v>2410</v>
      </c>
      <c r="D237" t="s">
        <v>2801</v>
      </c>
      <c r="E237" t="s">
        <v>35</v>
      </c>
      <c r="F237" t="s">
        <v>2802</v>
      </c>
      <c r="G237">
        <f ca="1">G235+W235</f>
        <v>889.17</v>
      </c>
      <c r="H237">
        <f t="shared" ca="1" si="8"/>
        <v>740.97500000000002</v>
      </c>
      <c r="L237">
        <f t="shared" ca="1" si="9"/>
        <v>740.97500000000002</v>
      </c>
      <c r="O237" t="s">
        <v>2450</v>
      </c>
      <c r="P237">
        <v>7802348846</v>
      </c>
      <c r="Q237">
        <v>997350001</v>
      </c>
      <c r="R237" t="s">
        <v>2793</v>
      </c>
      <c r="S237" t="s">
        <v>42</v>
      </c>
      <c r="U237" t="s">
        <v>2324</v>
      </c>
    </row>
    <row r="238" spans="1:23" x14ac:dyDescent="0.25">
      <c r="A238" s="34" t="s">
        <v>2811</v>
      </c>
      <c r="B238" s="33" t="s">
        <v>2810</v>
      </c>
      <c r="C238" s="33" t="s">
        <v>2411</v>
      </c>
      <c r="D238" s="33" t="s">
        <v>2808</v>
      </c>
      <c r="E238" s="33" t="s">
        <v>35</v>
      </c>
      <c r="F238" s="33">
        <v>5</v>
      </c>
      <c r="G238" s="33" t="s">
        <v>2809</v>
      </c>
      <c r="H238" s="33">
        <f t="shared" si="8"/>
        <v>445</v>
      </c>
      <c r="I238" s="33"/>
      <c r="J238" s="33"/>
      <c r="K238" s="33"/>
      <c r="L238" s="33">
        <f t="shared" si="9"/>
        <v>445</v>
      </c>
      <c r="M238" s="33"/>
      <c r="N238" s="33"/>
      <c r="O238" s="33" t="s">
        <v>2792</v>
      </c>
      <c r="P238" s="33">
        <v>7802348846</v>
      </c>
      <c r="Q238" s="33">
        <v>997350001</v>
      </c>
      <c r="R238" s="33" t="s">
        <v>2793</v>
      </c>
      <c r="S238" s="33" t="s">
        <v>42</v>
      </c>
      <c r="T238" s="33"/>
      <c r="U238" s="33" t="s">
        <v>2324</v>
      </c>
      <c r="V238">
        <f ca="1">G238/100*RANDBETWEEN(3,5)</f>
        <v>16.02</v>
      </c>
      <c r="W238">
        <f ca="1">G238/100*RANDBETWEEN(6,8)</f>
        <v>37.379999999999995</v>
      </c>
    </row>
    <row r="239" spans="1:23" x14ac:dyDescent="0.25">
      <c r="A239" s="34" t="s">
        <v>2812</v>
      </c>
      <c r="B239" t="s">
        <v>2810</v>
      </c>
      <c r="C239" t="s">
        <v>2411</v>
      </c>
      <c r="D239" t="s">
        <v>2808</v>
      </c>
      <c r="E239" t="s">
        <v>35</v>
      </c>
      <c r="F239">
        <v>5</v>
      </c>
      <c r="G239">
        <f ca="1">G238+V238</f>
        <v>550.02</v>
      </c>
      <c r="H239">
        <f t="shared" ca="1" si="8"/>
        <v>458.35</v>
      </c>
      <c r="L239">
        <f t="shared" ca="1" si="9"/>
        <v>458.35</v>
      </c>
      <c r="O239" t="s">
        <v>2449</v>
      </c>
      <c r="P239">
        <v>7802348846</v>
      </c>
      <c r="Q239">
        <v>997350001</v>
      </c>
      <c r="R239" t="s">
        <v>2793</v>
      </c>
      <c r="S239" t="s">
        <v>42</v>
      </c>
      <c r="U239" t="s">
        <v>2324</v>
      </c>
    </row>
    <row r="240" spans="1:23" x14ac:dyDescent="0.25">
      <c r="A240" s="34" t="s">
        <v>2813</v>
      </c>
      <c r="B240" t="s">
        <v>2810</v>
      </c>
      <c r="C240" t="s">
        <v>2411</v>
      </c>
      <c r="D240" t="s">
        <v>2808</v>
      </c>
      <c r="E240" t="s">
        <v>35</v>
      </c>
      <c r="F240">
        <v>5</v>
      </c>
      <c r="G240">
        <f ca="1">G238+W238</f>
        <v>571.38</v>
      </c>
      <c r="H240">
        <f t="shared" ca="1" si="8"/>
        <v>476.15000000000003</v>
      </c>
      <c r="L240">
        <f t="shared" ca="1" si="9"/>
        <v>476.15000000000003</v>
      </c>
      <c r="O240" t="s">
        <v>2450</v>
      </c>
      <c r="P240">
        <v>7802348846</v>
      </c>
      <c r="Q240">
        <v>997350001</v>
      </c>
      <c r="R240" t="s">
        <v>2793</v>
      </c>
      <c r="S240" t="s">
        <v>42</v>
      </c>
      <c r="U240" t="s">
        <v>2324</v>
      </c>
    </row>
    <row r="241" spans="1:23" x14ac:dyDescent="0.25">
      <c r="A241" s="34" t="s">
        <v>2817</v>
      </c>
      <c r="B241" s="33" t="s">
        <v>2816</v>
      </c>
      <c r="C241" s="33" t="s">
        <v>2412</v>
      </c>
      <c r="D241" s="33" t="s">
        <v>2814</v>
      </c>
      <c r="E241" s="33" t="s">
        <v>29</v>
      </c>
      <c r="F241" s="33">
        <v>24</v>
      </c>
      <c r="G241" s="33" t="s">
        <v>2815</v>
      </c>
      <c r="H241" s="33">
        <f t="shared" si="8"/>
        <v>840</v>
      </c>
      <c r="I241" s="33"/>
      <c r="J241" s="33"/>
      <c r="K241" s="33"/>
      <c r="L241" s="33">
        <f t="shared" si="9"/>
        <v>840</v>
      </c>
      <c r="M241" s="33"/>
      <c r="N241" s="33"/>
      <c r="O241" s="33" t="s">
        <v>2792</v>
      </c>
      <c r="P241" s="33">
        <v>7802348846</v>
      </c>
      <c r="Q241" s="33">
        <v>997350001</v>
      </c>
      <c r="R241" s="33" t="s">
        <v>2793</v>
      </c>
      <c r="S241" s="33" t="s">
        <v>42</v>
      </c>
      <c r="T241" s="33"/>
      <c r="U241" s="33" t="s">
        <v>2324</v>
      </c>
      <c r="V241">
        <f ca="1">G241/100*RANDBETWEEN(3,5)</f>
        <v>50.4</v>
      </c>
      <c r="W241">
        <f ca="1">G241/100*RANDBETWEEN(6,8)</f>
        <v>60.480000000000004</v>
      </c>
    </row>
    <row r="242" spans="1:23" x14ac:dyDescent="0.25">
      <c r="A242" s="34" t="s">
        <v>2818</v>
      </c>
      <c r="B242" t="s">
        <v>2816</v>
      </c>
      <c r="C242" t="s">
        <v>2412</v>
      </c>
      <c r="D242" t="s">
        <v>2814</v>
      </c>
      <c r="E242" t="s">
        <v>29</v>
      </c>
      <c r="F242">
        <v>24</v>
      </c>
      <c r="G242">
        <f ca="1">G241+V241</f>
        <v>1058.4000000000001</v>
      </c>
      <c r="H242">
        <f t="shared" ca="1" si="8"/>
        <v>882.00000000000011</v>
      </c>
      <c r="L242">
        <f t="shared" ca="1" si="9"/>
        <v>882.00000000000011</v>
      </c>
      <c r="O242" t="s">
        <v>2449</v>
      </c>
      <c r="P242">
        <v>7802348846</v>
      </c>
      <c r="Q242">
        <v>997350001</v>
      </c>
      <c r="R242" t="s">
        <v>2793</v>
      </c>
      <c r="S242" t="s">
        <v>42</v>
      </c>
      <c r="U242" t="s">
        <v>2324</v>
      </c>
    </row>
    <row r="243" spans="1:23" x14ac:dyDescent="0.25">
      <c r="A243" s="34" t="s">
        <v>2819</v>
      </c>
      <c r="B243" t="s">
        <v>2816</v>
      </c>
      <c r="C243" t="s">
        <v>2412</v>
      </c>
      <c r="D243" t="s">
        <v>2814</v>
      </c>
      <c r="E243" t="s">
        <v>29</v>
      </c>
      <c r="F243">
        <v>24</v>
      </c>
      <c r="G243">
        <f ca="1">G241+W241</f>
        <v>1068.48</v>
      </c>
      <c r="H243">
        <f t="shared" ca="1" si="8"/>
        <v>890.40000000000009</v>
      </c>
      <c r="L243">
        <f t="shared" ca="1" si="9"/>
        <v>890.40000000000009</v>
      </c>
      <c r="O243" t="s">
        <v>2450</v>
      </c>
      <c r="P243">
        <v>7802348846</v>
      </c>
      <c r="Q243">
        <v>997350001</v>
      </c>
      <c r="R243" t="s">
        <v>2793</v>
      </c>
      <c r="S243" t="s">
        <v>42</v>
      </c>
      <c r="U243" t="s">
        <v>2324</v>
      </c>
    </row>
    <row r="244" spans="1:23" x14ac:dyDescent="0.25">
      <c r="A244" s="34" t="s">
        <v>2822</v>
      </c>
      <c r="B244" s="33" t="s">
        <v>2816</v>
      </c>
      <c r="C244" s="33" t="s">
        <v>2413</v>
      </c>
      <c r="D244" s="33" t="s">
        <v>2820</v>
      </c>
      <c r="E244" s="33" t="s">
        <v>29</v>
      </c>
      <c r="F244" s="33">
        <v>6</v>
      </c>
      <c r="G244" s="33" t="s">
        <v>2821</v>
      </c>
      <c r="H244" s="33">
        <f t="shared" si="8"/>
        <v>1083.3333333333335</v>
      </c>
      <c r="I244" s="33"/>
      <c r="J244" s="33"/>
      <c r="K244" s="33"/>
      <c r="L244" s="33">
        <f t="shared" si="9"/>
        <v>1083.3333333333335</v>
      </c>
      <c r="M244" s="33"/>
      <c r="N244" s="33"/>
      <c r="O244" s="33" t="s">
        <v>2792</v>
      </c>
      <c r="P244" s="33">
        <v>7802348846</v>
      </c>
      <c r="Q244" s="33">
        <v>997350001</v>
      </c>
      <c r="R244" s="33" t="s">
        <v>2793</v>
      </c>
      <c r="S244" s="33" t="s">
        <v>42</v>
      </c>
      <c r="T244" s="33"/>
      <c r="U244" s="33" t="s">
        <v>2324</v>
      </c>
      <c r="V244">
        <f ca="1">G244/100*RANDBETWEEN(3,5)</f>
        <v>52</v>
      </c>
      <c r="W244">
        <f ca="1">G244/100*RANDBETWEEN(6,8)</f>
        <v>91</v>
      </c>
    </row>
    <row r="245" spans="1:23" x14ac:dyDescent="0.25">
      <c r="A245" s="34" t="s">
        <v>2823</v>
      </c>
      <c r="B245" t="s">
        <v>2816</v>
      </c>
      <c r="C245" t="s">
        <v>2413</v>
      </c>
      <c r="D245" t="s">
        <v>2820</v>
      </c>
      <c r="E245" t="s">
        <v>29</v>
      </c>
      <c r="F245">
        <v>6</v>
      </c>
      <c r="G245">
        <f ca="1">G244+V244</f>
        <v>1352</v>
      </c>
      <c r="H245">
        <f t="shared" ca="1" si="8"/>
        <v>1126.6666666666667</v>
      </c>
      <c r="L245">
        <f t="shared" ca="1" si="9"/>
        <v>1126.6666666666667</v>
      </c>
      <c r="O245" t="s">
        <v>2449</v>
      </c>
      <c r="P245">
        <v>7802348846</v>
      </c>
      <c r="Q245">
        <v>997350001</v>
      </c>
      <c r="R245" t="s">
        <v>2793</v>
      </c>
      <c r="S245" t="s">
        <v>42</v>
      </c>
      <c r="U245" t="s">
        <v>2324</v>
      </c>
    </row>
    <row r="246" spans="1:23" x14ac:dyDescent="0.25">
      <c r="A246" s="34" t="s">
        <v>2824</v>
      </c>
      <c r="B246" t="s">
        <v>2816</v>
      </c>
      <c r="C246" t="s">
        <v>2413</v>
      </c>
      <c r="D246" t="s">
        <v>2820</v>
      </c>
      <c r="E246" t="s">
        <v>29</v>
      </c>
      <c r="F246">
        <v>6</v>
      </c>
      <c r="G246">
        <f ca="1">G244+W244</f>
        <v>1391</v>
      </c>
      <c r="H246">
        <f t="shared" ca="1" si="8"/>
        <v>1159.1666666666667</v>
      </c>
      <c r="L246">
        <f t="shared" ca="1" si="9"/>
        <v>1159.1666666666667</v>
      </c>
      <c r="O246" t="s">
        <v>2450</v>
      </c>
      <c r="P246">
        <v>7802348846</v>
      </c>
      <c r="Q246">
        <v>997350001</v>
      </c>
      <c r="R246" t="s">
        <v>2793</v>
      </c>
      <c r="S246" t="s">
        <v>42</v>
      </c>
      <c r="U246" t="s">
        <v>2324</v>
      </c>
    </row>
    <row r="247" spans="1:23" x14ac:dyDescent="0.25">
      <c r="A247" s="34" t="s">
        <v>2827</v>
      </c>
      <c r="B247" s="33" t="s">
        <v>2826</v>
      </c>
      <c r="C247" s="33" t="s">
        <v>2414</v>
      </c>
      <c r="D247" s="33" t="s">
        <v>2414</v>
      </c>
      <c r="E247" s="33" t="s">
        <v>29</v>
      </c>
      <c r="F247" s="33">
        <v>50</v>
      </c>
      <c r="G247" s="33" t="s">
        <v>2825</v>
      </c>
      <c r="H247" s="33">
        <f t="shared" si="8"/>
        <v>62.925000000000004</v>
      </c>
      <c r="I247" s="33"/>
      <c r="J247" s="33"/>
      <c r="K247" s="33"/>
      <c r="L247" s="33">
        <f t="shared" si="9"/>
        <v>62.925000000000004</v>
      </c>
      <c r="M247" s="33"/>
      <c r="N247" s="33"/>
      <c r="O247" s="33" t="s">
        <v>2415</v>
      </c>
      <c r="P247" s="33">
        <v>7723889433</v>
      </c>
      <c r="Q247" s="33">
        <v>772401001</v>
      </c>
      <c r="R247" s="33" t="s">
        <v>2416</v>
      </c>
      <c r="S247" s="33" t="s">
        <v>2417</v>
      </c>
      <c r="T247" s="33">
        <v>2</v>
      </c>
      <c r="U247" s="46">
        <v>45358</v>
      </c>
      <c r="V247">
        <f ca="1">G247/100*RANDBETWEEN(3,5)</f>
        <v>2.2653000000000003</v>
      </c>
      <c r="W247">
        <f ca="1">G247/100*RANDBETWEEN(6,8)</f>
        <v>5.2857000000000003</v>
      </c>
    </row>
    <row r="248" spans="1:23" x14ac:dyDescent="0.25">
      <c r="A248" s="34" t="s">
        <v>2828</v>
      </c>
      <c r="B248" t="s">
        <v>2826</v>
      </c>
      <c r="C248" t="s">
        <v>2414</v>
      </c>
      <c r="D248" t="s">
        <v>2414</v>
      </c>
      <c r="E248" t="s">
        <v>29</v>
      </c>
      <c r="F248">
        <v>50</v>
      </c>
      <c r="G248">
        <f ca="1">G247+V247</f>
        <v>77.775300000000001</v>
      </c>
      <c r="H248">
        <f t="shared" ca="1" si="8"/>
        <v>64.812750000000008</v>
      </c>
      <c r="L248">
        <f t="shared" ca="1" si="9"/>
        <v>64.812750000000008</v>
      </c>
      <c r="O248" t="s">
        <v>2449</v>
      </c>
      <c r="P248">
        <v>7802348846</v>
      </c>
      <c r="Q248">
        <v>997350001</v>
      </c>
      <c r="R248" t="s">
        <v>2793</v>
      </c>
      <c r="S248" t="s">
        <v>42</v>
      </c>
      <c r="U248" s="47">
        <v>45358</v>
      </c>
    </row>
    <row r="249" spans="1:23" x14ac:dyDescent="0.25">
      <c r="A249" s="34" t="s">
        <v>2829</v>
      </c>
      <c r="B249" t="s">
        <v>2826</v>
      </c>
      <c r="C249" t="s">
        <v>2414</v>
      </c>
      <c r="D249" t="s">
        <v>2414</v>
      </c>
      <c r="E249" t="s">
        <v>29</v>
      </c>
      <c r="F249">
        <v>50</v>
      </c>
      <c r="G249">
        <f ca="1">G247+W247</f>
        <v>80.795700000000011</v>
      </c>
      <c r="H249">
        <f t="shared" ca="1" si="8"/>
        <v>67.329750000000018</v>
      </c>
      <c r="L249">
        <f t="shared" ca="1" si="9"/>
        <v>67.329750000000018</v>
      </c>
      <c r="O249" t="s">
        <v>2450</v>
      </c>
      <c r="P249">
        <v>7802348846</v>
      </c>
      <c r="Q249">
        <v>997350001</v>
      </c>
      <c r="R249" t="s">
        <v>2793</v>
      </c>
      <c r="S249" t="s">
        <v>42</v>
      </c>
      <c r="U249" s="47">
        <v>45358</v>
      </c>
    </row>
    <row r="250" spans="1:23" x14ac:dyDescent="0.25">
      <c r="A250" s="34" t="s">
        <v>2830</v>
      </c>
      <c r="B250" s="33" t="s">
        <v>2837</v>
      </c>
      <c r="C250" s="33" t="s">
        <v>2833</v>
      </c>
      <c r="D250" s="33" t="s">
        <v>2834</v>
      </c>
      <c r="E250" s="33" t="s">
        <v>29</v>
      </c>
      <c r="F250" s="33">
        <v>17</v>
      </c>
      <c r="G250" s="33" t="s">
        <v>2835</v>
      </c>
      <c r="H250" s="33">
        <f t="shared" si="8"/>
        <v>51166.666666666672</v>
      </c>
      <c r="I250" s="33"/>
      <c r="J250" s="33"/>
      <c r="K250" s="33"/>
      <c r="L250" s="33">
        <f t="shared" si="9"/>
        <v>51166.666666666672</v>
      </c>
      <c r="M250" s="33"/>
      <c r="N250" s="33"/>
      <c r="O250" s="33" t="s">
        <v>2418</v>
      </c>
      <c r="P250" s="33">
        <v>5838002196</v>
      </c>
      <c r="Q250" s="33">
        <v>583801001</v>
      </c>
      <c r="R250" s="33" t="s">
        <v>2420</v>
      </c>
      <c r="S250" s="33" t="s">
        <v>2419</v>
      </c>
      <c r="T250" s="33">
        <v>2</v>
      </c>
      <c r="U250" s="33" t="s">
        <v>2836</v>
      </c>
      <c r="V250">
        <f ca="1">G250/100*RANDBETWEEN(3,5)</f>
        <v>3070</v>
      </c>
      <c r="W250">
        <f ca="1">G250/100*RANDBETWEEN(6,8)</f>
        <v>4912</v>
      </c>
    </row>
    <row r="251" spans="1:23" x14ac:dyDescent="0.25">
      <c r="A251" s="34" t="s">
        <v>2831</v>
      </c>
      <c r="B251" t="s">
        <v>2837</v>
      </c>
      <c r="C251" t="s">
        <v>2833</v>
      </c>
      <c r="D251" t="s">
        <v>2834</v>
      </c>
      <c r="E251" t="s">
        <v>29</v>
      </c>
      <c r="F251">
        <v>17</v>
      </c>
      <c r="G251">
        <f ca="1">G250+V250</f>
        <v>64470</v>
      </c>
      <c r="H251">
        <f t="shared" ca="1" si="8"/>
        <v>53725</v>
      </c>
      <c r="L251">
        <f t="shared" ca="1" si="9"/>
        <v>53725</v>
      </c>
      <c r="O251" t="s">
        <v>2449</v>
      </c>
      <c r="P251">
        <v>5838002196</v>
      </c>
      <c r="Q251">
        <v>583801001</v>
      </c>
      <c r="R251" t="s">
        <v>2420</v>
      </c>
      <c r="S251" t="s">
        <v>2419</v>
      </c>
      <c r="T251">
        <v>2</v>
      </c>
      <c r="U251" t="s">
        <v>2836</v>
      </c>
    </row>
    <row r="252" spans="1:23" x14ac:dyDescent="0.25">
      <c r="A252" s="34" t="s">
        <v>2832</v>
      </c>
      <c r="B252" t="s">
        <v>2837</v>
      </c>
      <c r="C252" t="s">
        <v>2833</v>
      </c>
      <c r="D252" t="s">
        <v>2834</v>
      </c>
      <c r="E252" t="s">
        <v>29</v>
      </c>
      <c r="F252">
        <v>17</v>
      </c>
      <c r="G252">
        <f ca="1">G250+W250</f>
        <v>66312</v>
      </c>
      <c r="H252">
        <f t="shared" ca="1" si="8"/>
        <v>55260</v>
      </c>
      <c r="L252">
        <f t="shared" ca="1" si="9"/>
        <v>55260</v>
      </c>
      <c r="O252" t="s">
        <v>2450</v>
      </c>
      <c r="P252">
        <v>5838002196</v>
      </c>
      <c r="Q252">
        <v>583801001</v>
      </c>
      <c r="R252" t="s">
        <v>2420</v>
      </c>
      <c r="S252" t="s">
        <v>2419</v>
      </c>
      <c r="T252">
        <v>2</v>
      </c>
      <c r="U252" t="s">
        <v>2836</v>
      </c>
    </row>
  </sheetData>
  <mergeCells count="19">
    <mergeCell ref="R10:R11"/>
    <mergeCell ref="S10:S11"/>
    <mergeCell ref="T10:T11"/>
    <mergeCell ref="L10:L11"/>
    <mergeCell ref="M10:M11"/>
    <mergeCell ref="N10:N11"/>
    <mergeCell ref="O10:O11"/>
    <mergeCell ref="P10:P11"/>
    <mergeCell ref="Q10:Q11"/>
    <mergeCell ref="A2:U3"/>
    <mergeCell ref="A4:U4"/>
    <mergeCell ref="A6:U6"/>
    <mergeCell ref="A7:U7"/>
    <mergeCell ref="A8:U8"/>
    <mergeCell ref="A10:A11"/>
    <mergeCell ref="B10:B11"/>
    <mergeCell ref="H10:H11"/>
    <mergeCell ref="I10:I11"/>
    <mergeCell ref="J10:K10"/>
  </mergeCells>
  <dataValidations disablePrompts="1" count="1">
    <dataValidation type="list" allowBlank="1" showInputMessage="1" showErrorMessage="1" sqref="E10:E11">
      <formula1>$E$10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H8" sqref="H8"/>
    </sheetView>
  </sheetViews>
  <sheetFormatPr defaultRowHeight="15" x14ac:dyDescent="0.25"/>
  <sheetData>
    <row r="1" spans="1:23" x14ac:dyDescent="0.25">
      <c r="A1" s="34" t="s">
        <v>2326</v>
      </c>
      <c r="B1" s="33" t="s">
        <v>2325</v>
      </c>
      <c r="C1" s="33" t="s">
        <v>2323</v>
      </c>
      <c r="D1" s="33">
        <v>4.8</v>
      </c>
      <c r="E1" s="33" t="s">
        <v>31</v>
      </c>
      <c r="F1" s="33">
        <v>653</v>
      </c>
      <c r="G1" s="33">
        <v>39328.879999999997</v>
      </c>
      <c r="H1" s="33">
        <f t="shared" ref="H1:H6" si="0">G1/1.2</f>
        <v>32774.066666666666</v>
      </c>
      <c r="I1" s="33"/>
      <c r="J1" s="33"/>
      <c r="K1" s="33"/>
      <c r="L1" s="33">
        <f t="shared" ref="L1:L6" si="1">H1+I1+K1</f>
        <v>32774.066666666666</v>
      </c>
      <c r="M1" s="33"/>
      <c r="N1" s="33"/>
      <c r="O1" s="33" t="s">
        <v>47</v>
      </c>
      <c r="P1" s="33">
        <v>784201001</v>
      </c>
      <c r="Q1" s="33">
        <v>7804526950</v>
      </c>
      <c r="R1" s="33" t="s">
        <v>48</v>
      </c>
      <c r="S1" s="33" t="s">
        <v>42</v>
      </c>
      <c r="T1" s="33">
        <v>2</v>
      </c>
      <c r="U1" s="33" t="s">
        <v>2324</v>
      </c>
      <c r="V1">
        <f ca="1">G1/100*RANDBETWEEN(3,5)</f>
        <v>1179.8663999999999</v>
      </c>
      <c r="W1">
        <f ca="1">G1/100*RANDBETWEEN(6,8)</f>
        <v>3146.3103999999998</v>
      </c>
    </row>
    <row r="2" spans="1:23" x14ac:dyDescent="0.25">
      <c r="A2" s="34" t="s">
        <v>2327</v>
      </c>
      <c r="B2" t="s">
        <v>2325</v>
      </c>
      <c r="C2" t="s">
        <v>2323</v>
      </c>
      <c r="D2">
        <v>4.8</v>
      </c>
      <c r="E2" t="s">
        <v>31</v>
      </c>
      <c r="F2">
        <v>653</v>
      </c>
      <c r="G2">
        <f ca="1">G1+V1</f>
        <v>40508.746399999996</v>
      </c>
      <c r="H2">
        <f t="shared" ca="1" si="0"/>
        <v>33757.288666666667</v>
      </c>
      <c r="L2">
        <f t="shared" ca="1" si="1"/>
        <v>33757.288666666667</v>
      </c>
      <c r="O2" t="s">
        <v>47</v>
      </c>
      <c r="P2">
        <v>784201001</v>
      </c>
      <c r="Q2">
        <v>7804526950</v>
      </c>
      <c r="R2" t="s">
        <v>48</v>
      </c>
      <c r="S2" t="s">
        <v>42</v>
      </c>
      <c r="T2">
        <v>2</v>
      </c>
      <c r="U2" t="s">
        <v>2324</v>
      </c>
    </row>
    <row r="3" spans="1:23" x14ac:dyDescent="0.25">
      <c r="A3" s="34" t="s">
        <v>2328</v>
      </c>
      <c r="B3" t="s">
        <v>2325</v>
      </c>
      <c r="C3" t="s">
        <v>2323</v>
      </c>
      <c r="D3">
        <v>4.8</v>
      </c>
      <c r="E3" t="s">
        <v>31</v>
      </c>
      <c r="F3">
        <v>653</v>
      </c>
      <c r="G3">
        <f ca="1">G1+W1</f>
        <v>42475.190399999999</v>
      </c>
      <c r="H3">
        <f t="shared" ca="1" si="0"/>
        <v>35395.991999999998</v>
      </c>
      <c r="L3">
        <f t="shared" ca="1" si="1"/>
        <v>35395.991999999998</v>
      </c>
      <c r="O3" t="s">
        <v>47</v>
      </c>
      <c r="P3">
        <v>784201001</v>
      </c>
      <c r="Q3">
        <v>7804526950</v>
      </c>
      <c r="R3" t="s">
        <v>48</v>
      </c>
      <c r="S3" t="s">
        <v>42</v>
      </c>
      <c r="T3">
        <v>2</v>
      </c>
      <c r="U3" t="s">
        <v>2324</v>
      </c>
    </row>
    <row r="4" spans="1:23" x14ac:dyDescent="0.25">
      <c r="A4" s="34" t="s">
        <v>2329</v>
      </c>
      <c r="B4" s="33" t="s">
        <v>2325</v>
      </c>
      <c r="C4" s="33" t="s">
        <v>2322</v>
      </c>
      <c r="D4" s="33">
        <v>4.9000000000000004</v>
      </c>
      <c r="E4" s="33" t="s">
        <v>31</v>
      </c>
      <c r="F4" s="33">
        <v>768</v>
      </c>
      <c r="G4" s="33">
        <v>57388</v>
      </c>
      <c r="H4" s="33">
        <f t="shared" si="0"/>
        <v>47823.333333333336</v>
      </c>
      <c r="I4" s="33"/>
      <c r="J4" s="33"/>
      <c r="K4" s="33"/>
      <c r="L4" s="33">
        <f t="shared" si="1"/>
        <v>47823.333333333336</v>
      </c>
      <c r="M4" s="33"/>
      <c r="N4" s="33"/>
      <c r="O4" s="33" t="s">
        <v>47</v>
      </c>
      <c r="P4" s="33">
        <v>784201001</v>
      </c>
      <c r="Q4" s="33">
        <v>7804526950</v>
      </c>
      <c r="R4" s="33" t="s">
        <v>48</v>
      </c>
      <c r="S4" s="33" t="s">
        <v>42</v>
      </c>
      <c r="T4" s="33">
        <v>2</v>
      </c>
      <c r="U4" s="33" t="s">
        <v>2324</v>
      </c>
      <c r="V4">
        <f ca="1">G4/100*RANDBETWEEN(3,5)</f>
        <v>1721.6399999999999</v>
      </c>
      <c r="W4">
        <f ca="1">G4/100*RANDBETWEEN(6,8)</f>
        <v>4017.16</v>
      </c>
    </row>
    <row r="5" spans="1:23" x14ac:dyDescent="0.25">
      <c r="A5" s="34" t="s">
        <v>2330</v>
      </c>
      <c r="B5" t="s">
        <v>2325</v>
      </c>
      <c r="C5" t="s">
        <v>2322</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2324</v>
      </c>
    </row>
    <row r="6" spans="1:23" x14ac:dyDescent="0.25">
      <c r="A6" s="34" t="s">
        <v>2331</v>
      </c>
      <c r="B6" t="s">
        <v>2325</v>
      </c>
      <c r="C6" t="s">
        <v>2322</v>
      </c>
      <c r="D6">
        <v>4.9000000000000004</v>
      </c>
      <c r="E6" t="s">
        <v>31</v>
      </c>
      <c r="F6">
        <v>768</v>
      </c>
      <c r="G6">
        <f ca="1">G4+W4</f>
        <v>61405.16</v>
      </c>
      <c r="H6">
        <f t="shared" ca="1" si="0"/>
        <v>51170.966666666674</v>
      </c>
      <c r="L6">
        <f t="shared" ca="1" si="1"/>
        <v>51170.966666666674</v>
      </c>
      <c r="O6" t="s">
        <v>47</v>
      </c>
      <c r="P6">
        <v>784201001</v>
      </c>
      <c r="Q6">
        <v>7804526950</v>
      </c>
      <c r="R6" t="s">
        <v>48</v>
      </c>
      <c r="S6" t="s">
        <v>42</v>
      </c>
      <c r="T6">
        <v>2</v>
      </c>
      <c r="U6" t="s">
        <v>2324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5"/>
  <sheetViews>
    <sheetView workbookViewId="0">
      <selection activeCell="G11" sqref="G11"/>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42" t="s">
        <v>28</v>
      </c>
      <c r="B1" s="42" t="s">
        <v>63</v>
      </c>
      <c r="C1" s="42" t="s">
        <v>64</v>
      </c>
      <c r="D1" s="42" t="s">
        <v>2454</v>
      </c>
      <c r="E1" s="42" t="s">
        <v>66</v>
      </c>
      <c r="F1" s="42" t="s">
        <v>2455</v>
      </c>
    </row>
    <row r="2" spans="1:6" x14ac:dyDescent="0.25">
      <c r="A2" s="40" t="s">
        <v>37</v>
      </c>
      <c r="B2" s="40">
        <v>6731002766</v>
      </c>
      <c r="C2" s="40">
        <v>673201001</v>
      </c>
      <c r="D2" s="40" t="s">
        <v>38</v>
      </c>
      <c r="E2" s="40" t="s">
        <v>39</v>
      </c>
      <c r="F2" s="40">
        <v>2</v>
      </c>
    </row>
    <row r="3" spans="1:6" x14ac:dyDescent="0.25">
      <c r="A3" s="40" t="s">
        <v>40</v>
      </c>
      <c r="B3" s="40">
        <v>7806155468</v>
      </c>
      <c r="C3" s="40">
        <v>780601001</v>
      </c>
      <c r="D3" s="40" t="s">
        <v>41</v>
      </c>
      <c r="E3" s="40" t="s">
        <v>42</v>
      </c>
      <c r="F3" s="40">
        <v>1</v>
      </c>
    </row>
    <row r="4" spans="1:6" x14ac:dyDescent="0.25">
      <c r="A4" s="40" t="s">
        <v>43</v>
      </c>
      <c r="B4" s="40">
        <v>7839109650</v>
      </c>
      <c r="C4" s="40">
        <v>783901001</v>
      </c>
      <c r="D4" s="40" t="s">
        <v>44</v>
      </c>
      <c r="E4" s="40" t="s">
        <v>42</v>
      </c>
      <c r="F4" s="40">
        <v>2</v>
      </c>
    </row>
    <row r="5" spans="1:6" x14ac:dyDescent="0.25">
      <c r="A5" s="40" t="s">
        <v>47</v>
      </c>
      <c r="B5" s="40">
        <v>7804274156</v>
      </c>
      <c r="C5" s="40">
        <v>780401001</v>
      </c>
      <c r="D5" s="40" t="s">
        <v>48</v>
      </c>
      <c r="E5" s="40" t="s">
        <v>42</v>
      </c>
      <c r="F5" s="40">
        <v>2</v>
      </c>
    </row>
    <row r="6" spans="1:6" x14ac:dyDescent="0.25">
      <c r="A6" s="41" t="s">
        <v>45</v>
      </c>
      <c r="B6" s="41">
        <v>7810216924</v>
      </c>
      <c r="C6" s="41">
        <v>7814455001</v>
      </c>
      <c r="D6" s="41" t="s">
        <v>46</v>
      </c>
      <c r="E6" s="41" t="s">
        <v>42</v>
      </c>
      <c r="F6" s="41">
        <v>2</v>
      </c>
    </row>
    <row r="7" spans="1:6" x14ac:dyDescent="0.25">
      <c r="A7" s="40" t="s">
        <v>49</v>
      </c>
      <c r="B7" s="40">
        <v>5036002480</v>
      </c>
      <c r="C7" s="40">
        <v>503601001</v>
      </c>
      <c r="D7" s="40" t="s">
        <v>50</v>
      </c>
      <c r="E7" s="40" t="s">
        <v>51</v>
      </c>
      <c r="F7" s="40">
        <v>2</v>
      </c>
    </row>
    <row r="8" spans="1:6" x14ac:dyDescent="0.25">
      <c r="A8" s="41" t="s">
        <v>54</v>
      </c>
      <c r="B8" s="41">
        <v>5433191298</v>
      </c>
      <c r="C8" s="41">
        <v>543301001</v>
      </c>
      <c r="D8" s="41" t="s">
        <v>55</v>
      </c>
      <c r="E8" s="41" t="s">
        <v>42</v>
      </c>
      <c r="F8" s="41">
        <v>2</v>
      </c>
    </row>
    <row r="9" spans="1:6" x14ac:dyDescent="0.25">
      <c r="A9" s="40" t="s">
        <v>59</v>
      </c>
      <c r="B9" s="40">
        <v>7715777616</v>
      </c>
      <c r="C9" s="40">
        <v>774301001</v>
      </c>
      <c r="D9" s="40" t="s">
        <v>60</v>
      </c>
      <c r="E9" s="40" t="s">
        <v>58</v>
      </c>
      <c r="F9" s="40">
        <v>2</v>
      </c>
    </row>
    <row r="10" spans="1:6" x14ac:dyDescent="0.25">
      <c r="A10" s="41" t="s">
        <v>56</v>
      </c>
      <c r="B10" s="41">
        <v>4703126149</v>
      </c>
      <c r="C10" s="41">
        <v>470301001</v>
      </c>
      <c r="D10" s="41" t="s">
        <v>57</v>
      </c>
      <c r="E10" s="41" t="s">
        <v>42</v>
      </c>
      <c r="F10" s="41">
        <v>2</v>
      </c>
    </row>
    <row r="11" spans="1:6" x14ac:dyDescent="0.25">
      <c r="A11" s="40" t="s">
        <v>61</v>
      </c>
      <c r="B11" s="40">
        <v>7839504097</v>
      </c>
      <c r="C11" s="40">
        <v>784201001</v>
      </c>
      <c r="D11" s="40" t="s">
        <v>62</v>
      </c>
      <c r="E11" s="40" t="s">
        <v>42</v>
      </c>
      <c r="F11" s="40">
        <v>2</v>
      </c>
    </row>
    <row r="12" spans="1:6" x14ac:dyDescent="0.25">
      <c r="A12" s="41" t="s">
        <v>2358</v>
      </c>
      <c r="B12" s="41">
        <v>7802806380</v>
      </c>
      <c r="C12" s="41">
        <v>780201001</v>
      </c>
      <c r="D12" s="41" t="s">
        <v>2359</v>
      </c>
      <c r="E12" s="41" t="s">
        <v>42</v>
      </c>
      <c r="F12" s="41">
        <v>1</v>
      </c>
    </row>
    <row r="13" spans="1:6" x14ac:dyDescent="0.25">
      <c r="A13" s="40" t="s">
        <v>2415</v>
      </c>
      <c r="B13" s="40">
        <v>7723889433</v>
      </c>
      <c r="C13" s="40">
        <v>772401001</v>
      </c>
      <c r="D13" s="40" t="s">
        <v>2416</v>
      </c>
      <c r="E13" s="40" t="s">
        <v>2417</v>
      </c>
      <c r="F13" s="40">
        <v>2</v>
      </c>
    </row>
    <row r="14" spans="1:6" x14ac:dyDescent="0.25">
      <c r="A14" s="41" t="s">
        <v>2418</v>
      </c>
      <c r="B14" s="41">
        <v>5838002196</v>
      </c>
      <c r="C14" s="41">
        <v>583801001</v>
      </c>
      <c r="D14" s="41" t="s">
        <v>2420</v>
      </c>
      <c r="E14" s="41" t="s">
        <v>2419</v>
      </c>
      <c r="F14" s="41">
        <v>2</v>
      </c>
    </row>
    <row r="15" spans="1:6" x14ac:dyDescent="0.25">
      <c r="A15" s="44" t="s">
        <v>2792</v>
      </c>
      <c r="B15" s="44">
        <v>7802348846</v>
      </c>
      <c r="C15" s="44">
        <v>997350001</v>
      </c>
      <c r="D15" s="40" t="s">
        <v>2793</v>
      </c>
      <c r="E15" s="40" t="s">
        <v>42</v>
      </c>
      <c r="F15" s="44"/>
    </row>
  </sheetData>
  <conditionalFormatting sqref="A5:A6">
    <cfRule type="duplicateValues" dxfId="37" priority="55"/>
  </conditionalFormatting>
  <conditionalFormatting sqref="A5:A6">
    <cfRule type="duplicateValues" dxfId="36" priority="15"/>
  </conditionalFormatting>
  <conditionalFormatting sqref="A1 A15:A1048576 A5:A6">
    <cfRule type="duplicateValues" dxfId="35" priority="14"/>
  </conditionalFormatting>
  <conditionalFormatting sqref="A1:C1 A15:C1048576 A5:C6">
    <cfRule type="duplicateValues" dxfId="34" priority="13"/>
  </conditionalFormatting>
  <conditionalFormatting sqref="A7:A14">
    <cfRule type="duplicateValues" dxfId="33" priority="12"/>
  </conditionalFormatting>
  <conditionalFormatting sqref="A7:A14">
    <cfRule type="duplicateValues" dxfId="32" priority="11"/>
  </conditionalFormatting>
  <conditionalFormatting sqref="A7:A14">
    <cfRule type="duplicateValues" dxfId="31" priority="10"/>
  </conditionalFormatting>
  <conditionalFormatting sqref="A7:C14">
    <cfRule type="duplicateValues" dxfId="30" priority="9"/>
  </conditionalFormatting>
  <conditionalFormatting sqref="A2 A4">
    <cfRule type="duplicateValues" dxfId="29" priority="8"/>
  </conditionalFormatting>
  <conditionalFormatting sqref="A2 A4">
    <cfRule type="duplicateValues" dxfId="28" priority="7"/>
  </conditionalFormatting>
  <conditionalFormatting sqref="A2 A4">
    <cfRule type="duplicateValues" dxfId="27" priority="6"/>
  </conditionalFormatting>
  <conditionalFormatting sqref="A2:C2 A4:C4">
    <cfRule type="duplicateValues" dxfId="26" priority="5"/>
  </conditionalFormatting>
  <conditionalFormatting sqref="A3">
    <cfRule type="duplicateValues" dxfId="25" priority="4"/>
  </conditionalFormatting>
  <conditionalFormatting sqref="A3">
    <cfRule type="duplicateValues" dxfId="24" priority="3"/>
  </conditionalFormatting>
  <conditionalFormatting sqref="A3">
    <cfRule type="duplicateValues" dxfId="23" priority="2"/>
  </conditionalFormatting>
  <conditionalFormatting sqref="A3:C3">
    <cfRule type="duplicateValues" dxfId="22" priority="1"/>
  </conditionalFormatting>
  <hyperlinks>
    <hyperlink ref="D12" r:id="rId1"/>
    <hyperlink ref="D13" r:id="rId2"/>
    <hyperlink ref="D14" r:id="rId3" display="mailto:info@nppsensor.ru"/>
    <hyperlink ref="D15" r:id="rId4"/>
  </hyperlinks>
  <pageMargins left="0.7" right="0.7" top="0.75" bottom="0.75" header="0.3" footer="0.3"/>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80"/>
  <sheetViews>
    <sheetView workbookViewId="0">
      <selection activeCell="A11" sqref="A11"/>
    </sheetView>
  </sheetViews>
  <sheetFormatPr defaultColWidth="8.7109375" defaultRowHeight="15" x14ac:dyDescent="0.25"/>
  <cols>
    <col min="1" max="1" width="100" style="28" customWidth="1"/>
    <col min="2" max="16384" width="8.7109375" style="28"/>
  </cols>
  <sheetData>
    <row r="1" spans="1:1" ht="27" customHeight="1" x14ac:dyDescent="0.25">
      <c r="A1" s="27" t="s">
        <v>2242</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ht="30"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ht="30"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ht="30"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2079</v>
      </c>
    </row>
    <row r="2013" spans="1:1" x14ac:dyDescent="0.25">
      <c r="A2013" s="29" t="s">
        <v>2080</v>
      </c>
    </row>
    <row r="2014" spans="1:1" x14ac:dyDescent="0.25">
      <c r="A2014" s="29" t="s">
        <v>2081</v>
      </c>
    </row>
    <row r="2015" spans="1:1" ht="30" x14ac:dyDescent="0.25">
      <c r="A2015" s="29" t="s">
        <v>2082</v>
      </c>
    </row>
    <row r="2016" spans="1:1" ht="30" x14ac:dyDescent="0.25">
      <c r="A2016" s="29" t="s">
        <v>2083</v>
      </c>
    </row>
    <row r="2017" spans="1:1" x14ac:dyDescent="0.25">
      <c r="A2017" s="29" t="s">
        <v>2084</v>
      </c>
    </row>
    <row r="2018" spans="1:1" ht="30" x14ac:dyDescent="0.25">
      <c r="A2018" s="29" t="s">
        <v>2085</v>
      </c>
    </row>
    <row r="2019" spans="1:1" x14ac:dyDescent="0.25">
      <c r="A2019" s="29" t="s">
        <v>2086</v>
      </c>
    </row>
    <row r="2020" spans="1:1" x14ac:dyDescent="0.25">
      <c r="A2020" s="29" t="s">
        <v>2087</v>
      </c>
    </row>
    <row r="2021" spans="1:1" x14ac:dyDescent="0.25">
      <c r="A2021" s="29" t="s">
        <v>2088</v>
      </c>
    </row>
    <row r="2022" spans="1:1" x14ac:dyDescent="0.25">
      <c r="A2022" s="29" t="s">
        <v>2089</v>
      </c>
    </row>
    <row r="2023" spans="1:1" x14ac:dyDescent="0.25">
      <c r="A2023" s="29" t="s">
        <v>2090</v>
      </c>
    </row>
    <row r="2024" spans="1:1" x14ac:dyDescent="0.25">
      <c r="A2024" s="29" t="s">
        <v>2091</v>
      </c>
    </row>
    <row r="2025" spans="1:1" x14ac:dyDescent="0.25">
      <c r="A2025" s="29" t="s">
        <v>2092</v>
      </c>
    </row>
    <row r="2026" spans="1:1" x14ac:dyDescent="0.25">
      <c r="A2026" s="29" t="s">
        <v>2093</v>
      </c>
    </row>
    <row r="2027" spans="1:1" x14ac:dyDescent="0.25">
      <c r="A2027" s="29" t="s">
        <v>2094</v>
      </c>
    </row>
    <row r="2028" spans="1:1" x14ac:dyDescent="0.25">
      <c r="A2028" s="29" t="s">
        <v>2095</v>
      </c>
    </row>
    <row r="2029" spans="1:1" x14ac:dyDescent="0.25">
      <c r="A2029" s="29" t="s">
        <v>2096</v>
      </c>
    </row>
    <row r="2030" spans="1:1" x14ac:dyDescent="0.25">
      <c r="A2030" s="29" t="s">
        <v>2097</v>
      </c>
    </row>
    <row r="2031" spans="1:1" x14ac:dyDescent="0.25">
      <c r="A2031" s="29" t="s">
        <v>2098</v>
      </c>
    </row>
    <row r="2032" spans="1:1" x14ac:dyDescent="0.25">
      <c r="A2032" s="29" t="s">
        <v>2099</v>
      </c>
    </row>
    <row r="2033" spans="1:1" x14ac:dyDescent="0.25">
      <c r="A2033" s="29" t="s">
        <v>2100</v>
      </c>
    </row>
    <row r="2034" spans="1:1" x14ac:dyDescent="0.25">
      <c r="A2034" s="29" t="s">
        <v>2101</v>
      </c>
    </row>
    <row r="2035" spans="1:1" x14ac:dyDescent="0.25">
      <c r="A2035" s="29" t="s">
        <v>2102</v>
      </c>
    </row>
    <row r="2036" spans="1:1" x14ac:dyDescent="0.25">
      <c r="A2036" s="29" t="s">
        <v>2103</v>
      </c>
    </row>
    <row r="2037" spans="1:1" x14ac:dyDescent="0.25">
      <c r="A2037" s="29" t="s">
        <v>2104</v>
      </c>
    </row>
    <row r="2038" spans="1:1" x14ac:dyDescent="0.25">
      <c r="A2038" s="29" t="s">
        <v>2105</v>
      </c>
    </row>
    <row r="2039" spans="1:1" x14ac:dyDescent="0.25">
      <c r="A2039" s="29" t="s">
        <v>2106</v>
      </c>
    </row>
    <row r="2040" spans="1:1" x14ac:dyDescent="0.25">
      <c r="A2040" s="29" t="s">
        <v>2107</v>
      </c>
    </row>
    <row r="2041" spans="1:1" x14ac:dyDescent="0.25">
      <c r="A2041" s="29" t="s">
        <v>2108</v>
      </c>
    </row>
    <row r="2042" spans="1:1" x14ac:dyDescent="0.25">
      <c r="A2042" s="29" t="s">
        <v>2109</v>
      </c>
    </row>
    <row r="2043" spans="1:1" x14ac:dyDescent="0.25">
      <c r="A2043" s="29" t="s">
        <v>2110</v>
      </c>
    </row>
    <row r="2044" spans="1:1" x14ac:dyDescent="0.25">
      <c r="A2044" s="29" t="s">
        <v>2111</v>
      </c>
    </row>
    <row r="2045" spans="1:1" x14ac:dyDescent="0.25">
      <c r="A2045" s="29" t="s">
        <v>2112</v>
      </c>
    </row>
    <row r="2046" spans="1:1" x14ac:dyDescent="0.25">
      <c r="A2046" s="29" t="s">
        <v>2113</v>
      </c>
    </row>
    <row r="2047" spans="1:1" x14ac:dyDescent="0.25">
      <c r="A2047" s="29" t="s">
        <v>2114</v>
      </c>
    </row>
    <row r="2048" spans="1:1" x14ac:dyDescent="0.25">
      <c r="A2048" s="29" t="s">
        <v>2115</v>
      </c>
    </row>
    <row r="2049" spans="1:1" x14ac:dyDescent="0.25">
      <c r="A2049" s="29" t="s">
        <v>2116</v>
      </c>
    </row>
    <row r="2050" spans="1:1" x14ac:dyDescent="0.25">
      <c r="A2050" s="29" t="s">
        <v>2117</v>
      </c>
    </row>
    <row r="2051" spans="1:1" x14ac:dyDescent="0.25">
      <c r="A2051" s="29" t="s">
        <v>2118</v>
      </c>
    </row>
    <row r="2052" spans="1:1" x14ac:dyDescent="0.25">
      <c r="A2052" s="29" t="s">
        <v>2119</v>
      </c>
    </row>
    <row r="2053" spans="1:1" x14ac:dyDescent="0.25">
      <c r="A2053" s="29" t="s">
        <v>2120</v>
      </c>
    </row>
    <row r="2054" spans="1:1" x14ac:dyDescent="0.25">
      <c r="A2054" s="29" t="s">
        <v>2121</v>
      </c>
    </row>
    <row r="2055" spans="1:1" x14ac:dyDescent="0.25">
      <c r="A2055" s="29" t="s">
        <v>2122</v>
      </c>
    </row>
    <row r="2056" spans="1:1" x14ac:dyDescent="0.25">
      <c r="A2056" s="29" t="s">
        <v>2123</v>
      </c>
    </row>
    <row r="2057" spans="1:1" x14ac:dyDescent="0.25">
      <c r="A2057" s="29" t="s">
        <v>2124</v>
      </c>
    </row>
    <row r="2058" spans="1:1" x14ac:dyDescent="0.25">
      <c r="A2058" s="29" t="s">
        <v>2125</v>
      </c>
    </row>
    <row r="2059" spans="1:1" x14ac:dyDescent="0.25">
      <c r="A2059" s="29" t="s">
        <v>2126</v>
      </c>
    </row>
    <row r="2060" spans="1:1" x14ac:dyDescent="0.25">
      <c r="A2060" s="29" t="s">
        <v>2127</v>
      </c>
    </row>
    <row r="2061" spans="1:1" x14ac:dyDescent="0.25">
      <c r="A2061" s="29" t="s">
        <v>2128</v>
      </c>
    </row>
    <row r="2062" spans="1:1" x14ac:dyDescent="0.25">
      <c r="A2062" s="29" t="s">
        <v>2129</v>
      </c>
    </row>
    <row r="2063" spans="1:1" x14ac:dyDescent="0.25">
      <c r="A2063" s="29" t="s">
        <v>2130</v>
      </c>
    </row>
    <row r="2064" spans="1:1" x14ac:dyDescent="0.25">
      <c r="A2064" s="29" t="s">
        <v>2131</v>
      </c>
    </row>
    <row r="2065" spans="1:1" x14ac:dyDescent="0.25">
      <c r="A2065" s="29" t="s">
        <v>2132</v>
      </c>
    </row>
    <row r="2066" spans="1:1" x14ac:dyDescent="0.25">
      <c r="A2066" s="29" t="s">
        <v>2133</v>
      </c>
    </row>
    <row r="2067" spans="1:1" x14ac:dyDescent="0.25">
      <c r="A2067" s="29" t="s">
        <v>2134</v>
      </c>
    </row>
    <row r="2068" spans="1:1" x14ac:dyDescent="0.25">
      <c r="A2068" s="29" t="s">
        <v>2135</v>
      </c>
    </row>
    <row r="2069" spans="1:1" x14ac:dyDescent="0.25">
      <c r="A2069" s="29" t="s">
        <v>2136</v>
      </c>
    </row>
    <row r="2070" spans="1:1" x14ac:dyDescent="0.25">
      <c r="A2070" s="29" t="s">
        <v>2137</v>
      </c>
    </row>
    <row r="2071" spans="1:1" x14ac:dyDescent="0.25">
      <c r="A2071" s="29" t="s">
        <v>2138</v>
      </c>
    </row>
    <row r="2072" spans="1:1" x14ac:dyDescent="0.25">
      <c r="A2072" s="29" t="s">
        <v>2139</v>
      </c>
    </row>
    <row r="2073" spans="1:1" x14ac:dyDescent="0.25">
      <c r="A2073" s="29" t="s">
        <v>2140</v>
      </c>
    </row>
    <row r="2074" spans="1:1" x14ac:dyDescent="0.25">
      <c r="A2074" s="29" t="s">
        <v>2141</v>
      </c>
    </row>
    <row r="2075" spans="1:1" x14ac:dyDescent="0.25">
      <c r="A2075" s="29" t="s">
        <v>2142</v>
      </c>
    </row>
    <row r="2076" spans="1:1" x14ac:dyDescent="0.25">
      <c r="A2076" s="29" t="s">
        <v>2143</v>
      </c>
    </row>
    <row r="2077" spans="1:1" x14ac:dyDescent="0.25">
      <c r="A2077" s="29" t="s">
        <v>2144</v>
      </c>
    </row>
    <row r="2078" spans="1:1" x14ac:dyDescent="0.25">
      <c r="A2078" s="29" t="s">
        <v>2145</v>
      </c>
    </row>
    <row r="2079" spans="1:1" x14ac:dyDescent="0.25">
      <c r="A2079" s="29" t="s">
        <v>2146</v>
      </c>
    </row>
    <row r="2080" spans="1:1" x14ac:dyDescent="0.25">
      <c r="A2080" s="29" t="s">
        <v>2147</v>
      </c>
    </row>
    <row r="2081" spans="1:1" x14ac:dyDescent="0.25">
      <c r="A2081" s="29" t="s">
        <v>2148</v>
      </c>
    </row>
    <row r="2082" spans="1:1" x14ac:dyDescent="0.25">
      <c r="A2082" s="29" t="s">
        <v>2149</v>
      </c>
    </row>
    <row r="2083" spans="1:1" x14ac:dyDescent="0.25">
      <c r="A2083" s="29" t="s">
        <v>2150</v>
      </c>
    </row>
    <row r="2084" spans="1:1" x14ac:dyDescent="0.25">
      <c r="A2084" s="29" t="s">
        <v>2151</v>
      </c>
    </row>
    <row r="2085" spans="1:1" x14ac:dyDescent="0.25">
      <c r="A2085" s="29" t="s">
        <v>2152</v>
      </c>
    </row>
    <row r="2086" spans="1:1" x14ac:dyDescent="0.25">
      <c r="A2086" s="29" t="s">
        <v>2153</v>
      </c>
    </row>
    <row r="2087" spans="1:1" x14ac:dyDescent="0.25">
      <c r="A2087" s="29" t="s">
        <v>2154</v>
      </c>
    </row>
    <row r="2088" spans="1:1" x14ac:dyDescent="0.25">
      <c r="A2088" s="29" t="s">
        <v>2155</v>
      </c>
    </row>
    <row r="2089" spans="1:1" x14ac:dyDescent="0.25">
      <c r="A2089" s="29" t="s">
        <v>2156</v>
      </c>
    </row>
    <row r="2090" spans="1:1" x14ac:dyDescent="0.25">
      <c r="A2090" s="29" t="s">
        <v>2157</v>
      </c>
    </row>
    <row r="2091" spans="1:1" x14ac:dyDescent="0.25">
      <c r="A2091" s="29" t="s">
        <v>2158</v>
      </c>
    </row>
    <row r="2092" spans="1:1" x14ac:dyDescent="0.25">
      <c r="A2092" s="29" t="s">
        <v>2159</v>
      </c>
    </row>
    <row r="2093" spans="1:1" x14ac:dyDescent="0.25">
      <c r="A2093" s="29" t="s">
        <v>2160</v>
      </c>
    </row>
    <row r="2094" spans="1:1" x14ac:dyDescent="0.25">
      <c r="A2094" s="29" t="s">
        <v>2161</v>
      </c>
    </row>
    <row r="2095" spans="1:1" x14ac:dyDescent="0.25">
      <c r="A2095" s="29" t="s">
        <v>2162</v>
      </c>
    </row>
    <row r="2096" spans="1:1" x14ac:dyDescent="0.25">
      <c r="A2096" s="29" t="s">
        <v>2163</v>
      </c>
    </row>
    <row r="2097" spans="1:1" x14ac:dyDescent="0.25">
      <c r="A2097" s="29" t="s">
        <v>2164</v>
      </c>
    </row>
    <row r="2098" spans="1:1" x14ac:dyDescent="0.25">
      <c r="A2098" s="29" t="s">
        <v>2165</v>
      </c>
    </row>
    <row r="2099" spans="1:1" x14ac:dyDescent="0.25">
      <c r="A2099" s="29" t="s">
        <v>2166</v>
      </c>
    </row>
    <row r="2100" spans="1:1" x14ac:dyDescent="0.25">
      <c r="A2100" s="29" t="s">
        <v>2167</v>
      </c>
    </row>
    <row r="2101" spans="1:1" x14ac:dyDescent="0.25">
      <c r="A2101" s="29" t="s">
        <v>2168</v>
      </c>
    </row>
    <row r="2102" spans="1:1" x14ac:dyDescent="0.25">
      <c r="A2102" s="29" t="s">
        <v>2169</v>
      </c>
    </row>
    <row r="2103" spans="1:1" x14ac:dyDescent="0.25">
      <c r="A2103" s="29" t="s">
        <v>2170</v>
      </c>
    </row>
    <row r="2104" spans="1:1" x14ac:dyDescent="0.25">
      <c r="A2104" s="29" t="s">
        <v>2171</v>
      </c>
    </row>
    <row r="2105" spans="1:1" x14ac:dyDescent="0.25">
      <c r="A2105" s="29" t="s">
        <v>2172</v>
      </c>
    </row>
    <row r="2106" spans="1:1" x14ac:dyDescent="0.25">
      <c r="A2106" s="29" t="s">
        <v>2173</v>
      </c>
    </row>
    <row r="2107" spans="1:1" x14ac:dyDescent="0.25">
      <c r="A2107" s="29" t="s">
        <v>2174</v>
      </c>
    </row>
    <row r="2108" spans="1:1" x14ac:dyDescent="0.25">
      <c r="A2108" s="29" t="s">
        <v>2175</v>
      </c>
    </row>
    <row r="2109" spans="1:1" x14ac:dyDescent="0.25">
      <c r="A2109" s="29" t="s">
        <v>2176</v>
      </c>
    </row>
    <row r="2110" spans="1:1" x14ac:dyDescent="0.25">
      <c r="A2110" s="29" t="s">
        <v>2177</v>
      </c>
    </row>
    <row r="2111" spans="1:1" x14ac:dyDescent="0.25">
      <c r="A2111" s="29" t="s">
        <v>2178</v>
      </c>
    </row>
    <row r="2112" spans="1:1" x14ac:dyDescent="0.25">
      <c r="A2112" s="29" t="s">
        <v>2179</v>
      </c>
    </row>
    <row r="2113" spans="1:1" x14ac:dyDescent="0.25">
      <c r="A2113" s="29" t="s">
        <v>2180</v>
      </c>
    </row>
    <row r="2114" spans="1:1" x14ac:dyDescent="0.25">
      <c r="A2114" s="29" t="s">
        <v>2181</v>
      </c>
    </row>
    <row r="2115" spans="1:1" x14ac:dyDescent="0.25">
      <c r="A2115" s="29" t="s">
        <v>2182</v>
      </c>
    </row>
    <row r="2116" spans="1:1" x14ac:dyDescent="0.25">
      <c r="A2116" s="29" t="s">
        <v>2183</v>
      </c>
    </row>
    <row r="2117" spans="1:1" x14ac:dyDescent="0.25">
      <c r="A2117" s="29" t="s">
        <v>2184</v>
      </c>
    </row>
    <row r="2118" spans="1:1" x14ac:dyDescent="0.25">
      <c r="A2118" s="29" t="s">
        <v>2185</v>
      </c>
    </row>
    <row r="2119" spans="1:1" x14ac:dyDescent="0.25">
      <c r="A2119" s="29" t="s">
        <v>2186</v>
      </c>
    </row>
    <row r="2120" spans="1:1" x14ac:dyDescent="0.25">
      <c r="A2120" s="29" t="s">
        <v>2187</v>
      </c>
    </row>
    <row r="2121" spans="1:1" x14ac:dyDescent="0.25">
      <c r="A2121" s="29" t="s">
        <v>2188</v>
      </c>
    </row>
    <row r="2122" spans="1:1" x14ac:dyDescent="0.25">
      <c r="A2122" s="29" t="s">
        <v>2189</v>
      </c>
    </row>
    <row r="2123" spans="1:1" x14ac:dyDescent="0.25">
      <c r="A2123" s="29" t="s">
        <v>2190</v>
      </c>
    </row>
    <row r="2124" spans="1:1" x14ac:dyDescent="0.25">
      <c r="A2124" s="29" t="s">
        <v>2191</v>
      </c>
    </row>
    <row r="2125" spans="1:1" x14ac:dyDescent="0.25">
      <c r="A2125" s="29" t="s">
        <v>2192</v>
      </c>
    </row>
    <row r="2126" spans="1:1" x14ac:dyDescent="0.25">
      <c r="A2126" s="29" t="s">
        <v>2193</v>
      </c>
    </row>
    <row r="2127" spans="1:1" x14ac:dyDescent="0.25">
      <c r="A2127" s="29" t="s">
        <v>2194</v>
      </c>
    </row>
    <row r="2128" spans="1:1" x14ac:dyDescent="0.25">
      <c r="A2128" s="29" t="s">
        <v>2195</v>
      </c>
    </row>
    <row r="2129" spans="1:1" x14ac:dyDescent="0.25">
      <c r="A2129" s="29" t="s">
        <v>2196</v>
      </c>
    </row>
    <row r="2130" spans="1:1" x14ac:dyDescent="0.25">
      <c r="A2130" s="29" t="s">
        <v>2197</v>
      </c>
    </row>
    <row r="2131" spans="1:1" x14ac:dyDescent="0.25">
      <c r="A2131" s="29" t="s">
        <v>2198</v>
      </c>
    </row>
    <row r="2132" spans="1:1" x14ac:dyDescent="0.25">
      <c r="A2132" s="29" t="s">
        <v>2199</v>
      </c>
    </row>
    <row r="2133" spans="1:1" x14ac:dyDescent="0.25">
      <c r="A2133" s="29" t="s">
        <v>2200</v>
      </c>
    </row>
    <row r="2134" spans="1:1" x14ac:dyDescent="0.25">
      <c r="A2134" s="29" t="s">
        <v>2201</v>
      </c>
    </row>
    <row r="2135" spans="1:1" x14ac:dyDescent="0.25">
      <c r="A2135" s="29" t="s">
        <v>2202</v>
      </c>
    </row>
    <row r="2136" spans="1:1" x14ac:dyDescent="0.25">
      <c r="A2136" s="29" t="s">
        <v>2203</v>
      </c>
    </row>
    <row r="2137" spans="1:1" x14ac:dyDescent="0.25">
      <c r="A2137" s="29" t="s">
        <v>2204</v>
      </c>
    </row>
    <row r="2138" spans="1:1" x14ac:dyDescent="0.25">
      <c r="A2138" s="29" t="s">
        <v>2205</v>
      </c>
    </row>
    <row r="2139" spans="1:1" ht="60" x14ac:dyDescent="0.25">
      <c r="A2139" s="29" t="s">
        <v>2206</v>
      </c>
    </row>
    <row r="2140" spans="1:1" ht="30" x14ac:dyDescent="0.25">
      <c r="A2140" s="29" t="s">
        <v>2207</v>
      </c>
    </row>
    <row r="2141" spans="1:1" ht="30" x14ac:dyDescent="0.25">
      <c r="A2141" s="29" t="s">
        <v>2208</v>
      </c>
    </row>
    <row r="2142" spans="1:1" x14ac:dyDescent="0.25">
      <c r="A2142" s="29" t="s">
        <v>2209</v>
      </c>
    </row>
    <row r="2143" spans="1:1" x14ac:dyDescent="0.25">
      <c r="A2143" s="29" t="s">
        <v>2210</v>
      </c>
    </row>
    <row r="2144" spans="1:1" x14ac:dyDescent="0.25">
      <c r="A2144" s="29" t="s">
        <v>2211</v>
      </c>
    </row>
    <row r="2145" spans="1:1" ht="30" x14ac:dyDescent="0.25">
      <c r="A2145" s="29" t="s">
        <v>2212</v>
      </c>
    </row>
    <row r="2146" spans="1:1" x14ac:dyDescent="0.25">
      <c r="A2146" s="29" t="s">
        <v>2213</v>
      </c>
    </row>
    <row r="2147" spans="1:1" x14ac:dyDescent="0.25">
      <c r="A2147" s="29" t="s">
        <v>2214</v>
      </c>
    </row>
    <row r="2148" spans="1:1" x14ac:dyDescent="0.25">
      <c r="A2148" s="29" t="s">
        <v>2215</v>
      </c>
    </row>
    <row r="2149" spans="1:1" x14ac:dyDescent="0.25">
      <c r="A2149" s="29" t="s">
        <v>2216</v>
      </c>
    </row>
    <row r="2150" spans="1:1" ht="30" x14ac:dyDescent="0.25">
      <c r="A2150" s="29" t="s">
        <v>2217</v>
      </c>
    </row>
    <row r="2151" spans="1:1" x14ac:dyDescent="0.25">
      <c r="A2151" s="29" t="s">
        <v>2218</v>
      </c>
    </row>
    <row r="2152" spans="1:1" x14ac:dyDescent="0.25">
      <c r="A2152" s="29" t="s">
        <v>2219</v>
      </c>
    </row>
    <row r="2153" spans="1:1" x14ac:dyDescent="0.25">
      <c r="A2153" s="29" t="s">
        <v>2220</v>
      </c>
    </row>
    <row r="2154" spans="1:1" x14ac:dyDescent="0.25">
      <c r="A2154" s="29" t="s">
        <v>2221</v>
      </c>
    </row>
    <row r="2155" spans="1:1" x14ac:dyDescent="0.25">
      <c r="A2155" s="29" t="s">
        <v>2222</v>
      </c>
    </row>
    <row r="2156" spans="1:1" x14ac:dyDescent="0.25">
      <c r="A2156" s="29" t="s">
        <v>2223</v>
      </c>
    </row>
    <row r="2157" spans="1:1" x14ac:dyDescent="0.25">
      <c r="A2157" s="29" t="s">
        <v>2224</v>
      </c>
    </row>
    <row r="2158" spans="1:1" x14ac:dyDescent="0.25">
      <c r="A2158" s="29" t="s">
        <v>2225</v>
      </c>
    </row>
    <row r="2159" spans="1:1" x14ac:dyDescent="0.25">
      <c r="A2159" s="29" t="s">
        <v>2226</v>
      </c>
    </row>
    <row r="2160" spans="1:1" ht="30" x14ac:dyDescent="0.25">
      <c r="A2160" s="29" t="s">
        <v>2227</v>
      </c>
    </row>
    <row r="2161" spans="1:1" x14ac:dyDescent="0.25">
      <c r="A2161" s="29" t="s">
        <v>2228</v>
      </c>
    </row>
    <row r="2162" spans="1:1" x14ac:dyDescent="0.25">
      <c r="A2162" s="29" t="s">
        <v>2229</v>
      </c>
    </row>
    <row r="2163" spans="1:1" x14ac:dyDescent="0.25">
      <c r="A2163" s="29" t="s">
        <v>2230</v>
      </c>
    </row>
    <row r="2164" spans="1:1" x14ac:dyDescent="0.25">
      <c r="A2164" s="29" t="s">
        <v>2231</v>
      </c>
    </row>
    <row r="2165" spans="1:1" x14ac:dyDescent="0.25">
      <c r="A2165" s="29" t="s">
        <v>2232</v>
      </c>
    </row>
    <row r="2166" spans="1:1" ht="30" x14ac:dyDescent="0.25">
      <c r="A2166" s="29" t="s">
        <v>2233</v>
      </c>
    </row>
    <row r="2167" spans="1:1" x14ac:dyDescent="0.25">
      <c r="A2167" s="29" t="s">
        <v>2234</v>
      </c>
    </row>
    <row r="2168" spans="1:1" x14ac:dyDescent="0.25">
      <c r="A2168" s="29" t="s">
        <v>2235</v>
      </c>
    </row>
    <row r="2169" spans="1:1" x14ac:dyDescent="0.25">
      <c r="A2169" s="29" t="s">
        <v>2236</v>
      </c>
    </row>
    <row r="2170" spans="1:1" x14ac:dyDescent="0.25">
      <c r="A2170" s="29" t="s">
        <v>2237</v>
      </c>
    </row>
    <row r="2171" spans="1:1" x14ac:dyDescent="0.25">
      <c r="A2171" s="29" t="s">
        <v>2238</v>
      </c>
    </row>
    <row r="2172" spans="1:1" x14ac:dyDescent="0.25">
      <c r="A2172" s="29" t="s">
        <v>2239</v>
      </c>
    </row>
    <row r="2173" spans="1:1" x14ac:dyDescent="0.25">
      <c r="A2173" s="29" t="s">
        <v>2240</v>
      </c>
    </row>
    <row r="2174" spans="1:1" x14ac:dyDescent="0.25">
      <c r="A2174" s="29" t="s">
        <v>2241</v>
      </c>
    </row>
    <row r="2175" spans="1:1" x14ac:dyDescent="0.25">
      <c r="A2175" s="29" t="s">
        <v>2243</v>
      </c>
    </row>
    <row r="2176" spans="1:1" x14ac:dyDescent="0.25">
      <c r="A2176" s="29" t="s">
        <v>2247</v>
      </c>
    </row>
    <row r="2177" spans="1:1" x14ac:dyDescent="0.25">
      <c r="A2177" s="29" t="s">
        <v>2245</v>
      </c>
    </row>
    <row r="2178" spans="1:1" x14ac:dyDescent="0.25">
      <c r="A2178" s="29" t="s">
        <v>2244</v>
      </c>
    </row>
    <row r="2179" spans="1:1" x14ac:dyDescent="0.25">
      <c r="A2179" s="29" t="s">
        <v>2246</v>
      </c>
    </row>
    <row r="2180" spans="1:1" ht="30" x14ac:dyDescent="0.25">
      <c r="A2180" s="30" t="s">
        <v>2078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1048534"/>
  <sheetViews>
    <sheetView zoomScale="60" zoomScaleNormal="60" workbookViewId="0">
      <selection sqref="A1:A1048576"/>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7" t="s">
        <v>27</v>
      </c>
      <c r="B2" t="s">
        <v>37</v>
      </c>
      <c r="C2">
        <v>6731002766</v>
      </c>
      <c r="D2">
        <v>673201001</v>
      </c>
      <c r="E2" t="s">
        <v>38</v>
      </c>
      <c r="F2" t="s">
        <v>39</v>
      </c>
      <c r="G2">
        <v>2</v>
      </c>
    </row>
    <row r="3" spans="1:7" x14ac:dyDescent="0.25">
      <c r="A3" s="36" t="s">
        <v>2306</v>
      </c>
      <c r="B3" t="s">
        <v>37</v>
      </c>
      <c r="C3">
        <v>6731002766</v>
      </c>
      <c r="D3">
        <v>673201001</v>
      </c>
      <c r="E3" t="s">
        <v>38</v>
      </c>
      <c r="F3" t="s">
        <v>39</v>
      </c>
      <c r="G3">
        <v>2</v>
      </c>
    </row>
    <row r="4" spans="1:7" x14ac:dyDescent="0.25">
      <c r="A4" s="37" t="s">
        <v>2248</v>
      </c>
      <c r="B4" t="s">
        <v>37</v>
      </c>
      <c r="C4">
        <v>6731002766</v>
      </c>
      <c r="D4">
        <v>673201001</v>
      </c>
      <c r="E4" t="s">
        <v>38</v>
      </c>
      <c r="F4" t="s">
        <v>39</v>
      </c>
      <c r="G4">
        <v>2</v>
      </c>
    </row>
    <row r="5" spans="1:7" x14ac:dyDescent="0.25">
      <c r="A5" s="36" t="s">
        <v>2249</v>
      </c>
      <c r="B5" t="s">
        <v>37</v>
      </c>
      <c r="C5">
        <v>6731002766</v>
      </c>
      <c r="D5">
        <v>673201001</v>
      </c>
      <c r="E5" t="s">
        <v>38</v>
      </c>
      <c r="F5" t="s">
        <v>39</v>
      </c>
      <c r="G5">
        <v>2</v>
      </c>
    </row>
    <row r="6" spans="1:7" ht="30" x14ac:dyDescent="0.25">
      <c r="A6" s="37" t="s">
        <v>2307</v>
      </c>
      <c r="B6" t="s">
        <v>40</v>
      </c>
      <c r="C6">
        <v>7806155468</v>
      </c>
      <c r="D6">
        <v>780601001</v>
      </c>
      <c r="E6" t="s">
        <v>41</v>
      </c>
      <c r="F6" t="s">
        <v>42</v>
      </c>
      <c r="G6">
        <v>1</v>
      </c>
    </row>
    <row r="7" spans="1:7" x14ac:dyDescent="0.25">
      <c r="A7" s="36" t="s">
        <v>2308</v>
      </c>
      <c r="B7" t="s">
        <v>40</v>
      </c>
      <c r="C7">
        <v>7806155468</v>
      </c>
      <c r="D7">
        <v>780601001</v>
      </c>
      <c r="E7" t="s">
        <v>41</v>
      </c>
      <c r="F7" t="s">
        <v>42</v>
      </c>
      <c r="G7">
        <v>1</v>
      </c>
    </row>
    <row r="8" spans="1:7" x14ac:dyDescent="0.25">
      <c r="A8" s="37" t="s">
        <v>2309</v>
      </c>
      <c r="B8" t="s">
        <v>40</v>
      </c>
      <c r="C8">
        <v>7806155468</v>
      </c>
      <c r="D8">
        <v>780601001</v>
      </c>
      <c r="E8" t="s">
        <v>41</v>
      </c>
      <c r="F8" t="s">
        <v>42</v>
      </c>
      <c r="G8">
        <v>1</v>
      </c>
    </row>
    <row r="9" spans="1:7" x14ac:dyDescent="0.25">
      <c r="A9" s="36" t="s">
        <v>2310</v>
      </c>
      <c r="B9" t="s">
        <v>43</v>
      </c>
      <c r="C9">
        <v>7839109650</v>
      </c>
      <c r="D9">
        <v>783901001</v>
      </c>
      <c r="E9" t="s">
        <v>44</v>
      </c>
      <c r="F9" t="s">
        <v>42</v>
      </c>
      <c r="G9">
        <v>2</v>
      </c>
    </row>
    <row r="10" spans="1:7" x14ac:dyDescent="0.25">
      <c r="A10" s="37" t="s">
        <v>2311</v>
      </c>
      <c r="B10" t="s">
        <v>43</v>
      </c>
      <c r="C10">
        <v>7839109650</v>
      </c>
      <c r="D10">
        <v>783901001</v>
      </c>
      <c r="E10" t="s">
        <v>44</v>
      </c>
      <c r="F10" t="s">
        <v>42</v>
      </c>
      <c r="G10">
        <v>2</v>
      </c>
    </row>
    <row r="11" spans="1:7" x14ac:dyDescent="0.25">
      <c r="A11" s="36" t="s">
        <v>2312</v>
      </c>
      <c r="B11" t="s">
        <v>43</v>
      </c>
      <c r="C11">
        <v>7839109650</v>
      </c>
      <c r="D11">
        <v>783901001</v>
      </c>
      <c r="E11" t="s">
        <v>44</v>
      </c>
      <c r="F11" t="s">
        <v>42</v>
      </c>
      <c r="G11">
        <v>2</v>
      </c>
    </row>
    <row r="12" spans="1:7" x14ac:dyDescent="0.25">
      <c r="A12" s="37" t="s">
        <v>2250</v>
      </c>
      <c r="B12" t="s">
        <v>43</v>
      </c>
      <c r="C12">
        <v>7839109650</v>
      </c>
      <c r="D12">
        <v>783901001</v>
      </c>
      <c r="E12" t="s">
        <v>44</v>
      </c>
      <c r="F12" t="s">
        <v>42</v>
      </c>
      <c r="G12">
        <v>2</v>
      </c>
    </row>
    <row r="13" spans="1:7" x14ac:dyDescent="0.25">
      <c r="A13" s="36" t="s">
        <v>2313</v>
      </c>
      <c r="B13" t="s">
        <v>37</v>
      </c>
      <c r="C13">
        <v>6731002766</v>
      </c>
      <c r="D13">
        <v>673201001</v>
      </c>
      <c r="E13" t="s">
        <v>38</v>
      </c>
      <c r="F13" t="s">
        <v>39</v>
      </c>
      <c r="G13">
        <v>2</v>
      </c>
    </row>
    <row r="14" spans="1:7" x14ac:dyDescent="0.25">
      <c r="A14" s="37" t="s">
        <v>2314</v>
      </c>
      <c r="B14" t="s">
        <v>37</v>
      </c>
      <c r="C14">
        <v>6731002766</v>
      </c>
      <c r="D14">
        <v>673201001</v>
      </c>
      <c r="E14" t="s">
        <v>38</v>
      </c>
      <c r="F14" t="s">
        <v>39</v>
      </c>
      <c r="G14">
        <v>2</v>
      </c>
    </row>
    <row r="15" spans="1:7" x14ac:dyDescent="0.25">
      <c r="A15" s="36" t="s">
        <v>2315</v>
      </c>
      <c r="B15" t="s">
        <v>37</v>
      </c>
      <c r="C15">
        <v>6731002766</v>
      </c>
      <c r="D15">
        <v>673201001</v>
      </c>
      <c r="E15" t="s">
        <v>38</v>
      </c>
      <c r="F15" t="s">
        <v>39</v>
      </c>
      <c r="G15">
        <v>2</v>
      </c>
    </row>
    <row r="16" spans="1:7" x14ac:dyDescent="0.25">
      <c r="A16" s="37" t="s">
        <v>2316</v>
      </c>
      <c r="B16" t="s">
        <v>37</v>
      </c>
      <c r="C16">
        <v>6731002766</v>
      </c>
      <c r="D16">
        <v>673201001</v>
      </c>
      <c r="E16" t="s">
        <v>38</v>
      </c>
      <c r="F16" t="s">
        <v>39</v>
      </c>
      <c r="G16">
        <v>2</v>
      </c>
    </row>
    <row r="17" spans="1:7" x14ac:dyDescent="0.25">
      <c r="A17" s="36" t="s">
        <v>2251</v>
      </c>
      <c r="B17" t="s">
        <v>43</v>
      </c>
      <c r="C17">
        <v>7839109650</v>
      </c>
      <c r="D17">
        <v>783901001</v>
      </c>
      <c r="E17" t="s">
        <v>44</v>
      </c>
      <c r="F17" t="s">
        <v>42</v>
      </c>
      <c r="G17">
        <v>2</v>
      </c>
    </row>
    <row r="18" spans="1:7" x14ac:dyDescent="0.25">
      <c r="A18" s="37" t="s">
        <v>2317</v>
      </c>
      <c r="B18" t="s">
        <v>43</v>
      </c>
      <c r="C18">
        <v>7839109650</v>
      </c>
      <c r="D18">
        <v>783901001</v>
      </c>
      <c r="E18" t="s">
        <v>44</v>
      </c>
      <c r="F18" t="s">
        <v>42</v>
      </c>
      <c r="G18">
        <v>2</v>
      </c>
    </row>
    <row r="19" spans="1:7" x14ac:dyDescent="0.25">
      <c r="A19" s="36" t="s">
        <v>2252</v>
      </c>
      <c r="B19" t="s">
        <v>45</v>
      </c>
      <c r="C19">
        <v>7810216924</v>
      </c>
      <c r="D19">
        <v>7814455001</v>
      </c>
      <c r="E19" t="s">
        <v>46</v>
      </c>
      <c r="F19" t="s">
        <v>42</v>
      </c>
      <c r="G19">
        <v>2</v>
      </c>
    </row>
    <row r="20" spans="1:7" x14ac:dyDescent="0.25">
      <c r="A20" s="37" t="s">
        <v>2253</v>
      </c>
      <c r="B20" t="s">
        <v>45</v>
      </c>
      <c r="C20">
        <v>7810216924</v>
      </c>
      <c r="D20">
        <v>7814455001</v>
      </c>
      <c r="E20" t="s">
        <v>46</v>
      </c>
      <c r="F20" t="s">
        <v>42</v>
      </c>
      <c r="G20">
        <v>2</v>
      </c>
    </row>
    <row r="21" spans="1:7" x14ac:dyDescent="0.25">
      <c r="A21" s="36" t="s">
        <v>2254</v>
      </c>
      <c r="B21" t="s">
        <v>45</v>
      </c>
      <c r="C21">
        <v>7810216924</v>
      </c>
      <c r="D21">
        <v>7814455001</v>
      </c>
      <c r="E21" t="s">
        <v>46</v>
      </c>
      <c r="F21" t="s">
        <v>42</v>
      </c>
      <c r="G21">
        <v>2</v>
      </c>
    </row>
    <row r="22" spans="1:7" x14ac:dyDescent="0.25">
      <c r="A22" s="37" t="s">
        <v>2255</v>
      </c>
      <c r="B22" t="s">
        <v>45</v>
      </c>
      <c r="C22">
        <v>7810216924</v>
      </c>
      <c r="D22">
        <v>7814455001</v>
      </c>
      <c r="E22" t="s">
        <v>46</v>
      </c>
      <c r="F22" t="s">
        <v>42</v>
      </c>
      <c r="G22">
        <v>2</v>
      </c>
    </row>
    <row r="23" spans="1:7" x14ac:dyDescent="0.25">
      <c r="A23" s="36" t="s">
        <v>2256</v>
      </c>
      <c r="B23" t="s">
        <v>47</v>
      </c>
      <c r="C23">
        <v>7804274156</v>
      </c>
      <c r="D23">
        <v>780401001</v>
      </c>
      <c r="E23" t="s">
        <v>48</v>
      </c>
      <c r="F23" t="s">
        <v>42</v>
      </c>
      <c r="G23">
        <v>2</v>
      </c>
    </row>
    <row r="24" spans="1:7" x14ac:dyDescent="0.25">
      <c r="A24" s="37" t="s">
        <v>2257</v>
      </c>
      <c r="B24" t="s">
        <v>45</v>
      </c>
      <c r="C24">
        <v>7810216924</v>
      </c>
      <c r="D24">
        <v>7814455001</v>
      </c>
      <c r="E24" t="s">
        <v>46</v>
      </c>
      <c r="F24" t="s">
        <v>42</v>
      </c>
      <c r="G24">
        <v>2</v>
      </c>
    </row>
    <row r="25" spans="1:7" x14ac:dyDescent="0.25">
      <c r="A25" s="36" t="s">
        <v>2258</v>
      </c>
      <c r="B25" t="s">
        <v>47</v>
      </c>
      <c r="C25">
        <v>7804274156</v>
      </c>
      <c r="D25">
        <v>780401001</v>
      </c>
      <c r="E25" t="s">
        <v>48</v>
      </c>
      <c r="F25" t="s">
        <v>42</v>
      </c>
      <c r="G25">
        <v>2</v>
      </c>
    </row>
    <row r="26" spans="1:7" x14ac:dyDescent="0.25">
      <c r="A26" s="37" t="s">
        <v>2259</v>
      </c>
      <c r="B26" t="s">
        <v>45</v>
      </c>
      <c r="C26">
        <v>7810216924</v>
      </c>
      <c r="D26">
        <v>7814455001</v>
      </c>
      <c r="E26" t="s">
        <v>46</v>
      </c>
      <c r="F26" t="s">
        <v>42</v>
      </c>
      <c r="G26">
        <v>2</v>
      </c>
    </row>
    <row r="27" spans="1:7" x14ac:dyDescent="0.25">
      <c r="A27" s="36" t="s">
        <v>2260</v>
      </c>
      <c r="B27" t="s">
        <v>45</v>
      </c>
      <c r="C27">
        <v>7810216924</v>
      </c>
      <c r="D27">
        <v>7814455001</v>
      </c>
      <c r="E27" t="s">
        <v>46</v>
      </c>
      <c r="F27" t="s">
        <v>42</v>
      </c>
      <c r="G27">
        <v>2</v>
      </c>
    </row>
    <row r="28" spans="1:7" x14ac:dyDescent="0.25">
      <c r="A28" s="37" t="s">
        <v>2261</v>
      </c>
      <c r="B28" t="s">
        <v>45</v>
      </c>
      <c r="C28">
        <v>7810216924</v>
      </c>
      <c r="D28">
        <v>7814455001</v>
      </c>
      <c r="E28" t="s">
        <v>46</v>
      </c>
      <c r="F28" t="s">
        <v>42</v>
      </c>
      <c r="G28">
        <v>2</v>
      </c>
    </row>
    <row r="29" spans="1:7" x14ac:dyDescent="0.25">
      <c r="A29" s="36" t="s">
        <v>2318</v>
      </c>
      <c r="B29" t="s">
        <v>37</v>
      </c>
      <c r="C29">
        <v>6731002766</v>
      </c>
      <c r="D29">
        <v>673201001</v>
      </c>
      <c r="E29" t="s">
        <v>38</v>
      </c>
      <c r="F29" t="s">
        <v>39</v>
      </c>
      <c r="G29">
        <v>2</v>
      </c>
    </row>
    <row r="30" spans="1:7" x14ac:dyDescent="0.25">
      <c r="A30" s="37" t="s">
        <v>2319</v>
      </c>
      <c r="B30" t="s">
        <v>37</v>
      </c>
      <c r="C30">
        <v>6731002766</v>
      </c>
      <c r="D30">
        <v>673201001</v>
      </c>
      <c r="E30" t="s">
        <v>38</v>
      </c>
      <c r="F30" t="s">
        <v>39</v>
      </c>
      <c r="G30">
        <v>2</v>
      </c>
    </row>
    <row r="31" spans="1:7" x14ac:dyDescent="0.25">
      <c r="A31" s="36" t="s">
        <v>2262</v>
      </c>
      <c r="B31" t="s">
        <v>37</v>
      </c>
      <c r="C31">
        <v>6731002766</v>
      </c>
      <c r="D31">
        <v>673201001</v>
      </c>
      <c r="E31" t="s">
        <v>38</v>
      </c>
      <c r="F31" t="s">
        <v>39</v>
      </c>
      <c r="G31">
        <v>2</v>
      </c>
    </row>
    <row r="32" spans="1:7" ht="30" x14ac:dyDescent="0.25">
      <c r="A32" s="37" t="s">
        <v>2263</v>
      </c>
      <c r="B32" t="s">
        <v>49</v>
      </c>
      <c r="C32">
        <v>509950001</v>
      </c>
      <c r="D32">
        <v>5036002480</v>
      </c>
      <c r="E32" t="s">
        <v>50</v>
      </c>
      <c r="F32" t="s">
        <v>51</v>
      </c>
      <c r="G32">
        <v>2</v>
      </c>
    </row>
    <row r="33" spans="1:7" ht="30" x14ac:dyDescent="0.25">
      <c r="A33" s="36" t="s">
        <v>2264</v>
      </c>
      <c r="B33" t="s">
        <v>49</v>
      </c>
      <c r="C33">
        <v>509950001</v>
      </c>
      <c r="D33">
        <v>5036002480</v>
      </c>
      <c r="E33" t="s">
        <v>50</v>
      </c>
      <c r="F33" t="s">
        <v>51</v>
      </c>
      <c r="G33">
        <v>2</v>
      </c>
    </row>
    <row r="34" spans="1:7" ht="30" x14ac:dyDescent="0.25">
      <c r="A34" s="37" t="s">
        <v>2265</v>
      </c>
      <c r="B34" t="s">
        <v>49</v>
      </c>
      <c r="C34">
        <v>509950001</v>
      </c>
      <c r="D34">
        <v>5036002480</v>
      </c>
      <c r="E34" t="s">
        <v>50</v>
      </c>
      <c r="F34" t="s">
        <v>51</v>
      </c>
      <c r="G34">
        <v>2</v>
      </c>
    </row>
    <row r="35" spans="1:7" ht="30" x14ac:dyDescent="0.25">
      <c r="A35" s="36" t="s">
        <v>2266</v>
      </c>
      <c r="B35" t="s">
        <v>49</v>
      </c>
      <c r="C35">
        <v>509950001</v>
      </c>
      <c r="D35">
        <v>5036002480</v>
      </c>
      <c r="E35" t="s">
        <v>50</v>
      </c>
      <c r="F35" t="s">
        <v>51</v>
      </c>
      <c r="G35">
        <v>2</v>
      </c>
    </row>
    <row r="36" spans="1:7" ht="30" x14ac:dyDescent="0.25">
      <c r="A36" s="37" t="s">
        <v>2267</v>
      </c>
      <c r="B36" t="s">
        <v>49</v>
      </c>
      <c r="C36">
        <v>509950001</v>
      </c>
      <c r="D36">
        <v>5036002480</v>
      </c>
      <c r="E36" t="s">
        <v>50</v>
      </c>
      <c r="F36" t="s">
        <v>51</v>
      </c>
      <c r="G36">
        <v>2</v>
      </c>
    </row>
    <row r="37" spans="1:7" x14ac:dyDescent="0.25">
      <c r="A37" s="36" t="s">
        <v>2268</v>
      </c>
      <c r="B37" t="s">
        <v>49</v>
      </c>
      <c r="C37">
        <v>509950001</v>
      </c>
      <c r="D37">
        <v>5036002480</v>
      </c>
      <c r="E37" t="s">
        <v>50</v>
      </c>
      <c r="F37" t="s">
        <v>51</v>
      </c>
      <c r="G37">
        <v>2</v>
      </c>
    </row>
    <row r="38" spans="1:7" x14ac:dyDescent="0.25">
      <c r="A38" s="37" t="s">
        <v>2269</v>
      </c>
      <c r="B38" t="s">
        <v>52</v>
      </c>
      <c r="C38">
        <v>7802348846</v>
      </c>
      <c r="D38">
        <v>997350001</v>
      </c>
      <c r="E38" t="s">
        <v>53</v>
      </c>
      <c r="F38" t="s">
        <v>42</v>
      </c>
      <c r="G38">
        <v>2</v>
      </c>
    </row>
    <row r="39" spans="1:7" x14ac:dyDescent="0.25">
      <c r="A39" s="36" t="s">
        <v>2270</v>
      </c>
      <c r="B39" t="s">
        <v>52</v>
      </c>
      <c r="C39">
        <v>7802348846</v>
      </c>
      <c r="D39">
        <v>997350001</v>
      </c>
      <c r="E39" t="s">
        <v>53</v>
      </c>
      <c r="F39" t="s">
        <v>42</v>
      </c>
      <c r="G39">
        <v>2</v>
      </c>
    </row>
    <row r="40" spans="1:7" x14ac:dyDescent="0.25">
      <c r="A40" s="37" t="s">
        <v>2271</v>
      </c>
      <c r="B40" t="s">
        <v>47</v>
      </c>
      <c r="C40">
        <v>7802348846</v>
      </c>
      <c r="D40">
        <v>997350001</v>
      </c>
      <c r="E40" t="s">
        <v>48</v>
      </c>
      <c r="F40" t="s">
        <v>42</v>
      </c>
      <c r="G40">
        <v>2</v>
      </c>
    </row>
    <row r="41" spans="1:7" x14ac:dyDescent="0.25">
      <c r="A41" s="36" t="s">
        <v>2272</v>
      </c>
      <c r="B41" t="s">
        <v>43</v>
      </c>
      <c r="C41">
        <v>7802348846</v>
      </c>
      <c r="D41">
        <v>997350001</v>
      </c>
      <c r="E41" t="s">
        <v>44</v>
      </c>
      <c r="F41" t="s">
        <v>42</v>
      </c>
      <c r="G41">
        <v>2</v>
      </c>
    </row>
    <row r="42" spans="1:7" x14ac:dyDescent="0.25">
      <c r="A42" s="37" t="s">
        <v>2273</v>
      </c>
      <c r="B42" t="s">
        <v>43</v>
      </c>
      <c r="C42">
        <v>7802348846</v>
      </c>
      <c r="D42">
        <v>997350001</v>
      </c>
      <c r="E42" t="s">
        <v>44</v>
      </c>
      <c r="F42" t="s">
        <v>42</v>
      </c>
      <c r="G42">
        <v>2</v>
      </c>
    </row>
    <row r="43" spans="1:7" x14ac:dyDescent="0.25">
      <c r="A43" s="36" t="s">
        <v>2274</v>
      </c>
      <c r="B43" t="s">
        <v>47</v>
      </c>
      <c r="C43">
        <v>7802348846</v>
      </c>
      <c r="D43">
        <v>997350001</v>
      </c>
      <c r="E43" t="s">
        <v>48</v>
      </c>
      <c r="F43" t="s">
        <v>42</v>
      </c>
      <c r="G43">
        <v>2</v>
      </c>
    </row>
    <row r="44" spans="1:7" x14ac:dyDescent="0.25">
      <c r="A44" s="37" t="s">
        <v>2275</v>
      </c>
      <c r="B44" t="s">
        <v>52</v>
      </c>
      <c r="C44">
        <v>7802348846</v>
      </c>
      <c r="D44">
        <v>997350001</v>
      </c>
      <c r="E44" t="s">
        <v>53</v>
      </c>
      <c r="F44" t="s">
        <v>42</v>
      </c>
      <c r="G44">
        <v>2</v>
      </c>
    </row>
    <row r="45" spans="1:7" x14ac:dyDescent="0.25">
      <c r="A45" s="36" t="s">
        <v>2276</v>
      </c>
      <c r="B45" t="s">
        <v>54</v>
      </c>
      <c r="C45">
        <v>7802348846</v>
      </c>
      <c r="D45">
        <v>997350001</v>
      </c>
      <c r="E45" t="s">
        <v>55</v>
      </c>
      <c r="F45" t="s">
        <v>42</v>
      </c>
      <c r="G45">
        <v>2</v>
      </c>
    </row>
    <row r="46" spans="1:7" x14ac:dyDescent="0.25">
      <c r="A46" s="37" t="s">
        <v>2277</v>
      </c>
      <c r="B46" t="s">
        <v>52</v>
      </c>
      <c r="C46">
        <v>7802348846</v>
      </c>
      <c r="D46">
        <v>997350001</v>
      </c>
      <c r="E46" t="s">
        <v>53</v>
      </c>
      <c r="F46" t="s">
        <v>42</v>
      </c>
      <c r="G46">
        <v>2</v>
      </c>
    </row>
    <row r="47" spans="1:7" x14ac:dyDescent="0.25">
      <c r="A47" s="36" t="s">
        <v>2278</v>
      </c>
      <c r="B47" t="s">
        <v>54</v>
      </c>
      <c r="C47">
        <v>7802348846</v>
      </c>
      <c r="D47">
        <v>997350001</v>
      </c>
      <c r="E47" t="s">
        <v>55</v>
      </c>
      <c r="F47" t="s">
        <v>42</v>
      </c>
      <c r="G47">
        <v>2</v>
      </c>
    </row>
    <row r="48" spans="1:7" x14ac:dyDescent="0.25">
      <c r="A48" s="37" t="s">
        <v>2279</v>
      </c>
      <c r="B48" t="s">
        <v>54</v>
      </c>
      <c r="C48">
        <v>7802348846</v>
      </c>
      <c r="D48">
        <v>997350001</v>
      </c>
      <c r="E48" t="s">
        <v>55</v>
      </c>
      <c r="F48" t="s">
        <v>42</v>
      </c>
      <c r="G48">
        <v>2</v>
      </c>
    </row>
    <row r="49" spans="1:7" x14ac:dyDescent="0.25">
      <c r="A49" s="36" t="s">
        <v>2280</v>
      </c>
      <c r="B49" t="s">
        <v>52</v>
      </c>
      <c r="C49">
        <v>7802348846</v>
      </c>
      <c r="D49">
        <v>997350001</v>
      </c>
      <c r="E49" t="s">
        <v>53</v>
      </c>
      <c r="F49" t="s">
        <v>42</v>
      </c>
      <c r="G49">
        <v>2</v>
      </c>
    </row>
    <row r="50" spans="1:7" x14ac:dyDescent="0.25">
      <c r="A50" s="37" t="s">
        <v>2281</v>
      </c>
      <c r="B50" t="s">
        <v>52</v>
      </c>
      <c r="C50">
        <v>7802348846</v>
      </c>
      <c r="D50">
        <v>997350001</v>
      </c>
      <c r="E50" t="s">
        <v>53</v>
      </c>
      <c r="F50" t="s">
        <v>42</v>
      </c>
      <c r="G50">
        <v>2</v>
      </c>
    </row>
    <row r="51" spans="1:7" x14ac:dyDescent="0.25">
      <c r="A51" s="36" t="s">
        <v>2282</v>
      </c>
      <c r="B51" t="s">
        <v>52</v>
      </c>
      <c r="C51">
        <v>7802348846</v>
      </c>
      <c r="D51">
        <v>997350001</v>
      </c>
      <c r="E51" t="s">
        <v>53</v>
      </c>
      <c r="F51" t="s">
        <v>42</v>
      </c>
      <c r="G51">
        <v>2</v>
      </c>
    </row>
    <row r="52" spans="1:7" x14ac:dyDescent="0.25">
      <c r="A52" s="37" t="s">
        <v>2283</v>
      </c>
      <c r="B52" t="s">
        <v>56</v>
      </c>
      <c r="C52">
        <v>7802348846</v>
      </c>
      <c r="D52">
        <v>997350001</v>
      </c>
      <c r="E52" t="s">
        <v>57</v>
      </c>
      <c r="F52" t="s">
        <v>42</v>
      </c>
      <c r="G52">
        <v>2</v>
      </c>
    </row>
    <row r="53" spans="1:7" x14ac:dyDescent="0.25">
      <c r="A53" s="36" t="s">
        <v>2284</v>
      </c>
      <c r="B53" t="s">
        <v>56</v>
      </c>
      <c r="C53">
        <v>7802348846</v>
      </c>
      <c r="D53">
        <v>997350001</v>
      </c>
      <c r="E53" t="s">
        <v>57</v>
      </c>
      <c r="F53" t="s">
        <v>58</v>
      </c>
      <c r="G53">
        <v>2</v>
      </c>
    </row>
    <row r="54" spans="1:7" x14ac:dyDescent="0.25">
      <c r="A54" s="37" t="s">
        <v>2285</v>
      </c>
      <c r="B54" t="s">
        <v>56</v>
      </c>
      <c r="C54">
        <v>7802348846</v>
      </c>
      <c r="D54">
        <v>997350001</v>
      </c>
      <c r="E54" t="s">
        <v>57</v>
      </c>
      <c r="F54" t="s">
        <v>58</v>
      </c>
      <c r="G54">
        <v>2</v>
      </c>
    </row>
    <row r="55" spans="1:7" x14ac:dyDescent="0.25">
      <c r="A55" s="36" t="s">
        <v>2286</v>
      </c>
      <c r="B55" t="s">
        <v>59</v>
      </c>
      <c r="C55">
        <v>7802348846</v>
      </c>
      <c r="D55">
        <v>997350001</v>
      </c>
      <c r="E55" t="s">
        <v>60</v>
      </c>
      <c r="F55" t="s">
        <v>58</v>
      </c>
      <c r="G55">
        <v>2</v>
      </c>
    </row>
    <row r="56" spans="1:7" x14ac:dyDescent="0.25">
      <c r="A56" s="37" t="s">
        <v>2287</v>
      </c>
      <c r="B56" t="s">
        <v>52</v>
      </c>
      <c r="C56">
        <v>7802348846</v>
      </c>
      <c r="D56">
        <v>997350001</v>
      </c>
      <c r="E56" t="s">
        <v>53</v>
      </c>
      <c r="F56" t="s">
        <v>58</v>
      </c>
      <c r="G56">
        <v>2</v>
      </c>
    </row>
    <row r="57" spans="1:7" x14ac:dyDescent="0.25">
      <c r="A57" s="36" t="s">
        <v>2288</v>
      </c>
      <c r="B57" t="s">
        <v>52</v>
      </c>
      <c r="C57">
        <v>7802348846</v>
      </c>
      <c r="D57">
        <v>997350001</v>
      </c>
      <c r="E57" t="s">
        <v>53</v>
      </c>
      <c r="F57" t="s">
        <v>58</v>
      </c>
      <c r="G57">
        <v>2</v>
      </c>
    </row>
    <row r="58" spans="1:7" x14ac:dyDescent="0.25">
      <c r="A58" s="37" t="s">
        <v>2289</v>
      </c>
      <c r="B58" t="s">
        <v>56</v>
      </c>
      <c r="C58">
        <v>7802348846</v>
      </c>
      <c r="D58">
        <v>997350001</v>
      </c>
      <c r="E58" t="s">
        <v>57</v>
      </c>
      <c r="F58" t="s">
        <v>42</v>
      </c>
      <c r="G58">
        <v>2</v>
      </c>
    </row>
    <row r="59" spans="1:7" x14ac:dyDescent="0.25">
      <c r="A59" s="36" t="s">
        <v>2290</v>
      </c>
      <c r="B59" t="s">
        <v>56</v>
      </c>
      <c r="C59">
        <v>7802348846</v>
      </c>
      <c r="D59">
        <v>997350001</v>
      </c>
      <c r="E59" t="s">
        <v>57</v>
      </c>
      <c r="F59" t="s">
        <v>42</v>
      </c>
      <c r="G59">
        <v>2</v>
      </c>
    </row>
    <row r="60" spans="1:7" x14ac:dyDescent="0.25">
      <c r="A60" s="37" t="s">
        <v>2291</v>
      </c>
      <c r="B60" t="s">
        <v>56</v>
      </c>
      <c r="C60">
        <v>7802348846</v>
      </c>
      <c r="D60">
        <v>997350001</v>
      </c>
      <c r="E60" t="s">
        <v>57</v>
      </c>
      <c r="F60" t="s">
        <v>42</v>
      </c>
      <c r="G60">
        <v>2</v>
      </c>
    </row>
    <row r="61" spans="1:7" x14ac:dyDescent="0.25">
      <c r="A61" s="36" t="s">
        <v>2292</v>
      </c>
      <c r="B61" t="s">
        <v>56</v>
      </c>
      <c r="C61">
        <v>7802348846</v>
      </c>
      <c r="D61">
        <v>997350001</v>
      </c>
      <c r="E61" t="s">
        <v>57</v>
      </c>
      <c r="F61" t="s">
        <v>42</v>
      </c>
      <c r="G61">
        <v>2</v>
      </c>
    </row>
    <row r="62" spans="1:7" x14ac:dyDescent="0.25">
      <c r="A62" s="37" t="s">
        <v>2293</v>
      </c>
      <c r="B62" t="s">
        <v>56</v>
      </c>
      <c r="C62">
        <v>7802348846</v>
      </c>
      <c r="D62">
        <v>997350001</v>
      </c>
      <c r="E62" t="s">
        <v>57</v>
      </c>
      <c r="F62" t="s">
        <v>42</v>
      </c>
      <c r="G62">
        <v>2</v>
      </c>
    </row>
    <row r="63" spans="1:7" x14ac:dyDescent="0.25">
      <c r="A63" s="36" t="s">
        <v>2294</v>
      </c>
      <c r="B63" t="s">
        <v>56</v>
      </c>
      <c r="C63">
        <v>7802348846</v>
      </c>
      <c r="D63">
        <v>997350001</v>
      </c>
      <c r="E63" t="s">
        <v>57</v>
      </c>
      <c r="F63" t="s">
        <v>42</v>
      </c>
      <c r="G63">
        <v>2</v>
      </c>
    </row>
    <row r="64" spans="1:7" x14ac:dyDescent="0.25">
      <c r="A64" s="37" t="s">
        <v>2295</v>
      </c>
      <c r="B64" t="s">
        <v>56</v>
      </c>
      <c r="C64">
        <v>7802348846</v>
      </c>
      <c r="D64">
        <v>997350001</v>
      </c>
      <c r="E64" t="s">
        <v>57</v>
      </c>
      <c r="F64" t="s">
        <v>42</v>
      </c>
      <c r="G64">
        <v>2</v>
      </c>
    </row>
    <row r="65" spans="1:7" x14ac:dyDescent="0.25">
      <c r="A65" s="36" t="s">
        <v>2296</v>
      </c>
      <c r="B65" t="s">
        <v>56</v>
      </c>
      <c r="C65">
        <v>7802348846</v>
      </c>
      <c r="D65">
        <v>997350001</v>
      </c>
      <c r="E65" t="s">
        <v>57</v>
      </c>
      <c r="F65" t="s">
        <v>42</v>
      </c>
      <c r="G65">
        <v>2</v>
      </c>
    </row>
    <row r="66" spans="1:7" x14ac:dyDescent="0.25">
      <c r="A66" s="37" t="s">
        <v>2297</v>
      </c>
      <c r="B66" t="s">
        <v>56</v>
      </c>
      <c r="C66">
        <v>7802348846</v>
      </c>
      <c r="D66">
        <v>997350001</v>
      </c>
      <c r="E66" t="s">
        <v>57</v>
      </c>
      <c r="F66" t="s">
        <v>42</v>
      </c>
      <c r="G66">
        <v>2</v>
      </c>
    </row>
    <row r="67" spans="1:7" x14ac:dyDescent="0.25">
      <c r="A67" s="36" t="s">
        <v>2298</v>
      </c>
      <c r="B67" t="s">
        <v>56</v>
      </c>
      <c r="C67">
        <v>7802348846</v>
      </c>
      <c r="D67">
        <v>997350001</v>
      </c>
      <c r="E67" t="s">
        <v>57</v>
      </c>
      <c r="F67" t="s">
        <v>42</v>
      </c>
      <c r="G67">
        <v>2</v>
      </c>
    </row>
    <row r="68" spans="1:7" x14ac:dyDescent="0.25">
      <c r="A68" s="37" t="s">
        <v>2299</v>
      </c>
      <c r="B68" t="s">
        <v>52</v>
      </c>
      <c r="C68">
        <v>7802348846</v>
      </c>
      <c r="D68">
        <v>997350001</v>
      </c>
      <c r="E68" t="s">
        <v>53</v>
      </c>
      <c r="F68" t="s">
        <v>42</v>
      </c>
      <c r="G68">
        <v>2</v>
      </c>
    </row>
    <row r="69" spans="1:7" x14ac:dyDescent="0.25">
      <c r="A69" s="36" t="s">
        <v>2300</v>
      </c>
      <c r="B69" t="s">
        <v>61</v>
      </c>
      <c r="C69">
        <v>7802348846</v>
      </c>
      <c r="D69">
        <v>997350001</v>
      </c>
      <c r="E69" t="s">
        <v>62</v>
      </c>
      <c r="F69" t="s">
        <v>42</v>
      </c>
      <c r="G69">
        <v>2</v>
      </c>
    </row>
    <row r="70" spans="1:7" x14ac:dyDescent="0.25">
      <c r="A70" s="37" t="s">
        <v>2301</v>
      </c>
      <c r="B70" t="s">
        <v>52</v>
      </c>
      <c r="C70">
        <v>7802348846</v>
      </c>
      <c r="D70">
        <v>997350001</v>
      </c>
      <c r="E70" t="s">
        <v>53</v>
      </c>
      <c r="F70" t="s">
        <v>42</v>
      </c>
      <c r="G70">
        <v>2</v>
      </c>
    </row>
    <row r="71" spans="1:7" x14ac:dyDescent="0.25">
      <c r="A71" s="36" t="s">
        <v>2302</v>
      </c>
      <c r="B71" t="s">
        <v>52</v>
      </c>
      <c r="C71">
        <v>7802348846</v>
      </c>
      <c r="D71">
        <v>997350001</v>
      </c>
      <c r="E71" t="s">
        <v>53</v>
      </c>
      <c r="F71" t="s">
        <v>42</v>
      </c>
      <c r="G71">
        <v>2</v>
      </c>
    </row>
    <row r="72" spans="1:7" x14ac:dyDescent="0.25">
      <c r="A72" s="37" t="s">
        <v>2303</v>
      </c>
      <c r="B72" t="s">
        <v>45</v>
      </c>
      <c r="C72">
        <v>7802348846</v>
      </c>
      <c r="D72">
        <v>997350001</v>
      </c>
      <c r="E72" t="s">
        <v>46</v>
      </c>
      <c r="F72" t="s">
        <v>42</v>
      </c>
      <c r="G72">
        <v>2</v>
      </c>
    </row>
    <row r="73" spans="1:7" x14ac:dyDescent="0.25">
      <c r="A73" s="36" t="s">
        <v>2304</v>
      </c>
      <c r="B73" t="s">
        <v>47</v>
      </c>
      <c r="C73">
        <v>7802348846</v>
      </c>
      <c r="D73">
        <v>997350001</v>
      </c>
      <c r="E73" t="s">
        <v>48</v>
      </c>
      <c r="F73" t="s">
        <v>42</v>
      </c>
      <c r="G73">
        <v>2</v>
      </c>
    </row>
    <row r="74" spans="1:7" x14ac:dyDescent="0.25">
      <c r="A74" s="37" t="s">
        <v>2305</v>
      </c>
      <c r="B74" t="s">
        <v>47</v>
      </c>
      <c r="C74">
        <v>7802348846</v>
      </c>
      <c r="D74">
        <v>997350001</v>
      </c>
      <c r="E74" t="s">
        <v>48</v>
      </c>
      <c r="F74" t="s">
        <v>42</v>
      </c>
      <c r="G74">
        <v>2</v>
      </c>
    </row>
    <row r="75" spans="1:7" ht="45" x14ac:dyDescent="0.25">
      <c r="A75" s="36" t="s">
        <v>2320</v>
      </c>
      <c r="B75" t="s">
        <v>40</v>
      </c>
      <c r="C75">
        <v>7802348846</v>
      </c>
      <c r="D75">
        <v>997350001</v>
      </c>
      <c r="E75" t="s">
        <v>41</v>
      </c>
      <c r="F75" t="s">
        <v>39</v>
      </c>
      <c r="G75">
        <v>2</v>
      </c>
    </row>
    <row r="76" spans="1:7" x14ac:dyDescent="0.25">
      <c r="A76" s="37" t="s">
        <v>2321</v>
      </c>
      <c r="B76" t="s">
        <v>52</v>
      </c>
      <c r="C76">
        <v>7802348846</v>
      </c>
      <c r="D76">
        <v>997350001</v>
      </c>
      <c r="E76" t="s">
        <v>53</v>
      </c>
      <c r="F76" t="s">
        <v>58</v>
      </c>
      <c r="G76">
        <v>2</v>
      </c>
    </row>
    <row r="77" spans="1:7" x14ac:dyDescent="0.25">
      <c r="A77" s="36" t="s">
        <v>2323</v>
      </c>
      <c r="B77" t="s">
        <v>47</v>
      </c>
      <c r="C77">
        <v>7802348846</v>
      </c>
      <c r="D77">
        <v>997350001</v>
      </c>
      <c r="E77" t="s">
        <v>48</v>
      </c>
      <c r="F77" t="s">
        <v>42</v>
      </c>
      <c r="G77">
        <v>2</v>
      </c>
    </row>
    <row r="78" spans="1:7" x14ac:dyDescent="0.25">
      <c r="A78" s="37" t="s">
        <v>2322</v>
      </c>
      <c r="B78" t="s">
        <v>47</v>
      </c>
      <c r="C78">
        <v>7802348846</v>
      </c>
      <c r="D78">
        <v>997350001</v>
      </c>
      <c r="E78" t="s">
        <v>48</v>
      </c>
      <c r="F78" t="s">
        <v>42</v>
      </c>
      <c r="G78">
        <v>2</v>
      </c>
    </row>
    <row r="79" spans="1:7" x14ac:dyDescent="0.25">
      <c r="A79" s="36" t="s">
        <v>2332</v>
      </c>
      <c r="B79" t="s">
        <v>47</v>
      </c>
      <c r="C79">
        <v>7802348846</v>
      </c>
      <c r="D79">
        <v>997350001</v>
      </c>
      <c r="E79" t="s">
        <v>48</v>
      </c>
      <c r="F79" t="s">
        <v>42</v>
      </c>
      <c r="G79">
        <v>2</v>
      </c>
    </row>
    <row r="80" spans="1:7" x14ac:dyDescent="0.25">
      <c r="A80" s="37" t="s">
        <v>2333</v>
      </c>
      <c r="B80" t="s">
        <v>47</v>
      </c>
      <c r="C80">
        <v>7802348846</v>
      </c>
      <c r="D80">
        <v>997350001</v>
      </c>
      <c r="E80" t="s">
        <v>48</v>
      </c>
      <c r="F80" t="s">
        <v>42</v>
      </c>
      <c r="G80">
        <v>2</v>
      </c>
    </row>
    <row r="81" spans="1:7" x14ac:dyDescent="0.25">
      <c r="A81" s="36" t="s">
        <v>2335</v>
      </c>
      <c r="B81" t="s">
        <v>37</v>
      </c>
      <c r="C81">
        <v>7802348846</v>
      </c>
      <c r="D81">
        <v>997350001</v>
      </c>
      <c r="E81" t="s">
        <v>38</v>
      </c>
      <c r="F81" t="s">
        <v>39</v>
      </c>
      <c r="G81">
        <v>2</v>
      </c>
    </row>
    <row r="82" spans="1:7" x14ac:dyDescent="0.25">
      <c r="A82" s="37" t="s">
        <v>2336</v>
      </c>
      <c r="B82" t="s">
        <v>37</v>
      </c>
      <c r="C82">
        <v>7802348846</v>
      </c>
      <c r="D82">
        <v>997350001</v>
      </c>
      <c r="E82" t="s">
        <v>38</v>
      </c>
      <c r="F82" t="s">
        <v>39</v>
      </c>
      <c r="G82">
        <v>2</v>
      </c>
    </row>
    <row r="83" spans="1:7" x14ac:dyDescent="0.25">
      <c r="A83" s="36" t="s">
        <v>2337</v>
      </c>
      <c r="B83" t="s">
        <v>37</v>
      </c>
      <c r="C83">
        <v>7802348846</v>
      </c>
      <c r="D83">
        <v>997350001</v>
      </c>
      <c r="E83" t="s">
        <v>38</v>
      </c>
      <c r="F83" t="s">
        <v>39</v>
      </c>
      <c r="G83">
        <v>2</v>
      </c>
    </row>
    <row r="84" spans="1:7" x14ac:dyDescent="0.25">
      <c r="A84" s="37" t="s">
        <v>2338</v>
      </c>
      <c r="B84" t="s">
        <v>37</v>
      </c>
      <c r="C84">
        <v>7802348846</v>
      </c>
      <c r="D84">
        <v>997350001</v>
      </c>
      <c r="E84" t="s">
        <v>38</v>
      </c>
      <c r="F84" t="s">
        <v>39</v>
      </c>
      <c r="G84">
        <v>2</v>
      </c>
    </row>
    <row r="85" spans="1:7" x14ac:dyDescent="0.25">
      <c r="A85" s="36" t="s">
        <v>2350</v>
      </c>
      <c r="B85" t="s">
        <v>37</v>
      </c>
      <c r="C85">
        <v>7802348846</v>
      </c>
      <c r="D85">
        <v>997350001</v>
      </c>
      <c r="E85" t="s">
        <v>38</v>
      </c>
      <c r="F85" t="s">
        <v>39</v>
      </c>
      <c r="G85">
        <v>2</v>
      </c>
    </row>
    <row r="86" spans="1:7" x14ac:dyDescent="0.25">
      <c r="A86" s="37" t="s">
        <v>2339</v>
      </c>
      <c r="B86" t="s">
        <v>37</v>
      </c>
      <c r="C86">
        <v>7802348846</v>
      </c>
      <c r="D86">
        <v>997350001</v>
      </c>
      <c r="E86" t="s">
        <v>38</v>
      </c>
      <c r="F86" t="s">
        <v>39</v>
      </c>
      <c r="G86">
        <v>2</v>
      </c>
    </row>
    <row r="87" spans="1:7" x14ac:dyDescent="0.25">
      <c r="A87" s="36" t="s">
        <v>2340</v>
      </c>
      <c r="B87" t="s">
        <v>37</v>
      </c>
      <c r="C87">
        <v>7802348846</v>
      </c>
      <c r="D87">
        <v>997350001</v>
      </c>
      <c r="E87" t="s">
        <v>38</v>
      </c>
      <c r="F87" t="s">
        <v>39</v>
      </c>
      <c r="G87">
        <v>2</v>
      </c>
    </row>
    <row r="88" spans="1:7" x14ac:dyDescent="0.25">
      <c r="A88" s="37" t="s">
        <v>2342</v>
      </c>
      <c r="B88" t="s">
        <v>37</v>
      </c>
      <c r="C88">
        <v>7802348846</v>
      </c>
      <c r="D88">
        <v>997350001</v>
      </c>
      <c r="E88" t="s">
        <v>38</v>
      </c>
      <c r="F88" t="s">
        <v>39</v>
      </c>
      <c r="G88">
        <v>2</v>
      </c>
    </row>
    <row r="89" spans="1:7" x14ac:dyDescent="0.25">
      <c r="A89" s="36" t="s">
        <v>2343</v>
      </c>
      <c r="B89" t="s">
        <v>37</v>
      </c>
      <c r="C89">
        <v>7802348846</v>
      </c>
      <c r="D89">
        <v>997350001</v>
      </c>
      <c r="E89" t="s">
        <v>38</v>
      </c>
      <c r="F89" t="s">
        <v>39</v>
      </c>
      <c r="G89">
        <v>2</v>
      </c>
    </row>
    <row r="90" spans="1:7" x14ac:dyDescent="0.25">
      <c r="A90" s="37" t="s">
        <v>2344</v>
      </c>
      <c r="B90" t="s">
        <v>37</v>
      </c>
      <c r="C90">
        <v>7802348846</v>
      </c>
      <c r="D90">
        <v>997350001</v>
      </c>
      <c r="E90" t="s">
        <v>38</v>
      </c>
      <c r="F90" t="s">
        <v>39</v>
      </c>
      <c r="G90">
        <v>2</v>
      </c>
    </row>
    <row r="91" spans="1:7" x14ac:dyDescent="0.25">
      <c r="A91" s="36" t="s">
        <v>2345</v>
      </c>
      <c r="B91" t="s">
        <v>37</v>
      </c>
      <c r="C91">
        <v>7802348846</v>
      </c>
      <c r="D91">
        <v>997350001</v>
      </c>
      <c r="E91" t="s">
        <v>38</v>
      </c>
      <c r="F91" t="s">
        <v>39</v>
      </c>
      <c r="G91">
        <v>2</v>
      </c>
    </row>
    <row r="92" spans="1:7" x14ac:dyDescent="0.25">
      <c r="A92" s="37" t="s">
        <v>2341</v>
      </c>
      <c r="B92" t="s">
        <v>37</v>
      </c>
      <c r="C92">
        <v>7802348846</v>
      </c>
      <c r="D92">
        <v>997350001</v>
      </c>
      <c r="E92" t="s">
        <v>38</v>
      </c>
      <c r="F92" t="s">
        <v>39</v>
      </c>
      <c r="G92">
        <v>2</v>
      </c>
    </row>
    <row r="93" spans="1:7" x14ac:dyDescent="0.25">
      <c r="A93" s="36" t="s">
        <v>2346</v>
      </c>
      <c r="B93" t="s">
        <v>37</v>
      </c>
      <c r="C93">
        <v>7802348846</v>
      </c>
      <c r="D93">
        <v>997350001</v>
      </c>
      <c r="E93" t="s">
        <v>38</v>
      </c>
      <c r="F93" t="s">
        <v>39</v>
      </c>
      <c r="G93">
        <v>2</v>
      </c>
    </row>
    <row r="94" spans="1:7" x14ac:dyDescent="0.25">
      <c r="A94" s="37" t="s">
        <v>2347</v>
      </c>
      <c r="B94" t="s">
        <v>37</v>
      </c>
      <c r="C94">
        <v>7802348846</v>
      </c>
      <c r="D94">
        <v>997350001</v>
      </c>
      <c r="E94" t="s">
        <v>38</v>
      </c>
      <c r="F94" t="s">
        <v>39</v>
      </c>
      <c r="G94">
        <v>2</v>
      </c>
    </row>
    <row r="95" spans="1:7" x14ac:dyDescent="0.25">
      <c r="A95" s="36" t="s">
        <v>2348</v>
      </c>
      <c r="B95" t="s">
        <v>37</v>
      </c>
      <c r="C95">
        <v>7802348846</v>
      </c>
      <c r="D95">
        <v>997350001</v>
      </c>
      <c r="E95" t="s">
        <v>38</v>
      </c>
      <c r="F95" t="s">
        <v>39</v>
      </c>
      <c r="G95">
        <v>2</v>
      </c>
    </row>
    <row r="96" spans="1:7" x14ac:dyDescent="0.25">
      <c r="A96" s="37" t="s">
        <v>2349</v>
      </c>
      <c r="B96" t="s">
        <v>37</v>
      </c>
      <c r="C96">
        <v>7802348846</v>
      </c>
      <c r="D96">
        <v>997350001</v>
      </c>
      <c r="E96" t="s">
        <v>38</v>
      </c>
      <c r="F96" t="s">
        <v>39</v>
      </c>
      <c r="G96">
        <v>2</v>
      </c>
    </row>
    <row r="97" spans="1:7" x14ac:dyDescent="0.25">
      <c r="A97" s="36" t="s">
        <v>2351</v>
      </c>
      <c r="B97" t="s">
        <v>2358</v>
      </c>
      <c r="C97" s="35">
        <v>7802348846</v>
      </c>
      <c r="D97" s="35">
        <v>997350001</v>
      </c>
      <c r="E97" t="s">
        <v>2359</v>
      </c>
      <c r="F97" t="s">
        <v>42</v>
      </c>
      <c r="G97">
        <v>1</v>
      </c>
    </row>
    <row r="98" spans="1:7" x14ac:dyDescent="0.25">
      <c r="A98" s="37" t="s">
        <v>2352</v>
      </c>
      <c r="B98" t="s">
        <v>2358</v>
      </c>
      <c r="C98" s="35">
        <v>7802348846</v>
      </c>
      <c r="D98" s="35">
        <v>997350001</v>
      </c>
      <c r="E98" t="s">
        <v>2359</v>
      </c>
      <c r="F98" t="s">
        <v>42</v>
      </c>
      <c r="G98">
        <v>1</v>
      </c>
    </row>
    <row r="99" spans="1:7" x14ac:dyDescent="0.25">
      <c r="A99" s="36" t="s">
        <v>2353</v>
      </c>
      <c r="B99" t="s">
        <v>2358</v>
      </c>
      <c r="C99" s="35">
        <v>7802348846</v>
      </c>
      <c r="D99" s="35">
        <v>997350001</v>
      </c>
      <c r="E99" t="s">
        <v>2359</v>
      </c>
      <c r="F99" t="s">
        <v>42</v>
      </c>
      <c r="G99">
        <v>1</v>
      </c>
    </row>
    <row r="100" spans="1:7" x14ac:dyDescent="0.25">
      <c r="A100" s="37" t="s">
        <v>2354</v>
      </c>
      <c r="B100" t="s">
        <v>2358</v>
      </c>
      <c r="C100" s="35">
        <v>7802348846</v>
      </c>
      <c r="D100" s="35">
        <v>997350001</v>
      </c>
      <c r="E100" t="s">
        <v>2359</v>
      </c>
      <c r="F100" t="s">
        <v>42</v>
      </c>
      <c r="G100">
        <v>1</v>
      </c>
    </row>
    <row r="101" spans="1:7" x14ac:dyDescent="0.25">
      <c r="A101" s="36" t="s">
        <v>2355</v>
      </c>
      <c r="B101" t="s">
        <v>2358</v>
      </c>
      <c r="C101" s="35">
        <v>7802348846</v>
      </c>
      <c r="D101" s="35">
        <v>997350001</v>
      </c>
      <c r="E101" t="s">
        <v>2359</v>
      </c>
      <c r="F101" t="s">
        <v>42</v>
      </c>
      <c r="G101">
        <v>1</v>
      </c>
    </row>
    <row r="102" spans="1:7" x14ac:dyDescent="0.25">
      <c r="A102" s="37" t="s">
        <v>2356</v>
      </c>
      <c r="B102" t="s">
        <v>2358</v>
      </c>
      <c r="C102" s="35">
        <v>7802348846</v>
      </c>
      <c r="D102" s="35">
        <v>997350001</v>
      </c>
      <c r="E102" t="s">
        <v>2359</v>
      </c>
      <c r="F102" t="s">
        <v>42</v>
      </c>
      <c r="G102">
        <v>1</v>
      </c>
    </row>
    <row r="103" spans="1:7" x14ac:dyDescent="0.25">
      <c r="A103" s="36" t="s">
        <v>2357</v>
      </c>
      <c r="B103" t="s">
        <v>2358</v>
      </c>
      <c r="C103" s="35">
        <v>7802348846</v>
      </c>
      <c r="D103" s="35">
        <v>997350001</v>
      </c>
      <c r="E103" t="s">
        <v>2359</v>
      </c>
      <c r="F103" t="s">
        <v>42</v>
      </c>
      <c r="G103">
        <v>1</v>
      </c>
    </row>
    <row r="104" spans="1:7" x14ac:dyDescent="0.25">
      <c r="A104" s="37" t="s">
        <v>2360</v>
      </c>
      <c r="B104" t="s">
        <v>40</v>
      </c>
      <c r="C104">
        <v>7802348846</v>
      </c>
      <c r="D104">
        <v>997350001</v>
      </c>
      <c r="E104" t="s">
        <v>41</v>
      </c>
      <c r="F104" t="s">
        <v>42</v>
      </c>
      <c r="G104">
        <v>1</v>
      </c>
    </row>
    <row r="105" spans="1:7" ht="60" x14ac:dyDescent="0.25">
      <c r="A105" s="36" t="s">
        <v>2361</v>
      </c>
      <c r="B105" t="s">
        <v>40</v>
      </c>
      <c r="C105">
        <v>7802348846</v>
      </c>
      <c r="D105">
        <v>997350001</v>
      </c>
      <c r="E105" t="s">
        <v>41</v>
      </c>
      <c r="F105" t="s">
        <v>42</v>
      </c>
      <c r="G105">
        <v>1</v>
      </c>
    </row>
    <row r="106" spans="1:7" ht="60" x14ac:dyDescent="0.25">
      <c r="A106" s="37" t="s">
        <v>2362</v>
      </c>
      <c r="B106" t="s">
        <v>40</v>
      </c>
      <c r="C106">
        <v>7802348846</v>
      </c>
      <c r="D106">
        <v>997350001</v>
      </c>
      <c r="E106" t="s">
        <v>41</v>
      </c>
      <c r="F106" t="s">
        <v>42</v>
      </c>
      <c r="G106">
        <v>1</v>
      </c>
    </row>
    <row r="107" spans="1:7" ht="60" x14ac:dyDescent="0.25">
      <c r="A107" s="36" t="s">
        <v>2363</v>
      </c>
      <c r="B107" t="s">
        <v>40</v>
      </c>
      <c r="C107">
        <v>7802348846</v>
      </c>
      <c r="D107">
        <v>997350001</v>
      </c>
      <c r="E107" t="s">
        <v>41</v>
      </c>
      <c r="F107" t="s">
        <v>42</v>
      </c>
      <c r="G107">
        <v>1</v>
      </c>
    </row>
    <row r="108" spans="1:7" x14ac:dyDescent="0.25">
      <c r="A108" s="37" t="s">
        <v>2364</v>
      </c>
      <c r="B108" t="s">
        <v>40</v>
      </c>
      <c r="C108">
        <v>7802348846</v>
      </c>
      <c r="D108">
        <v>997350001</v>
      </c>
      <c r="E108" t="s">
        <v>41</v>
      </c>
      <c r="F108" t="s">
        <v>42</v>
      </c>
      <c r="G108">
        <v>1</v>
      </c>
    </row>
    <row r="109" spans="1:7" x14ac:dyDescent="0.25">
      <c r="A109" s="36" t="s">
        <v>2365</v>
      </c>
      <c r="B109" t="s">
        <v>40</v>
      </c>
      <c r="C109">
        <v>7802348846</v>
      </c>
      <c r="D109">
        <v>997350001</v>
      </c>
      <c r="E109" t="s">
        <v>41</v>
      </c>
      <c r="F109" t="s">
        <v>42</v>
      </c>
      <c r="G109">
        <v>1</v>
      </c>
    </row>
    <row r="110" spans="1:7" x14ac:dyDescent="0.25">
      <c r="A110" s="37" t="s">
        <v>2366</v>
      </c>
      <c r="B110" t="s">
        <v>40</v>
      </c>
      <c r="C110">
        <v>7802348846</v>
      </c>
      <c r="D110">
        <v>997350001</v>
      </c>
      <c r="E110" t="s">
        <v>41</v>
      </c>
      <c r="F110" t="s">
        <v>42</v>
      </c>
      <c r="G110">
        <v>1</v>
      </c>
    </row>
    <row r="111" spans="1:7" ht="13.5" customHeight="1" x14ac:dyDescent="0.25">
      <c r="A111" s="36" t="s">
        <v>2367</v>
      </c>
      <c r="B111" t="s">
        <v>40</v>
      </c>
      <c r="C111">
        <v>7802348846</v>
      </c>
      <c r="D111">
        <v>997350001</v>
      </c>
      <c r="E111" t="s">
        <v>41</v>
      </c>
      <c r="F111" t="s">
        <v>42</v>
      </c>
      <c r="G111">
        <v>1</v>
      </c>
    </row>
    <row r="112" spans="1:7" x14ac:dyDescent="0.25">
      <c r="A112" s="37" t="s">
        <v>2368</v>
      </c>
      <c r="B112" t="s">
        <v>40</v>
      </c>
      <c r="C112">
        <v>7802348846</v>
      </c>
      <c r="D112">
        <v>997350001</v>
      </c>
      <c r="E112" t="s">
        <v>41</v>
      </c>
      <c r="F112" t="s">
        <v>42</v>
      </c>
      <c r="G112">
        <v>1</v>
      </c>
    </row>
    <row r="113" spans="1:7" x14ac:dyDescent="0.25">
      <c r="A113" s="36" t="s">
        <v>2369</v>
      </c>
      <c r="B113" t="s">
        <v>40</v>
      </c>
      <c r="C113">
        <v>7802348846</v>
      </c>
      <c r="D113">
        <v>997350001</v>
      </c>
      <c r="E113" t="s">
        <v>41</v>
      </c>
      <c r="F113" t="s">
        <v>42</v>
      </c>
      <c r="G113">
        <v>1</v>
      </c>
    </row>
    <row r="114" spans="1:7" ht="30" x14ac:dyDescent="0.25">
      <c r="A114" s="37" t="s">
        <v>2370</v>
      </c>
      <c r="B114" t="s">
        <v>40</v>
      </c>
      <c r="C114">
        <v>7802348846</v>
      </c>
      <c r="D114">
        <v>997350001</v>
      </c>
      <c r="E114" t="s">
        <v>41</v>
      </c>
      <c r="F114" t="s">
        <v>42</v>
      </c>
      <c r="G114">
        <v>1</v>
      </c>
    </row>
    <row r="115" spans="1:7" x14ac:dyDescent="0.25">
      <c r="A115" s="36" t="s">
        <v>2371</v>
      </c>
      <c r="B115" t="s">
        <v>40</v>
      </c>
      <c r="C115">
        <v>7802348846</v>
      </c>
      <c r="D115">
        <v>997350001</v>
      </c>
      <c r="E115" t="s">
        <v>41</v>
      </c>
      <c r="F115" t="s">
        <v>42</v>
      </c>
      <c r="G115">
        <v>1</v>
      </c>
    </row>
    <row r="116" spans="1:7" ht="30" x14ac:dyDescent="0.25">
      <c r="A116" s="37" t="s">
        <v>2372</v>
      </c>
      <c r="B116" t="s">
        <v>40</v>
      </c>
      <c r="C116">
        <v>7802348846</v>
      </c>
      <c r="D116">
        <v>997350001</v>
      </c>
      <c r="E116" t="s">
        <v>41</v>
      </c>
      <c r="F116" t="s">
        <v>42</v>
      </c>
      <c r="G116">
        <v>1</v>
      </c>
    </row>
    <row r="117" spans="1:7" ht="30" x14ac:dyDescent="0.25">
      <c r="A117" s="36" t="s">
        <v>2373</v>
      </c>
      <c r="B117" t="s">
        <v>40</v>
      </c>
      <c r="C117">
        <v>7802348846</v>
      </c>
      <c r="D117">
        <v>997350001</v>
      </c>
      <c r="E117" t="s">
        <v>41</v>
      </c>
      <c r="F117" t="s">
        <v>42</v>
      </c>
      <c r="G117">
        <v>1</v>
      </c>
    </row>
    <row r="118" spans="1:7" ht="30" x14ac:dyDescent="0.25">
      <c r="A118" s="37" t="s">
        <v>2374</v>
      </c>
      <c r="B118" t="s">
        <v>40</v>
      </c>
      <c r="C118">
        <v>7802348846</v>
      </c>
      <c r="D118">
        <v>997350001</v>
      </c>
      <c r="E118" t="s">
        <v>41</v>
      </c>
      <c r="F118" t="s">
        <v>42</v>
      </c>
      <c r="G118">
        <v>1</v>
      </c>
    </row>
    <row r="119" spans="1:7" x14ac:dyDescent="0.25">
      <c r="A119" s="36" t="s">
        <v>2375</v>
      </c>
      <c r="B119" t="s">
        <v>40</v>
      </c>
      <c r="C119">
        <v>7802348846</v>
      </c>
      <c r="D119">
        <v>997350001</v>
      </c>
      <c r="E119" t="s">
        <v>41</v>
      </c>
      <c r="F119" t="s">
        <v>42</v>
      </c>
      <c r="G119">
        <v>1</v>
      </c>
    </row>
    <row r="120" spans="1:7" x14ac:dyDescent="0.25">
      <c r="A120" s="37" t="s">
        <v>2376</v>
      </c>
      <c r="B120" t="s">
        <v>40</v>
      </c>
      <c r="C120">
        <v>7802348846</v>
      </c>
      <c r="D120">
        <v>997350001</v>
      </c>
      <c r="E120" t="s">
        <v>41</v>
      </c>
      <c r="F120" t="s">
        <v>42</v>
      </c>
      <c r="G120">
        <v>1</v>
      </c>
    </row>
    <row r="121" spans="1:7" x14ac:dyDescent="0.25">
      <c r="A121" s="36" t="s">
        <v>2377</v>
      </c>
      <c r="B121" t="s">
        <v>43</v>
      </c>
      <c r="C121">
        <v>7802348846</v>
      </c>
      <c r="D121">
        <v>997350001</v>
      </c>
      <c r="E121" t="s">
        <v>44</v>
      </c>
      <c r="F121" t="s">
        <v>42</v>
      </c>
      <c r="G121">
        <v>2</v>
      </c>
    </row>
    <row r="122" spans="1:7" x14ac:dyDescent="0.25">
      <c r="A122" s="37" t="s">
        <v>2378</v>
      </c>
      <c r="B122" t="s">
        <v>43</v>
      </c>
      <c r="C122">
        <v>7802348846</v>
      </c>
      <c r="D122">
        <v>997350001</v>
      </c>
      <c r="E122" t="s">
        <v>44</v>
      </c>
      <c r="F122" t="s">
        <v>42</v>
      </c>
      <c r="G122">
        <v>2</v>
      </c>
    </row>
    <row r="123" spans="1:7" x14ac:dyDescent="0.25">
      <c r="A123" s="36" t="s">
        <v>2379</v>
      </c>
      <c r="B123" t="s">
        <v>43</v>
      </c>
      <c r="C123">
        <v>7802348846</v>
      </c>
      <c r="D123">
        <v>997350001</v>
      </c>
      <c r="E123" t="s">
        <v>44</v>
      </c>
      <c r="F123" t="s">
        <v>42</v>
      </c>
      <c r="G123">
        <v>2</v>
      </c>
    </row>
    <row r="124" spans="1:7" x14ac:dyDescent="0.25">
      <c r="A124" s="37" t="s">
        <v>2380</v>
      </c>
      <c r="B124" t="s">
        <v>43</v>
      </c>
      <c r="C124">
        <v>7802348846</v>
      </c>
      <c r="D124">
        <v>997350001</v>
      </c>
      <c r="E124" t="s">
        <v>44</v>
      </c>
      <c r="F124" t="s">
        <v>42</v>
      </c>
      <c r="G124">
        <v>2</v>
      </c>
    </row>
    <row r="125" spans="1:7" x14ac:dyDescent="0.25">
      <c r="A125" s="36" t="s">
        <v>2381</v>
      </c>
      <c r="B125" t="s">
        <v>43</v>
      </c>
      <c r="C125">
        <v>7802348846</v>
      </c>
      <c r="D125">
        <v>997350001</v>
      </c>
      <c r="E125" t="s">
        <v>44</v>
      </c>
      <c r="F125" t="s">
        <v>42</v>
      </c>
      <c r="G125">
        <v>2</v>
      </c>
    </row>
    <row r="126" spans="1:7" x14ac:dyDescent="0.25">
      <c r="A126" s="37" t="s">
        <v>2387</v>
      </c>
      <c r="B126" t="s">
        <v>49</v>
      </c>
      <c r="C126">
        <v>7802348846</v>
      </c>
      <c r="D126">
        <v>997350001</v>
      </c>
      <c r="E126" t="s">
        <v>50</v>
      </c>
      <c r="F126" t="s">
        <v>51</v>
      </c>
      <c r="G126">
        <v>2</v>
      </c>
    </row>
    <row r="127" spans="1:7" x14ac:dyDescent="0.25">
      <c r="A127" s="36" t="s">
        <v>2386</v>
      </c>
      <c r="B127" t="s">
        <v>49</v>
      </c>
      <c r="C127">
        <v>7802348846</v>
      </c>
      <c r="D127">
        <v>997350001</v>
      </c>
      <c r="E127" t="s">
        <v>50</v>
      </c>
      <c r="F127" t="s">
        <v>51</v>
      </c>
      <c r="G127">
        <v>2</v>
      </c>
    </row>
    <row r="128" spans="1:7" x14ac:dyDescent="0.25">
      <c r="A128" s="37" t="s">
        <v>2385</v>
      </c>
      <c r="B128" t="s">
        <v>49</v>
      </c>
      <c r="C128">
        <v>7802348846</v>
      </c>
      <c r="D128">
        <v>997350001</v>
      </c>
      <c r="E128" t="s">
        <v>50</v>
      </c>
      <c r="F128" t="s">
        <v>51</v>
      </c>
      <c r="G128">
        <v>2</v>
      </c>
    </row>
    <row r="129" spans="1:7" x14ac:dyDescent="0.25">
      <c r="A129" s="36" t="s">
        <v>2384</v>
      </c>
      <c r="B129" t="s">
        <v>49</v>
      </c>
      <c r="C129">
        <v>7802348846</v>
      </c>
      <c r="D129">
        <v>997350001</v>
      </c>
      <c r="E129" t="s">
        <v>50</v>
      </c>
      <c r="F129" t="s">
        <v>51</v>
      </c>
      <c r="G129">
        <v>2</v>
      </c>
    </row>
    <row r="130" spans="1:7" x14ac:dyDescent="0.25">
      <c r="A130" s="37" t="s">
        <v>2383</v>
      </c>
      <c r="B130" t="s">
        <v>49</v>
      </c>
      <c r="C130">
        <v>7802348846</v>
      </c>
      <c r="D130">
        <v>997350001</v>
      </c>
      <c r="E130" t="s">
        <v>50</v>
      </c>
      <c r="F130" t="s">
        <v>51</v>
      </c>
      <c r="G130">
        <v>2</v>
      </c>
    </row>
    <row r="131" spans="1:7" x14ac:dyDescent="0.25">
      <c r="A131" s="36" t="s">
        <v>2382</v>
      </c>
      <c r="B131" t="s">
        <v>49</v>
      </c>
      <c r="C131">
        <v>7802348846</v>
      </c>
      <c r="D131">
        <v>997350001</v>
      </c>
      <c r="E131" t="s">
        <v>50</v>
      </c>
      <c r="F131" t="s">
        <v>51</v>
      </c>
      <c r="G131">
        <v>2</v>
      </c>
    </row>
    <row r="132" spans="1:7" x14ac:dyDescent="0.25">
      <c r="A132" s="37" t="s">
        <v>2388</v>
      </c>
      <c r="B132" t="s">
        <v>47</v>
      </c>
      <c r="C132">
        <v>7802348846</v>
      </c>
      <c r="D132">
        <v>997350001</v>
      </c>
      <c r="E132" t="s">
        <v>48</v>
      </c>
      <c r="F132" t="s">
        <v>42</v>
      </c>
      <c r="G132">
        <v>2</v>
      </c>
    </row>
    <row r="133" spans="1:7" x14ac:dyDescent="0.25">
      <c r="A133" s="36" t="s">
        <v>2390</v>
      </c>
      <c r="B133" t="s">
        <v>47</v>
      </c>
      <c r="C133">
        <v>7802348846</v>
      </c>
      <c r="D133">
        <v>997350001</v>
      </c>
      <c r="E133" t="s">
        <v>48</v>
      </c>
      <c r="F133" t="s">
        <v>42</v>
      </c>
      <c r="G133">
        <v>2</v>
      </c>
    </row>
    <row r="134" spans="1:7" x14ac:dyDescent="0.25">
      <c r="A134" s="37" t="s">
        <v>2407</v>
      </c>
      <c r="B134" t="s">
        <v>47</v>
      </c>
      <c r="C134">
        <v>7802348846</v>
      </c>
      <c r="D134">
        <v>997350001</v>
      </c>
      <c r="E134" t="s">
        <v>48</v>
      </c>
      <c r="F134" t="s">
        <v>42</v>
      </c>
      <c r="G134">
        <v>2</v>
      </c>
    </row>
    <row r="135" spans="1:7" x14ac:dyDescent="0.25">
      <c r="A135" s="36" t="s">
        <v>2391</v>
      </c>
      <c r="B135" t="s">
        <v>47</v>
      </c>
      <c r="C135">
        <v>7802348846</v>
      </c>
      <c r="D135">
        <v>997350001</v>
      </c>
      <c r="E135" t="s">
        <v>48</v>
      </c>
      <c r="F135" t="s">
        <v>42</v>
      </c>
      <c r="G135">
        <v>2</v>
      </c>
    </row>
    <row r="136" spans="1:7" x14ac:dyDescent="0.25">
      <c r="A136" s="37" t="s">
        <v>2392</v>
      </c>
      <c r="B136" t="s">
        <v>47</v>
      </c>
      <c r="C136">
        <v>7802348846</v>
      </c>
      <c r="D136">
        <v>997350001</v>
      </c>
      <c r="E136" t="s">
        <v>48</v>
      </c>
      <c r="F136" t="s">
        <v>42</v>
      </c>
      <c r="G136">
        <v>2</v>
      </c>
    </row>
    <row r="137" spans="1:7" x14ac:dyDescent="0.25">
      <c r="A137" s="36" t="s">
        <v>2393</v>
      </c>
      <c r="B137" t="s">
        <v>47</v>
      </c>
      <c r="C137">
        <v>7802348846</v>
      </c>
      <c r="D137">
        <v>997350001</v>
      </c>
      <c r="E137" t="s">
        <v>48</v>
      </c>
      <c r="F137" t="s">
        <v>42</v>
      </c>
      <c r="G137">
        <v>2</v>
      </c>
    </row>
    <row r="138" spans="1:7" x14ac:dyDescent="0.25">
      <c r="A138" s="37" t="s">
        <v>2394</v>
      </c>
      <c r="B138" t="s">
        <v>47</v>
      </c>
      <c r="C138">
        <v>7802348846</v>
      </c>
      <c r="D138">
        <v>997350001</v>
      </c>
      <c r="E138" t="s">
        <v>48</v>
      </c>
      <c r="F138" t="s">
        <v>42</v>
      </c>
      <c r="G138">
        <v>2</v>
      </c>
    </row>
    <row r="139" spans="1:7" x14ac:dyDescent="0.25">
      <c r="A139" s="36" t="s">
        <v>2395</v>
      </c>
      <c r="B139" t="s">
        <v>47</v>
      </c>
      <c r="C139">
        <v>7802348846</v>
      </c>
      <c r="D139">
        <v>997350001</v>
      </c>
      <c r="E139" t="s">
        <v>48</v>
      </c>
      <c r="F139" t="s">
        <v>42</v>
      </c>
      <c r="G139">
        <v>2</v>
      </c>
    </row>
    <row r="140" spans="1:7" x14ac:dyDescent="0.25">
      <c r="A140" s="37" t="s">
        <v>2403</v>
      </c>
      <c r="B140" t="s">
        <v>47</v>
      </c>
      <c r="C140">
        <v>7802348846</v>
      </c>
      <c r="D140">
        <v>997350001</v>
      </c>
      <c r="E140" t="s">
        <v>48</v>
      </c>
      <c r="F140" t="s">
        <v>42</v>
      </c>
      <c r="G140">
        <v>2</v>
      </c>
    </row>
    <row r="141" spans="1:7" x14ac:dyDescent="0.25">
      <c r="A141" s="36" t="s">
        <v>2404</v>
      </c>
      <c r="B141" t="s">
        <v>47</v>
      </c>
      <c r="C141">
        <v>7802348846</v>
      </c>
      <c r="D141">
        <v>997350001</v>
      </c>
      <c r="E141" t="s">
        <v>48</v>
      </c>
      <c r="F141" t="s">
        <v>42</v>
      </c>
      <c r="G141">
        <v>2</v>
      </c>
    </row>
    <row r="142" spans="1:7" x14ac:dyDescent="0.25">
      <c r="A142" s="37" t="s">
        <v>2405</v>
      </c>
      <c r="B142" t="s">
        <v>47</v>
      </c>
      <c r="C142">
        <v>7802348846</v>
      </c>
      <c r="D142">
        <v>997350001</v>
      </c>
      <c r="E142" t="s">
        <v>48</v>
      </c>
      <c r="F142" t="s">
        <v>42</v>
      </c>
      <c r="G142">
        <v>2</v>
      </c>
    </row>
    <row r="143" spans="1:7" x14ac:dyDescent="0.25">
      <c r="A143" s="36" t="s">
        <v>2396</v>
      </c>
      <c r="B143" t="s">
        <v>47</v>
      </c>
      <c r="C143">
        <v>7802348846</v>
      </c>
      <c r="D143">
        <v>997350001</v>
      </c>
      <c r="E143" t="s">
        <v>48</v>
      </c>
      <c r="F143" t="s">
        <v>42</v>
      </c>
      <c r="G143">
        <v>2</v>
      </c>
    </row>
    <row r="144" spans="1:7" x14ac:dyDescent="0.25">
      <c r="A144" s="37" t="s">
        <v>2406</v>
      </c>
      <c r="B144" t="s">
        <v>47</v>
      </c>
      <c r="C144">
        <v>7802348846</v>
      </c>
      <c r="D144">
        <v>997350001</v>
      </c>
      <c r="E144" t="s">
        <v>48</v>
      </c>
      <c r="F144" t="s">
        <v>42</v>
      </c>
      <c r="G144">
        <v>2</v>
      </c>
    </row>
    <row r="145" spans="1:7" x14ac:dyDescent="0.25">
      <c r="A145" s="36" t="s">
        <v>2397</v>
      </c>
      <c r="B145" t="s">
        <v>47</v>
      </c>
      <c r="C145">
        <v>7802348846</v>
      </c>
      <c r="D145">
        <v>997350001</v>
      </c>
      <c r="E145" t="s">
        <v>48</v>
      </c>
      <c r="F145" t="s">
        <v>42</v>
      </c>
      <c r="G145">
        <v>2</v>
      </c>
    </row>
    <row r="146" spans="1:7" x14ac:dyDescent="0.25">
      <c r="A146" s="37" t="s">
        <v>2398</v>
      </c>
      <c r="B146" t="s">
        <v>47</v>
      </c>
      <c r="C146">
        <v>7802348846</v>
      </c>
      <c r="D146">
        <v>997350001</v>
      </c>
      <c r="E146" t="s">
        <v>48</v>
      </c>
      <c r="F146" t="s">
        <v>42</v>
      </c>
      <c r="G146">
        <v>2</v>
      </c>
    </row>
    <row r="147" spans="1:7" x14ac:dyDescent="0.25">
      <c r="A147" s="36" t="s">
        <v>2399</v>
      </c>
      <c r="B147" t="s">
        <v>47</v>
      </c>
      <c r="C147">
        <v>7802348846</v>
      </c>
      <c r="D147">
        <v>997350001</v>
      </c>
      <c r="E147" t="s">
        <v>48</v>
      </c>
      <c r="F147" t="s">
        <v>42</v>
      </c>
      <c r="G147">
        <v>2</v>
      </c>
    </row>
    <row r="148" spans="1:7" x14ac:dyDescent="0.25">
      <c r="A148" s="37" t="s">
        <v>2389</v>
      </c>
      <c r="B148" t="s">
        <v>47</v>
      </c>
      <c r="C148">
        <v>7802348846</v>
      </c>
      <c r="D148">
        <v>997350001</v>
      </c>
      <c r="E148" t="s">
        <v>48</v>
      </c>
      <c r="F148" t="s">
        <v>42</v>
      </c>
      <c r="G148">
        <v>2</v>
      </c>
    </row>
    <row r="149" spans="1:7" x14ac:dyDescent="0.25">
      <c r="A149" s="36" t="s">
        <v>2400</v>
      </c>
      <c r="B149" t="s">
        <v>47</v>
      </c>
      <c r="C149">
        <v>7802348846</v>
      </c>
      <c r="D149">
        <v>997350001</v>
      </c>
      <c r="E149" t="s">
        <v>48</v>
      </c>
      <c r="F149" t="s">
        <v>42</v>
      </c>
      <c r="G149">
        <v>2</v>
      </c>
    </row>
    <row r="150" spans="1:7" x14ac:dyDescent="0.25">
      <c r="A150" s="37" t="s">
        <v>2401</v>
      </c>
      <c r="B150" t="s">
        <v>47</v>
      </c>
      <c r="C150">
        <v>7802348846</v>
      </c>
      <c r="D150">
        <v>997350001</v>
      </c>
      <c r="E150" t="s">
        <v>48</v>
      </c>
      <c r="F150" t="s">
        <v>42</v>
      </c>
      <c r="G150">
        <v>2</v>
      </c>
    </row>
    <row r="151" spans="1:7" x14ac:dyDescent="0.25">
      <c r="A151" s="36" t="s">
        <v>2402</v>
      </c>
      <c r="B151" t="s">
        <v>47</v>
      </c>
      <c r="C151">
        <v>7802348846</v>
      </c>
      <c r="D151">
        <v>997350001</v>
      </c>
      <c r="E151" t="s">
        <v>48</v>
      </c>
      <c r="F151" t="s">
        <v>42</v>
      </c>
      <c r="G151">
        <v>2</v>
      </c>
    </row>
    <row r="152" spans="1:7" x14ac:dyDescent="0.25">
      <c r="A152" s="37" t="s">
        <v>2408</v>
      </c>
      <c r="B152" t="s">
        <v>52</v>
      </c>
      <c r="C152">
        <v>7802348846</v>
      </c>
      <c r="D152">
        <v>997350001</v>
      </c>
      <c r="E152" t="s">
        <v>53</v>
      </c>
      <c r="F152" t="s">
        <v>42</v>
      </c>
      <c r="G152">
        <v>2</v>
      </c>
    </row>
    <row r="153" spans="1:7" x14ac:dyDescent="0.25">
      <c r="A153" s="36" t="s">
        <v>2409</v>
      </c>
      <c r="B153" t="s">
        <v>52</v>
      </c>
      <c r="C153">
        <v>7802348846</v>
      </c>
      <c r="D153">
        <v>997350001</v>
      </c>
      <c r="E153" t="s">
        <v>53</v>
      </c>
      <c r="F153" t="s">
        <v>42</v>
      </c>
      <c r="G153">
        <v>2</v>
      </c>
    </row>
    <row r="154" spans="1:7" x14ac:dyDescent="0.25">
      <c r="A154" s="37" t="s">
        <v>2410</v>
      </c>
      <c r="B154" t="s">
        <v>52</v>
      </c>
      <c r="C154">
        <v>7802348846</v>
      </c>
      <c r="D154">
        <v>997350001</v>
      </c>
      <c r="E154" t="s">
        <v>53</v>
      </c>
      <c r="F154" t="s">
        <v>42</v>
      </c>
      <c r="G154">
        <v>2</v>
      </c>
    </row>
    <row r="155" spans="1:7" x14ac:dyDescent="0.25">
      <c r="A155" s="36" t="s">
        <v>2411</v>
      </c>
      <c r="B155" t="s">
        <v>52</v>
      </c>
      <c r="C155">
        <v>7802348846</v>
      </c>
      <c r="D155">
        <v>997350001</v>
      </c>
      <c r="E155" t="s">
        <v>53</v>
      </c>
      <c r="F155" t="s">
        <v>42</v>
      </c>
      <c r="G155">
        <v>2</v>
      </c>
    </row>
    <row r="156" spans="1:7" x14ac:dyDescent="0.25">
      <c r="A156" s="37" t="s">
        <v>2412</v>
      </c>
      <c r="B156" t="s">
        <v>52</v>
      </c>
      <c r="C156">
        <v>7802348846</v>
      </c>
      <c r="D156">
        <v>997350001</v>
      </c>
      <c r="E156" t="s">
        <v>53</v>
      </c>
      <c r="F156" t="s">
        <v>42</v>
      </c>
      <c r="G156">
        <v>2</v>
      </c>
    </row>
    <row r="157" spans="1:7" x14ac:dyDescent="0.25">
      <c r="A157" s="36" t="s">
        <v>2413</v>
      </c>
      <c r="B157" t="s">
        <v>52</v>
      </c>
      <c r="C157">
        <v>7802348846</v>
      </c>
      <c r="D157">
        <v>997350001</v>
      </c>
      <c r="E157" t="s">
        <v>53</v>
      </c>
      <c r="F157" t="s">
        <v>42</v>
      </c>
      <c r="G157">
        <v>2</v>
      </c>
    </row>
    <row r="158" spans="1:7" x14ac:dyDescent="0.25">
      <c r="A158" s="37" t="s">
        <v>2414</v>
      </c>
      <c r="B158" t="s">
        <v>2415</v>
      </c>
      <c r="C158">
        <v>7723889433</v>
      </c>
      <c r="D158">
        <v>772401001</v>
      </c>
      <c r="E158" t="s">
        <v>2416</v>
      </c>
      <c r="F158" t="s">
        <v>2417</v>
      </c>
      <c r="G158">
        <v>2</v>
      </c>
    </row>
    <row r="159" spans="1:7" x14ac:dyDescent="0.25">
      <c r="A159" s="36" t="s">
        <v>2421</v>
      </c>
      <c r="B159" t="s">
        <v>2418</v>
      </c>
      <c r="C159">
        <v>5838002196</v>
      </c>
      <c r="D159">
        <v>583801001</v>
      </c>
      <c r="E159" t="s">
        <v>2420</v>
      </c>
      <c r="F159" t="s">
        <v>2419</v>
      </c>
      <c r="G159">
        <v>2</v>
      </c>
    </row>
    <row r="160" spans="1:7" x14ac:dyDescent="0.25">
      <c r="A160" s="31"/>
    </row>
    <row r="161" spans="1:1" x14ac:dyDescent="0.25">
      <c r="A161" s="32"/>
    </row>
    <row r="162" spans="1:1" x14ac:dyDescent="0.25">
      <c r="A162" s="31"/>
    </row>
    <row r="163" spans="1:1" x14ac:dyDescent="0.25">
      <c r="A163" s="32"/>
    </row>
    <row r="164" spans="1:1" x14ac:dyDescent="0.25">
      <c r="A164" s="31"/>
    </row>
    <row r="165" spans="1:1" x14ac:dyDescent="0.25">
      <c r="A165" s="32"/>
    </row>
    <row r="166" spans="1:1" x14ac:dyDescent="0.25">
      <c r="A166" s="31"/>
    </row>
    <row r="167" spans="1:1" x14ac:dyDescent="0.25">
      <c r="A167" s="32"/>
    </row>
    <row r="168" spans="1:1" x14ac:dyDescent="0.25">
      <c r="A168" s="31"/>
    </row>
    <row r="169" spans="1:1" x14ac:dyDescent="0.25">
      <c r="A169" s="32"/>
    </row>
    <row r="170" spans="1:1" x14ac:dyDescent="0.25">
      <c r="A170" s="31"/>
    </row>
    <row r="171" spans="1:1" x14ac:dyDescent="0.25">
      <c r="A171" s="32"/>
    </row>
    <row r="172" spans="1:1" x14ac:dyDescent="0.25">
      <c r="A172" s="31"/>
    </row>
    <row r="173" spans="1:1" x14ac:dyDescent="0.25">
      <c r="A173" s="32"/>
    </row>
    <row r="174" spans="1:1" x14ac:dyDescent="0.25">
      <c r="A174" s="31"/>
    </row>
    <row r="175" spans="1:1" x14ac:dyDescent="0.25">
      <c r="A175" s="32"/>
    </row>
    <row r="176" spans="1:1" x14ac:dyDescent="0.25">
      <c r="A176" s="31"/>
    </row>
    <row r="177" spans="1:1" x14ac:dyDescent="0.25">
      <c r="A177" s="32"/>
    </row>
    <row r="178" spans="1:1" x14ac:dyDescent="0.25">
      <c r="A178" s="31"/>
    </row>
    <row r="179" spans="1:1" x14ac:dyDescent="0.25">
      <c r="A179" s="32"/>
    </row>
    <row r="180" spans="1:1" x14ac:dyDescent="0.25">
      <c r="A180" s="31"/>
    </row>
    <row r="181" spans="1:1" x14ac:dyDescent="0.25">
      <c r="A181" s="32"/>
    </row>
    <row r="182" spans="1:1" x14ac:dyDescent="0.25">
      <c r="A182" s="31"/>
    </row>
    <row r="183" spans="1:1" x14ac:dyDescent="0.25">
      <c r="A183" s="32"/>
    </row>
    <row r="184" spans="1:1" x14ac:dyDescent="0.25">
      <c r="A184" s="31"/>
    </row>
    <row r="185" spans="1:1" x14ac:dyDescent="0.25">
      <c r="A185" s="32"/>
    </row>
    <row r="186" spans="1:1" x14ac:dyDescent="0.25">
      <c r="A186" s="31"/>
    </row>
    <row r="187" spans="1:1" x14ac:dyDescent="0.25">
      <c r="A187" s="32"/>
    </row>
    <row r="188" spans="1:1" x14ac:dyDescent="0.25">
      <c r="A188" s="31"/>
    </row>
    <row r="189" spans="1:1" x14ac:dyDescent="0.25">
      <c r="A189" s="32"/>
    </row>
    <row r="190" spans="1:1" x14ac:dyDescent="0.25">
      <c r="A190" s="31"/>
    </row>
    <row r="191" spans="1:1" x14ac:dyDescent="0.25">
      <c r="A191" s="32"/>
    </row>
    <row r="192" spans="1:1" x14ac:dyDescent="0.25">
      <c r="A192" s="31"/>
    </row>
    <row r="193" spans="1:1" x14ac:dyDescent="0.25">
      <c r="A193" s="32"/>
    </row>
    <row r="194" spans="1:1" x14ac:dyDescent="0.25">
      <c r="A194" s="31"/>
    </row>
    <row r="195" spans="1:1" x14ac:dyDescent="0.25">
      <c r="A195" s="32"/>
    </row>
    <row r="196" spans="1:1" x14ac:dyDescent="0.25">
      <c r="A196" s="31"/>
    </row>
    <row r="197" spans="1:1" x14ac:dyDescent="0.25">
      <c r="A197" s="32"/>
    </row>
    <row r="198" spans="1:1" x14ac:dyDescent="0.25">
      <c r="A198" s="31"/>
    </row>
    <row r="199" spans="1:1" x14ac:dyDescent="0.25">
      <c r="A199" s="32"/>
    </row>
    <row r="200" spans="1:1" x14ac:dyDescent="0.25">
      <c r="A200" s="31"/>
    </row>
    <row r="201" spans="1:1" x14ac:dyDescent="0.25">
      <c r="A201" s="32"/>
    </row>
    <row r="202" spans="1:1" x14ac:dyDescent="0.25">
      <c r="A202" s="31"/>
    </row>
    <row r="203" spans="1:1" x14ac:dyDescent="0.25">
      <c r="A203" s="32"/>
    </row>
    <row r="204" spans="1:1" x14ac:dyDescent="0.25">
      <c r="A204" s="31"/>
    </row>
    <row r="205" spans="1:1" x14ac:dyDescent="0.25">
      <c r="A205" s="32"/>
    </row>
    <row r="206" spans="1:1" x14ac:dyDescent="0.25">
      <c r="A206" s="31"/>
    </row>
    <row r="207" spans="1:1" x14ac:dyDescent="0.25">
      <c r="A207" s="32"/>
    </row>
    <row r="208" spans="1:1" x14ac:dyDescent="0.25">
      <c r="A208" s="31"/>
    </row>
    <row r="209" spans="1:1" x14ac:dyDescent="0.25">
      <c r="A209" s="32"/>
    </row>
    <row r="210" spans="1:1" x14ac:dyDescent="0.25">
      <c r="A210" s="31"/>
    </row>
    <row r="211" spans="1:1" x14ac:dyDescent="0.25">
      <c r="A211" s="32"/>
    </row>
    <row r="212" spans="1:1" x14ac:dyDescent="0.25">
      <c r="A212" s="31"/>
    </row>
    <row r="213" spans="1:1" x14ac:dyDescent="0.25">
      <c r="A213" s="32"/>
    </row>
    <row r="214" spans="1:1" x14ac:dyDescent="0.25">
      <c r="A214" s="31"/>
    </row>
    <row r="215" spans="1:1" x14ac:dyDescent="0.25">
      <c r="A215" s="32"/>
    </row>
    <row r="216" spans="1:1" x14ac:dyDescent="0.25">
      <c r="A216" s="31"/>
    </row>
    <row r="217" spans="1:1" x14ac:dyDescent="0.25">
      <c r="A217" s="32"/>
    </row>
    <row r="218" spans="1:1" x14ac:dyDescent="0.25">
      <c r="A218" s="31"/>
    </row>
    <row r="219" spans="1:1" x14ac:dyDescent="0.25">
      <c r="A219" s="32"/>
    </row>
    <row r="220" spans="1:1" x14ac:dyDescent="0.25">
      <c r="A220" s="31"/>
    </row>
    <row r="221" spans="1:1" x14ac:dyDescent="0.25">
      <c r="A221" s="32"/>
    </row>
    <row r="222" spans="1:1" x14ac:dyDescent="0.25">
      <c r="A222" s="31"/>
    </row>
    <row r="223" spans="1:1" x14ac:dyDescent="0.25">
      <c r="A223" s="32"/>
    </row>
    <row r="224" spans="1:1" x14ac:dyDescent="0.25">
      <c r="A224" s="31"/>
    </row>
    <row r="225" spans="1:1" x14ac:dyDescent="0.25">
      <c r="A225" s="32"/>
    </row>
    <row r="226" spans="1:1" x14ac:dyDescent="0.25">
      <c r="A226" s="31"/>
    </row>
    <row r="227" spans="1:1" x14ac:dyDescent="0.25">
      <c r="A227" s="32"/>
    </row>
    <row r="228" spans="1:1" x14ac:dyDescent="0.25">
      <c r="A228" s="31"/>
    </row>
    <row r="229" spans="1:1" x14ac:dyDescent="0.25">
      <c r="A229" s="32"/>
    </row>
    <row r="230" spans="1:1" x14ac:dyDescent="0.25">
      <c r="A230" s="31"/>
    </row>
    <row r="231" spans="1:1" x14ac:dyDescent="0.25">
      <c r="A231" s="32"/>
    </row>
    <row r="232" spans="1:1" x14ac:dyDescent="0.25">
      <c r="A232" s="31"/>
    </row>
    <row r="233" spans="1:1" x14ac:dyDescent="0.25">
      <c r="A233" s="32"/>
    </row>
    <row r="234" spans="1:1" x14ac:dyDescent="0.25">
      <c r="A234" s="31"/>
    </row>
    <row r="235" spans="1:1" x14ac:dyDescent="0.25">
      <c r="A235" s="32"/>
    </row>
    <row r="236" spans="1:1" x14ac:dyDescent="0.25">
      <c r="A236" s="31"/>
    </row>
    <row r="237" spans="1:1" x14ac:dyDescent="0.25">
      <c r="A237" s="32"/>
    </row>
    <row r="238" spans="1:1" x14ac:dyDescent="0.25">
      <c r="A238" s="31"/>
    </row>
    <row r="239" spans="1:1" x14ac:dyDescent="0.25">
      <c r="A239" s="32"/>
    </row>
    <row r="240" spans="1:1" x14ac:dyDescent="0.25">
      <c r="A240" s="31"/>
    </row>
    <row r="241" spans="1:1" x14ac:dyDescent="0.25">
      <c r="A241" s="32"/>
    </row>
    <row r="242" spans="1:1" x14ac:dyDescent="0.25">
      <c r="A242" s="31"/>
    </row>
    <row r="243" spans="1:1" x14ac:dyDescent="0.25">
      <c r="A243" s="32"/>
    </row>
    <row r="244" spans="1:1" x14ac:dyDescent="0.25">
      <c r="A244" s="31"/>
    </row>
    <row r="245" spans="1:1" x14ac:dyDescent="0.25">
      <c r="A245" s="32"/>
    </row>
    <row r="246" spans="1:1" x14ac:dyDescent="0.25">
      <c r="A246" s="31"/>
    </row>
    <row r="247" spans="1:1" x14ac:dyDescent="0.25">
      <c r="A247" s="32"/>
    </row>
    <row r="248" spans="1:1" x14ac:dyDescent="0.25">
      <c r="A248" s="31"/>
    </row>
    <row r="249" spans="1:1" x14ac:dyDescent="0.25">
      <c r="A249" s="32"/>
    </row>
    <row r="250" spans="1:1" x14ac:dyDescent="0.25">
      <c r="A250" s="31"/>
    </row>
    <row r="251" spans="1:1" x14ac:dyDescent="0.25">
      <c r="A251" s="32"/>
    </row>
    <row r="252" spans="1:1" x14ac:dyDescent="0.25">
      <c r="A252" s="31"/>
    </row>
    <row r="253" spans="1:1" x14ac:dyDescent="0.25">
      <c r="A253" s="32"/>
    </row>
    <row r="254" spans="1:1" x14ac:dyDescent="0.25">
      <c r="A254" s="31"/>
    </row>
    <row r="255" spans="1:1" x14ac:dyDescent="0.25">
      <c r="A255" s="32"/>
    </row>
    <row r="256" spans="1:1" x14ac:dyDescent="0.25">
      <c r="A256" s="31"/>
    </row>
    <row r="257" spans="1:1" x14ac:dyDescent="0.25">
      <c r="A257" s="32"/>
    </row>
    <row r="258" spans="1:1" x14ac:dyDescent="0.25">
      <c r="A258" s="31"/>
    </row>
    <row r="259" spans="1:1" x14ac:dyDescent="0.25">
      <c r="A259" s="32"/>
    </row>
    <row r="260" spans="1:1" x14ac:dyDescent="0.25">
      <c r="A260" s="31"/>
    </row>
    <row r="261" spans="1:1" x14ac:dyDescent="0.25">
      <c r="A261" s="32"/>
    </row>
    <row r="262" spans="1:1" x14ac:dyDescent="0.25">
      <c r="A262" s="31"/>
    </row>
    <row r="263" spans="1:1" x14ac:dyDescent="0.25">
      <c r="A263" s="32"/>
    </row>
    <row r="264" spans="1:1" x14ac:dyDescent="0.25">
      <c r="A264" s="31"/>
    </row>
    <row r="265" spans="1:1" x14ac:dyDescent="0.25">
      <c r="A265" s="32"/>
    </row>
    <row r="266" spans="1:1" x14ac:dyDescent="0.25">
      <c r="A266" s="31"/>
    </row>
    <row r="267" spans="1:1" x14ac:dyDescent="0.25">
      <c r="A267" s="32"/>
    </row>
    <row r="268" spans="1:1" x14ac:dyDescent="0.25">
      <c r="A268" s="31"/>
    </row>
    <row r="269" spans="1:1" x14ac:dyDescent="0.25">
      <c r="A269" s="32"/>
    </row>
    <row r="270" spans="1:1" x14ac:dyDescent="0.25">
      <c r="A270" s="31"/>
    </row>
    <row r="271" spans="1:1" x14ac:dyDescent="0.25">
      <c r="A271" s="32"/>
    </row>
    <row r="272" spans="1:1" x14ac:dyDescent="0.25">
      <c r="A272" s="31"/>
    </row>
    <row r="273" spans="1:1" x14ac:dyDescent="0.25">
      <c r="A273" s="32"/>
    </row>
    <row r="274" spans="1:1" x14ac:dyDescent="0.25">
      <c r="A274" s="31"/>
    </row>
    <row r="275" spans="1:1" x14ac:dyDescent="0.25">
      <c r="A275" s="32"/>
    </row>
    <row r="276" spans="1:1" x14ac:dyDescent="0.25">
      <c r="A276" s="31"/>
    </row>
    <row r="277" spans="1:1" x14ac:dyDescent="0.25">
      <c r="A277" s="32"/>
    </row>
    <row r="278" spans="1:1" x14ac:dyDescent="0.25">
      <c r="A278" s="31"/>
    </row>
    <row r="279" spans="1:1" x14ac:dyDescent="0.25">
      <c r="A279" s="32"/>
    </row>
    <row r="280" spans="1:1" x14ac:dyDescent="0.25">
      <c r="A280" s="31"/>
    </row>
    <row r="281" spans="1:1" x14ac:dyDescent="0.25">
      <c r="A281" s="32"/>
    </row>
    <row r="282" spans="1:1" x14ac:dyDescent="0.25">
      <c r="A282" s="31"/>
    </row>
    <row r="283" spans="1:1" x14ac:dyDescent="0.25">
      <c r="A283" s="32"/>
    </row>
    <row r="284" spans="1:1" x14ac:dyDescent="0.25">
      <c r="A284" s="31"/>
    </row>
    <row r="285" spans="1:1" x14ac:dyDescent="0.25">
      <c r="A285" s="32"/>
    </row>
    <row r="286" spans="1:1" x14ac:dyDescent="0.25">
      <c r="A286" s="31"/>
    </row>
    <row r="287" spans="1:1" x14ac:dyDescent="0.25">
      <c r="A287" s="32"/>
    </row>
    <row r="288" spans="1:1" x14ac:dyDescent="0.25">
      <c r="A288" s="31"/>
    </row>
    <row r="289" spans="1:1" x14ac:dyDescent="0.25">
      <c r="A289" s="32"/>
    </row>
    <row r="290" spans="1:1" x14ac:dyDescent="0.25">
      <c r="A290" s="31"/>
    </row>
    <row r="291" spans="1:1" x14ac:dyDescent="0.25">
      <c r="A291" s="32"/>
    </row>
    <row r="292" spans="1:1" x14ac:dyDescent="0.25">
      <c r="A292" s="31"/>
    </row>
    <row r="293" spans="1:1" x14ac:dyDescent="0.25">
      <c r="A293" s="32"/>
    </row>
    <row r="294" spans="1:1" x14ac:dyDescent="0.25">
      <c r="A294" s="31"/>
    </row>
    <row r="295" spans="1:1" x14ac:dyDescent="0.25">
      <c r="A295" s="32"/>
    </row>
    <row r="296" spans="1:1" x14ac:dyDescent="0.25">
      <c r="A296" s="31"/>
    </row>
    <row r="297" spans="1:1" x14ac:dyDescent="0.25">
      <c r="A297" s="32"/>
    </row>
    <row r="298" spans="1:1" x14ac:dyDescent="0.25">
      <c r="A298" s="31"/>
    </row>
    <row r="299" spans="1:1" x14ac:dyDescent="0.25">
      <c r="A299" s="32"/>
    </row>
    <row r="300" spans="1:1" x14ac:dyDescent="0.25">
      <c r="A300" s="31"/>
    </row>
    <row r="301" spans="1:1" x14ac:dyDescent="0.25">
      <c r="A301" s="32"/>
    </row>
    <row r="302" spans="1:1" x14ac:dyDescent="0.25">
      <c r="A302" s="31"/>
    </row>
    <row r="303" spans="1:1" x14ac:dyDescent="0.25">
      <c r="A303" s="32"/>
    </row>
    <row r="304" spans="1:1" x14ac:dyDescent="0.25">
      <c r="A304" s="31"/>
    </row>
    <row r="305" spans="1:1" x14ac:dyDescent="0.25">
      <c r="A305" s="32"/>
    </row>
    <row r="306" spans="1:1" x14ac:dyDescent="0.25">
      <c r="A306" s="31"/>
    </row>
    <row r="307" spans="1:1" x14ac:dyDescent="0.25">
      <c r="A307" s="32"/>
    </row>
    <row r="308" spans="1:1" x14ac:dyDescent="0.25">
      <c r="A308" s="31"/>
    </row>
    <row r="309" spans="1:1" x14ac:dyDescent="0.25">
      <c r="A309" s="32"/>
    </row>
    <row r="310" spans="1:1" x14ac:dyDescent="0.25">
      <c r="A310" s="31"/>
    </row>
    <row r="311" spans="1:1" x14ac:dyDescent="0.25">
      <c r="A311" s="32"/>
    </row>
    <row r="312" spans="1:1" x14ac:dyDescent="0.25">
      <c r="A312" s="31"/>
    </row>
    <row r="313" spans="1:1" x14ac:dyDescent="0.25">
      <c r="A313" s="32"/>
    </row>
    <row r="314" spans="1:1" x14ac:dyDescent="0.25">
      <c r="A314" s="31"/>
    </row>
    <row r="315" spans="1:1" x14ac:dyDescent="0.25">
      <c r="A315" s="32"/>
    </row>
    <row r="316" spans="1:1" x14ac:dyDescent="0.25">
      <c r="A316" s="31"/>
    </row>
    <row r="317" spans="1:1" x14ac:dyDescent="0.25">
      <c r="A317" s="32"/>
    </row>
    <row r="318" spans="1:1" x14ac:dyDescent="0.25">
      <c r="A318" s="31"/>
    </row>
    <row r="319" spans="1:1" x14ac:dyDescent="0.25">
      <c r="A319" s="32"/>
    </row>
    <row r="320" spans="1:1" x14ac:dyDescent="0.25">
      <c r="A320" s="31"/>
    </row>
    <row r="321" spans="1:1" x14ac:dyDescent="0.25">
      <c r="A321" s="32"/>
    </row>
    <row r="322" spans="1:1" x14ac:dyDescent="0.25">
      <c r="A322" s="31"/>
    </row>
    <row r="323" spans="1:1" x14ac:dyDescent="0.25">
      <c r="A323" s="32"/>
    </row>
    <row r="324" spans="1:1" x14ac:dyDescent="0.25">
      <c r="A324" s="31"/>
    </row>
    <row r="325" spans="1:1" x14ac:dyDescent="0.25">
      <c r="A325" s="32"/>
    </row>
    <row r="326" spans="1:1" x14ac:dyDescent="0.25">
      <c r="A326" s="31"/>
    </row>
    <row r="327" spans="1:1" x14ac:dyDescent="0.25">
      <c r="A327" s="32"/>
    </row>
    <row r="328" spans="1:1" x14ac:dyDescent="0.25">
      <c r="A328" s="31"/>
    </row>
    <row r="329" spans="1:1" x14ac:dyDescent="0.25">
      <c r="A329" s="32"/>
    </row>
    <row r="330" spans="1:1" x14ac:dyDescent="0.25">
      <c r="A330" s="31"/>
    </row>
    <row r="331" spans="1:1" x14ac:dyDescent="0.25">
      <c r="A331" s="32"/>
    </row>
    <row r="332" spans="1:1" x14ac:dyDescent="0.25">
      <c r="A332" s="31"/>
    </row>
    <row r="333" spans="1:1" x14ac:dyDescent="0.25">
      <c r="A333" s="32"/>
    </row>
    <row r="334" spans="1:1" x14ac:dyDescent="0.25">
      <c r="A334" s="31"/>
    </row>
    <row r="335" spans="1:1" x14ac:dyDescent="0.25">
      <c r="A335" s="32"/>
    </row>
    <row r="336" spans="1:1" x14ac:dyDescent="0.25">
      <c r="A336" s="31"/>
    </row>
    <row r="337" spans="1:1" x14ac:dyDescent="0.25">
      <c r="A337" s="32"/>
    </row>
    <row r="338" spans="1:1" x14ac:dyDescent="0.25">
      <c r="A338" s="31"/>
    </row>
    <row r="339" spans="1:1" x14ac:dyDescent="0.25">
      <c r="A339" s="32"/>
    </row>
    <row r="340" spans="1:1" x14ac:dyDescent="0.25">
      <c r="A340" s="31"/>
    </row>
    <row r="341" spans="1:1" x14ac:dyDescent="0.25">
      <c r="A341" s="32"/>
    </row>
    <row r="342" spans="1:1" x14ac:dyDescent="0.25">
      <c r="A342" s="31"/>
    </row>
    <row r="343" spans="1:1" x14ac:dyDescent="0.25">
      <c r="A343" s="32"/>
    </row>
    <row r="1048534" spans="3:15" x14ac:dyDescent="0.25">
      <c r="C1048534" s="26"/>
      <c r="O1048534" t="b">
        <v>1</v>
      </c>
    </row>
  </sheetData>
  <conditionalFormatting sqref="A2:A3">
    <cfRule type="duplicateValues" dxfId="8" priority="21"/>
  </conditionalFormatting>
  <conditionalFormatting sqref="A2:A3">
    <cfRule type="duplicateValues" dxfId="7" priority="9"/>
  </conditionalFormatting>
  <conditionalFormatting sqref="A3">
    <cfRule type="duplicateValues" dxfId="6" priority="6"/>
  </conditionalFormatting>
  <conditionalFormatting sqref="A4:A343">
    <cfRule type="duplicateValues" dxfId="5" priority="5"/>
  </conditionalFormatting>
  <conditionalFormatting sqref="A4:A343">
    <cfRule type="duplicateValues" dxfId="4" priority="4"/>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cfRule type="duplicateValues" dxfId="3" priority="3"/>
  </conditionalFormatting>
  <conditionalFormatting sqref="A2:A1861">
    <cfRule type="duplicateValues" dxfId="2" priority="2"/>
  </conditionalFormatting>
  <conditionalFormatting sqref="A1:A1048576">
    <cfRule type="duplicateValues" dxfId="1" priority="1"/>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sqref="A1:A1048576"/>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2334</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2024-03-21T13:54:06Z</dcterms:modified>
</cp:coreProperties>
</file>