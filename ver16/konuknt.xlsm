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ver16\"/>
    </mc:Choice>
  </mc:AlternateContent>
  <bookViews>
    <workbookView xWindow="0" yWindow="0" windowWidth="19200" windowHeight="6930" firstSheet="1" activeTab="1"/>
  </bookViews>
  <sheets>
    <sheet name="Шапка" sheetId="1" state="hidden" r:id="rId1"/>
    <sheet name="Анализ" sheetId="63" r:id="rId2"/>
    <sheet name="Запас" sheetId="45" r:id="rId3"/>
    <sheet name="Countries" sheetId="57" state="hidden" r:id="rId4"/>
    <sheet name="Заметки" sheetId="31" state="hidden" r:id="rId5"/>
    <sheet name="Companies" sheetId="48" state="hidden" r:id="rId6"/>
    <sheet name="Классификатор" sheetId="29" state="hidden" r:id="rId7"/>
    <sheet name="ComboboxProducts" sheetId="3" state="hidden" r:id="rId8"/>
    <sheet name="ComboboxMeasure" sheetId="4" state="hidden" r:id="rId9"/>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52" i="45" l="1"/>
  <c r="B251" i="45"/>
  <c r="W250" i="45"/>
  <c r="G252" i="45" s="1"/>
  <c r="H252" i="45" s="1"/>
  <c r="L252" i="45" s="1"/>
  <c r="V250" i="45"/>
  <c r="G251" i="45" s="1"/>
  <c r="H251" i="45" s="1"/>
  <c r="L251" i="45" s="1"/>
  <c r="H250" i="45"/>
  <c r="L250" i="45" s="1"/>
  <c r="B250" i="45"/>
  <c r="B249" i="45"/>
  <c r="B248" i="45"/>
  <c r="W247" i="45"/>
  <c r="G249" i="45" s="1"/>
  <c r="H249" i="45" s="1"/>
  <c r="L249" i="45" s="1"/>
  <c r="V247" i="45"/>
  <c r="G248" i="45" s="1"/>
  <c r="H248" i="45" s="1"/>
  <c r="L248" i="45" s="1"/>
  <c r="L247" i="45"/>
  <c r="H247" i="45"/>
  <c r="B247" i="45"/>
  <c r="B246" i="45"/>
  <c r="B245" i="45"/>
  <c r="W244" i="45"/>
  <c r="G246" i="45" s="1"/>
  <c r="H246" i="45" s="1"/>
  <c r="L246" i="45" s="1"/>
  <c r="V244" i="45"/>
  <c r="G245" i="45" s="1"/>
  <c r="H245" i="45" s="1"/>
  <c r="L245" i="45" s="1"/>
  <c r="H244" i="45"/>
  <c r="L244" i="45" s="1"/>
  <c r="B244" i="45"/>
  <c r="B243" i="45"/>
  <c r="B242" i="45"/>
  <c r="W241" i="45"/>
  <c r="G243" i="45" s="1"/>
  <c r="H243" i="45" s="1"/>
  <c r="L243" i="45" s="1"/>
  <c r="V241" i="45"/>
  <c r="G242" i="45" s="1"/>
  <c r="H242" i="45" s="1"/>
  <c r="L242" i="45" s="1"/>
  <c r="H241" i="45"/>
  <c r="L241" i="45" s="1"/>
  <c r="B241" i="45"/>
</calcChain>
</file>

<file path=xl/sharedStrings.xml><?xml version="1.0" encoding="utf-8"?>
<sst xmlns="http://schemas.openxmlformats.org/spreadsheetml/2006/main" count="6264" uniqueCount="4059">
  <si>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</si>
  <si>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</si>
  <si>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</si>
  <si>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</si>
  <si>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</si>
  <si>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</si>
  <si>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</si>
  <si>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</si>
  <si>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</si>
  <si>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</si>
  <si>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</si>
  <si>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</si>
  <si>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</si>
  <si>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</si>
  <si>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</si>
  <si>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</si>
  <si>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</si>
  <si>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</si>
  <si>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</si>
  <si>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</si>
  <si>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</si>
  <si>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</si>
  <si>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</si>
  <si>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</si>
  <si>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</si>
  <si>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</si>
  <si>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</si>
  <si>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</si>
  <si>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</si>
  <si>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</si>
  <si>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</si>
  <si>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</si>
  <si>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</si>
  <si>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</si>
  <si>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</si>
  <si>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</si>
  <si>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</si>
  <si>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</si>
  <si>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</si>
  <si>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</si>
  <si>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</si>
  <si>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</si>
  <si>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</si>
  <si>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</si>
  <si>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</si>
  <si>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</si>
  <si>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</si>
  <si>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</si>
  <si>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</si>
  <si>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</si>
  <si>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</si>
  <si>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</si>
  <si>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</si>
  <si>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</si>
  <si>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</si>
  <si>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</si>
  <si>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</si>
  <si>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</si>
  <si>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</si>
  <si>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</si>
  <si>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</si>
  <si>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</si>
  <si>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</si>
  <si>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</si>
  <si>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</si>
  <si>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</si>
  <si>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</si>
  <si>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</si>
  <si>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</si>
  <si>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</si>
  <si>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</si>
  <si>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</si>
  <si>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</si>
  <si>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</si>
  <si>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</si>
  <si>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</si>
  <si>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</si>
  <si>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</si>
  <si>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</si>
  <si>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</si>
  <si>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</si>
  <si>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</si>
  <si>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</si>
  <si>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</si>
  <si>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</si>
  <si>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</si>
  <si>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</si>
  <si>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</si>
  <si>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</si>
  <si>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</si>
  <si>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</si>
  <si>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</si>
  <si>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</si>
  <si>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</si>
  <si>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</si>
  <si>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</si>
  <si>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</si>
  <si>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</si>
  <si>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</si>
  <si>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</si>
  <si>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</si>
  <si>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</si>
  <si>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</si>
  <si>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</si>
  <si>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</si>
  <si>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</si>
  <si>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</si>
  <si>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</si>
  <si>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</si>
  <si>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</si>
  <si>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</si>
  <si>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</si>
  <si>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</si>
  <si>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</si>
  <si>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</si>
  <si>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</si>
  <si>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</si>
  <si>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</si>
  <si>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</si>
  <si>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</si>
  <si>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</si>
  <si>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</si>
  <si>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</si>
  <si>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</si>
  <si>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</si>
  <si>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</si>
  <si>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</si>
  <si>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</si>
  <si>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</si>
  <si>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</si>
  <si>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</si>
  <si>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</si>
  <si>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</si>
  <si>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</si>
  <si>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</si>
  <si>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</si>
  <si>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</si>
  <si>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</si>
  <si>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</si>
  <si>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</si>
  <si>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</si>
  <si>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</si>
  <si>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</si>
  <si>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</si>
  <si>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</si>
  <si>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</si>
  <si>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</si>
  <si>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</si>
  <si>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</si>
  <si>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</si>
  <si>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</si>
  <si>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</si>
  <si>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</si>
  <si>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</si>
  <si>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</si>
  <si>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</si>
  <si>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</si>
  <si>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</si>
  <si>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</si>
  <si>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</si>
  <si>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</si>
  <si>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</si>
  <si>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</si>
  <si>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</si>
  <si>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</si>
  <si>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</si>
  <si>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</si>
  <si>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</si>
  <si>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</si>
  <si>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</si>
  <si>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</si>
  <si>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</si>
  <si>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</si>
  <si>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</si>
  <si>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</si>
  <si>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</si>
  <si>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</si>
  <si>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</si>
  <si>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</si>
  <si>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</si>
  <si>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</si>
  <si>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</si>
  <si>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</si>
  <si>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</si>
  <si>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</si>
  <si>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</si>
  <si>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</si>
  <si>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</si>
  <si>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</si>
  <si>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</si>
  <si>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</si>
  <si>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</si>
  <si>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</si>
  <si>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</si>
  <si>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</si>
  <si>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</si>
  <si>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</si>
  <si>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</si>
  <si>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</si>
  <si>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</si>
  <si>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</si>
  <si>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</si>
  <si>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</si>
  <si>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</si>
  <si>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</si>
  <si>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</si>
  <si>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</si>
  <si>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</si>
  <si>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</si>
  <si>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</si>
  <si>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</si>
  <si>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</si>
  <si>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</si>
  <si>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</si>
  <si>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</si>
  <si>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</si>
  <si>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</si>
  <si>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</si>
  <si>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</si>
  <si>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</si>
  <si>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</si>
  <si>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</si>
  <si>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</si>
  <si>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</si>
  <si>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</si>
  <si>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</si>
  <si>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</si>
  <si>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</si>
  <si>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</si>
  <si>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</si>
  <si>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</si>
  <si>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</si>
  <si>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</si>
  <si>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</si>
  <si>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</si>
  <si>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</si>
  <si>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</si>
  <si>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</si>
  <si>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</si>
  <si>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</si>
  <si>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</si>
  <si>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</si>
  <si>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</si>
  <si>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</si>
  <si>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</si>
  <si>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</si>
  <si>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</si>
  <si>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</si>
  <si>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</si>
  <si>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</si>
  <si>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</si>
  <si>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</si>
  <si>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</si>
  <si>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</si>
  <si>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</si>
  <si>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</si>
  <si>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</si>
  <si>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</si>
  <si>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</si>
  <si>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</si>
  <si>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</si>
  <si>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</si>
  <si>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</si>
  <si>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</si>
  <si>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</si>
  <si>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</si>
  <si>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</si>
  <si>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</si>
  <si>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</si>
  <si>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</si>
  <si>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</si>
  <si>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</si>
  <si>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</si>
  <si>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</si>
  <si>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</si>
  <si>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</si>
  <si>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</si>
  <si>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</si>
  <si>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</si>
  <si>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</si>
  <si>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</si>
  <si>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</si>
  <si>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</si>
  <si>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</si>
  <si>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</si>
  <si>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</si>
  <si>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</si>
  <si>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</si>
  <si>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</si>
  <si>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</si>
  <si>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</si>
  <si>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</si>
  <si>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</si>
  <si>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</si>
  <si>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</si>
  <si>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</si>
  <si>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</si>
  <si>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</si>
  <si>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</si>
  <si>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</si>
  <si>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</si>
  <si>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</si>
  <si>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</si>
  <si>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</si>
  <si>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</si>
  <si>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</si>
  <si>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</si>
  <si>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</si>
  <si>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</si>
  <si>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</si>
  <si>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</si>
  <si>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</si>
  <si>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</si>
  <si>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</si>
  <si>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</si>
  <si>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</si>
  <si>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</si>
  <si>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</si>
  <si>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</si>
  <si>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</si>
  <si>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</si>
  <si>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</si>
  <si>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</si>
  <si>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</si>
  <si>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</si>
  <si>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</si>
  <si>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</si>
  <si>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</si>
  <si>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</si>
  <si>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</si>
  <si>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</si>
  <si>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</si>
  <si>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</si>
  <si>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</si>
  <si>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</si>
  <si>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</si>
  <si>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</si>
  <si>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</si>
  <si>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</si>
  <si>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</si>
  <si>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</si>
  <si>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</si>
  <si>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</si>
  <si>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</si>
  <si>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</si>
  <si>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</si>
  <si>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</si>
  <si>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</si>
  <si>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</si>
  <si>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</si>
  <si>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</si>
  <si>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</si>
  <si>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</si>
  <si>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</si>
  <si>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</si>
  <si>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</si>
  <si>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</si>
  <si>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</si>
  <si>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</si>
  <si>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</si>
  <si>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</si>
  <si>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</si>
  <si>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</si>
  <si>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</si>
  <si>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</si>
  <si>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</si>
  <si>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</si>
  <si>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</si>
  <si>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</si>
  <si>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</si>
  <si>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</si>
  <si>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</si>
  <si>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</si>
  <si>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</si>
  <si>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</si>
  <si>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</si>
  <si>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</si>
  <si>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</si>
  <si>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</si>
  <si>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</si>
  <si>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</si>
  <si>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</si>
  <si>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</si>
  <si>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</si>
  <si>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</si>
  <si>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</si>
  <si>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</si>
  <si>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</si>
  <si>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</si>
  <si>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</si>
  <si>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</si>
  <si>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</si>
  <si>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</si>
  <si>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</si>
  <si>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</si>
  <si>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</si>
  <si>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</si>
  <si>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</si>
  <si>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</si>
  <si>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</si>
  <si>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</si>
  <si>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</si>
  <si>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</si>
  <si>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</si>
  <si>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</si>
  <si>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</si>
  <si>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</si>
  <si>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</si>
  <si>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</si>
  <si>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</si>
  <si>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</si>
  <si>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</si>
  <si>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</si>
  <si>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</si>
  <si>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</si>
  <si>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</si>
  <si>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</si>
  <si>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</si>
  <si>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</si>
  <si>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</si>
  <si>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</si>
  <si>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</si>
  <si>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</si>
  <si>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</si>
  <si>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</si>
  <si>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</si>
  <si>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</si>
  <si>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</si>
  <si>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</si>
  <si>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</si>
  <si>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</si>
  <si>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</si>
  <si>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</si>
  <si>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</si>
  <si>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</si>
  <si>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</si>
  <si>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</si>
  <si>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</si>
  <si>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</si>
  <si>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</si>
  <si>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</si>
  <si>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</si>
  <si>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</si>
  <si>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</si>
  <si>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</si>
  <si>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</si>
  <si>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</si>
  <si>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</si>
  <si>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</si>
  <si>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</si>
  <si>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</si>
  <si>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</si>
  <si>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</si>
  <si>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</si>
  <si>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</si>
  <si>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</si>
  <si>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</si>
  <si>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</si>
  <si>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</si>
  <si>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</si>
  <si>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</si>
  <si>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</si>
  <si>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</si>
  <si>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</si>
  <si>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</si>
  <si>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</si>
  <si>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</si>
  <si>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</si>
  <si>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</si>
  <si>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</si>
  <si>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</si>
  <si>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</si>
  <si>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</si>
  <si>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</si>
  <si>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</si>
  <si>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</si>
  <si>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</si>
  <si>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</si>
  <si>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</si>
  <si>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</si>
  <si>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</si>
  <si>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</si>
  <si>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</si>
  <si>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</si>
  <si>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</si>
  <si>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</si>
  <si>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</si>
  <si>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</si>
  <si>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</si>
  <si>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</si>
  <si>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</si>
  <si>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</si>
  <si>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</si>
  <si>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</si>
  <si>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</si>
  <si>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</si>
  <si>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</si>
  <si>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</si>
  <si>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</si>
  <si>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</si>
  <si>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</si>
  <si>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</si>
  <si>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</si>
  <si>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</si>
  <si>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</si>
  <si>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</si>
  <si>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</si>
  <si>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</si>
  <si>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</si>
  <si>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</si>
  <si>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</si>
  <si>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</si>
  <si>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</si>
  <si>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</si>
  <si>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</si>
  <si>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</si>
  <si>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</si>
  <si>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</si>
  <si>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</si>
  <si>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</si>
  <si>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</si>
  <si>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</si>
  <si>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</si>
  <si>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</si>
  <si>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</si>
  <si>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</si>
  <si>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</si>
  <si>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</si>
  <si>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</si>
  <si>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</si>
  <si>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</si>
  <si>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</si>
  <si>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</si>
  <si>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</si>
  <si>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</si>
  <si>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</si>
  <si>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</si>
  <si>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</si>
  <si>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</si>
  <si>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</si>
  <si>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</si>
  <si>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</si>
  <si>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</si>
  <si>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</si>
  <si>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</si>
  <si>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</si>
  <si>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</si>
  <si>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</si>
  <si>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</si>
  <si>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</si>
  <si>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</si>
  <si>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</si>
  <si>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</si>
  <si>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</si>
  <si>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</si>
  <si>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</si>
  <si>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</si>
  <si>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</si>
  <si>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</si>
  <si>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</si>
  <si>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</si>
  <si>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</si>
  <si>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</si>
  <si>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</si>
  <si>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</si>
  <si>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</si>
  <si>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</si>
  <si>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</si>
  <si>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</si>
  <si>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</si>
  <si>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</si>
  <si>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</si>
  <si>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</si>
  <si>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</si>
  <si>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</si>
  <si>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</si>
  <si>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</si>
  <si>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</si>
  <si>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</si>
  <si>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</si>
  <si>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</si>
  <si>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</si>
  <si>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</si>
  <si>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</si>
  <si>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</si>
  <si>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</si>
  <si>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</si>
  <si>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</si>
  <si>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</si>
  <si>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</si>
  <si>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</si>
  <si>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</si>
  <si>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</si>
  <si>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</si>
  <si>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</si>
  <si>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</si>
  <si>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</si>
  <si>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</si>
  <si>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</si>
  <si>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</si>
  <si>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</si>
  <si>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</si>
  <si>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</si>
  <si>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</si>
  <si>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</si>
  <si>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</si>
  <si>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</si>
  <si>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</si>
  <si>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</si>
  <si>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</si>
  <si>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</si>
  <si>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</si>
  <si>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</si>
  <si>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</si>
  <si>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</si>
  <si>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</si>
  <si>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</si>
  <si>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</si>
  <si>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</si>
  <si>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</si>
  <si>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</si>
  <si>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</si>
  <si>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</si>
  <si>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</si>
  <si>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</si>
  <si>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</si>
  <si>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</si>
  <si>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</si>
  <si>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</si>
  <si>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</si>
  <si>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</si>
  <si>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</si>
  <si>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</si>
  <si>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</si>
  <si>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</si>
  <si>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</si>
  <si>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</si>
  <si>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</si>
  <si>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</si>
  <si>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</si>
  <si>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</si>
  <si>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</si>
  <si>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</si>
  <si>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</si>
  <si>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</si>
  <si>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</si>
  <si>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</si>
  <si>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</si>
  <si>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</si>
  <si>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</si>
  <si>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</si>
  <si>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</si>
  <si>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</si>
  <si>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</si>
  <si>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</si>
  <si>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</si>
  <si>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</si>
  <si>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</si>
  <si>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</si>
  <si>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</si>
  <si>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</si>
  <si>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</si>
  <si>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</si>
  <si>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</si>
  <si>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</si>
  <si>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</si>
  <si>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</si>
  <si>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</si>
  <si>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</si>
  <si>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</si>
  <si>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</si>
  <si>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</si>
  <si>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</si>
  <si>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</si>
  <si>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</si>
  <si>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</si>
  <si>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</si>
  <si>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</si>
  <si>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</si>
  <si>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</si>
  <si>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</si>
  <si>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</si>
  <si>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</si>
  <si>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</si>
  <si>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</si>
  <si>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</si>
  <si>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</si>
  <si>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</si>
  <si>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</si>
  <si>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</si>
  <si>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</si>
  <si>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</si>
  <si>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</si>
  <si>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</si>
  <si>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</si>
  <si>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</si>
  <si>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</si>
  <si>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</si>
  <si>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</si>
  <si>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</si>
  <si>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</si>
  <si>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</si>
  <si>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</si>
  <si>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</si>
  <si>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</si>
  <si>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</si>
  <si>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</si>
  <si>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</si>
  <si>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</si>
  <si>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</si>
  <si>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</si>
  <si>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</si>
  <si>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</si>
  <si>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</si>
  <si>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</si>
  <si>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</si>
  <si>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</si>
  <si>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</si>
  <si>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</si>
  <si>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</si>
  <si>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</si>
  <si>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</si>
  <si>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</si>
  <si>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</si>
  <si>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</si>
  <si>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</si>
  <si>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</si>
  <si>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</si>
  <si>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</si>
  <si>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</si>
  <si>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</si>
  <si>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</si>
  <si>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</si>
  <si>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</si>
  <si>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</si>
  <si>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</si>
  <si>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</si>
  <si>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</si>
  <si>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</si>
  <si>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</si>
  <si>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</si>
  <si>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</si>
  <si>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</si>
  <si>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</si>
  <si>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</si>
  <si>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</si>
  <si>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</si>
  <si>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</si>
  <si>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</si>
  <si>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</si>
  <si>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</si>
  <si>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</si>
  <si>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</si>
  <si>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</si>
  <si>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</si>
  <si>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</si>
  <si>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</si>
  <si>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</si>
  <si>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</si>
  <si>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</si>
  <si>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</si>
  <si>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</si>
  <si>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</si>
  <si>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</si>
  <si>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</si>
  <si>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</si>
  <si>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</si>
  <si>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</si>
  <si>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</si>
  <si>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</si>
  <si>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</si>
  <si>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</si>
  <si>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</si>
  <si>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</si>
  <si>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</si>
  <si>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</si>
  <si>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</si>
  <si>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</si>
  <si>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</si>
  <si>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</si>
  <si>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</si>
  <si>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</si>
  <si>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</si>
  <si>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</si>
  <si>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</si>
  <si>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</si>
  <si>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</si>
  <si>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</si>
  <si>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</si>
  <si>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</si>
  <si>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</si>
  <si>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</si>
  <si>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</si>
  <si>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</si>
  <si>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</si>
  <si>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</si>
  <si>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</si>
  <si>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</si>
  <si>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</si>
  <si>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</si>
  <si>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</si>
  <si>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</si>
  <si>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</si>
  <si>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</si>
  <si>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</si>
  <si>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</si>
  <si>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</si>
  <si>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</si>
  <si>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</si>
  <si>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</si>
  <si>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</si>
  <si>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</si>
  <si>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</si>
  <si>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</si>
  <si>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</si>
  <si>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</si>
  <si>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</si>
  <si>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</si>
  <si>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</si>
  <si>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</si>
  <si>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</si>
  <si>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</si>
  <si>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</si>
  <si>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</si>
  <si>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</si>
  <si>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</si>
  <si>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</si>
  <si>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</si>
  <si>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</si>
  <si>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</si>
  <si>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</si>
  <si>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</si>
  <si>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</si>
  <si>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</si>
  <si>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</si>
  <si>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</si>
  <si>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</si>
  <si>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</si>
  <si>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</si>
  <si>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</si>
  <si>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</si>
  <si>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</si>
  <si>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</si>
  <si>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</si>
  <si>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</si>
  <si>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</si>
  <si>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</si>
  <si>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</si>
  <si>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</si>
  <si>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</si>
  <si>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</si>
  <si>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</si>
  <si>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</si>
  <si>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</si>
  <si>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</si>
  <si>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</si>
  <si>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</si>
  <si>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</si>
  <si>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</si>
  <si>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</si>
  <si>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</si>
  <si>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</si>
  <si>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</si>
  <si>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</si>
  <si>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</si>
  <si>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</si>
  <si>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</si>
  <si>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</si>
  <si>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</si>
  <si>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</si>
  <si>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</si>
  <si>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</si>
  <si>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</si>
  <si>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</si>
  <si>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</si>
  <si>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</si>
  <si>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</si>
  <si>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</si>
  <si>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</si>
  <si>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</si>
  <si>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</si>
  <si>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</si>
  <si>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</si>
  <si>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</si>
  <si>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</si>
  <si>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</si>
  <si>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</si>
  <si>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</si>
  <si>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</si>
  <si>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</si>
  <si>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</si>
  <si>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</si>
  <si>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</si>
  <si>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</si>
  <si>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</si>
  <si>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</si>
  <si>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</si>
  <si>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</si>
  <si>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</si>
  <si>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</si>
  <si>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</si>
  <si>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</si>
  <si>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</si>
  <si>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</si>
  <si>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</si>
  <si>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</si>
  <si>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</si>
  <si>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</si>
  <si>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</si>
  <si>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</si>
  <si>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</si>
  <si>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</si>
  <si>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</si>
  <si>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</si>
  <si>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</si>
  <si>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</si>
  <si>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</si>
  <si>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</si>
  <si>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</si>
  <si>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</si>
  <si>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</si>
  <si>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</si>
  <si>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</si>
  <si>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</si>
  <si>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</si>
  <si>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</si>
  <si>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</si>
  <si>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</si>
  <si>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</si>
  <si>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</si>
  <si>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</si>
  <si>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</si>
  <si>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</si>
  <si>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</si>
  <si>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</si>
  <si>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</si>
  <si>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</si>
  <si>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</si>
  <si>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</si>
  <si>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</si>
  <si>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</si>
  <si>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</si>
  <si>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</si>
  <si>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</si>
  <si>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</si>
  <si>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</si>
  <si>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</si>
  <si>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</si>
  <si>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</si>
  <si>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</si>
  <si>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</si>
  <si>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</si>
  <si>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</si>
  <si>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</si>
  <si>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</si>
  <si>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</si>
  <si>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</si>
  <si>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</si>
  <si>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</si>
  <si>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</si>
  <si>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</si>
  <si>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</si>
  <si>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</si>
  <si>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</si>
  <si>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</si>
  <si>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</si>
  <si>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</si>
  <si>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</si>
  <si>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</si>
  <si>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</si>
  <si>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</si>
  <si>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</si>
  <si>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</si>
  <si>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</si>
  <si>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</si>
  <si>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</si>
  <si>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</si>
  <si>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</si>
  <si>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</si>
  <si>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</si>
  <si>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</si>
  <si>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</si>
  <si>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</si>
  <si>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</si>
  <si>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</si>
  <si>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</si>
  <si>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</si>
  <si>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</si>
  <si>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</si>
  <si>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</si>
  <si>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</si>
  <si>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</si>
  <si>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</si>
  <si>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</si>
  <si>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</si>
  <si>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</si>
  <si>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</si>
  <si>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</si>
  <si>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</si>
  <si>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</si>
  <si>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</si>
  <si>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</si>
  <si>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</si>
  <si>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</si>
  <si>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</si>
  <si>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</si>
  <si>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</si>
  <si>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</si>
  <si>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</si>
  <si>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</si>
  <si>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</si>
  <si>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</si>
  <si>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</si>
  <si>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</si>
  <si>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</si>
  <si>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</si>
  <si>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</si>
  <si>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</si>
  <si>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</si>
  <si>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</si>
  <si>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</si>
  <si>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</si>
  <si>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</si>
  <si>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</si>
  <si>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</si>
  <si>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</si>
  <si>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</si>
  <si>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</si>
  <si>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</si>
  <si>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</si>
  <si>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</si>
  <si>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</si>
  <si>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</si>
  <si>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</si>
  <si>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</si>
  <si>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</si>
  <si>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</si>
  <si>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</si>
  <si>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</si>
  <si>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</si>
  <si>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</si>
  <si>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</si>
  <si>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</si>
  <si>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</si>
  <si>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</si>
  <si>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</si>
  <si>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</si>
  <si>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</si>
  <si>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</si>
  <si>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</si>
  <si>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</si>
  <si>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</si>
  <si>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</si>
  <si>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</si>
  <si>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</si>
  <si>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</si>
  <si>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</si>
  <si>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</si>
  <si>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</si>
  <si>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</si>
  <si>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</si>
  <si>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</si>
  <si>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</si>
  <si>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</si>
  <si>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</si>
  <si>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</si>
  <si>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</si>
  <si>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</si>
  <si>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</si>
  <si>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</si>
  <si>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</si>
  <si>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</si>
  <si>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</si>
  <si>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</si>
  <si>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</si>
  <si>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</si>
  <si>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</si>
  <si>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</si>
  <si>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</si>
  <si>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</si>
  <si>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</si>
  <si>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</si>
  <si>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</si>
  <si>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</si>
  <si>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</si>
  <si>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</si>
  <si>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</si>
  <si>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</si>
  <si>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</si>
  <si>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</si>
  <si>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</si>
  <si>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</si>
  <si>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</si>
  <si>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</si>
  <si>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</si>
  <si>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</si>
  <si>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</si>
  <si>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</si>
  <si>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</si>
  <si>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</si>
  <si>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</si>
  <si>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</si>
  <si>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</si>
  <si>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</si>
  <si>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</si>
  <si>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</si>
  <si>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</si>
  <si>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</si>
  <si>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</si>
  <si>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</si>
  <si>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</si>
  <si>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</si>
  <si>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</si>
  <si>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</si>
  <si>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</si>
  <si>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</si>
  <si>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</si>
  <si>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</si>
  <si>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</si>
  <si>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</si>
  <si>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</si>
  <si>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</si>
  <si>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</si>
  <si>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</si>
  <si>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</si>
  <si>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</si>
  <si>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</si>
  <si>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</si>
  <si>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</si>
  <si>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</si>
  <si>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</si>
  <si>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</si>
  <si>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</si>
  <si>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</si>
  <si>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</si>
  <si>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</si>
  <si>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</si>
  <si>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</si>
  <si>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</si>
  <si>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</si>
  <si>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</si>
  <si>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</si>
  <si>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</si>
  <si>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</si>
  <si>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</si>
  <si>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</si>
  <si>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</si>
  <si>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</si>
  <si>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</si>
  <si>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</si>
  <si>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</si>
  <si>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</si>
  <si>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</si>
  <si>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</si>
  <si>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</si>
  <si>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</si>
  <si>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</si>
  <si>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</si>
  <si>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</si>
  <si>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</si>
  <si>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</si>
  <si>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</si>
  <si>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</si>
  <si>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</si>
  <si>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</si>
  <si>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</si>
  <si>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</si>
  <si>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</si>
  <si>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</si>
  <si>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</si>
  <si>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</si>
  <si>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</si>
  <si>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</si>
  <si>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</si>
  <si>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</si>
  <si>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</si>
  <si>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</si>
  <si>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</si>
  <si>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</si>
  <si>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</si>
  <si>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</si>
  <si>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</si>
  <si>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</si>
  <si>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</si>
  <si>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</si>
  <si>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</si>
  <si>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</si>
  <si>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</si>
  <si>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</si>
  <si>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</si>
  <si>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</si>
  <si>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</si>
  <si>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</si>
  <si>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</si>
  <si>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</si>
  <si>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</si>
  <si>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</si>
  <si>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</si>
  <si>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</si>
  <si>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</si>
  <si>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</si>
  <si>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</si>
  <si>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</si>
  <si>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</si>
  <si>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</si>
  <si>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</si>
  <si>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</si>
  <si>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</si>
  <si>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</si>
  <si>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</si>
  <si>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</si>
  <si>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</si>
  <si>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</si>
  <si>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</si>
  <si>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</si>
  <si>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</si>
  <si>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</si>
  <si>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</si>
  <si>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</si>
  <si>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</si>
  <si>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</si>
  <si>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</si>
  <si>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</si>
  <si>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</si>
  <si>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</si>
  <si>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</si>
  <si>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</si>
  <si>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</si>
  <si>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</si>
  <si>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</si>
  <si>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</si>
  <si>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</si>
  <si>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</si>
  <si>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</si>
  <si>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</si>
  <si>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</si>
  <si>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</si>
  <si>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</si>
  <si>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</si>
  <si>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</si>
  <si>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</si>
  <si>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</si>
  <si>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</si>
  <si>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</si>
  <si>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</si>
  <si>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</si>
  <si>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</si>
  <si>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</si>
  <si>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</si>
  <si>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</si>
  <si>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</si>
  <si>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</si>
  <si>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</si>
  <si>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</si>
  <si>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</si>
  <si>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</si>
  <si>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</si>
  <si>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</si>
  <si>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</si>
  <si>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</si>
  <si>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</si>
  <si>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</si>
  <si>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</si>
  <si>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</si>
  <si>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</si>
  <si>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</si>
  <si>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</si>
  <si>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</si>
  <si>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</si>
  <si>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</si>
  <si>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</si>
  <si>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</si>
  <si>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</si>
  <si>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</si>
  <si>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</si>
  <si>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</si>
  <si>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</si>
  <si>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</si>
  <si>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</si>
  <si>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</si>
  <si>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</si>
  <si>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</si>
  <si>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</si>
  <si>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</si>
  <si>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</si>
  <si>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</si>
  <si>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</si>
  <si>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</si>
  <si>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</si>
  <si>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</si>
  <si>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</si>
  <si>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</si>
  <si>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</si>
  <si>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</si>
  <si>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</si>
  <si>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</si>
  <si>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</si>
  <si>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</si>
  <si>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</si>
  <si>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</si>
  <si>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</si>
  <si>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</si>
  <si>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</si>
  <si>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</si>
  <si>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</si>
  <si>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</si>
  <si>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</si>
  <si>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</si>
  <si>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</si>
  <si>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</si>
  <si>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</si>
  <si>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</si>
  <si>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</si>
  <si>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</si>
  <si>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</si>
  <si>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</si>
  <si>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</si>
  <si>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</si>
  <si>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</si>
  <si>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</si>
  <si>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</si>
  <si>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</si>
  <si>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</si>
  <si>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</si>
  <si>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</si>
  <si>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</si>
  <si>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</si>
  <si>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</si>
  <si>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</si>
  <si>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</si>
  <si>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</si>
  <si>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</si>
  <si>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</si>
  <si>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</si>
  <si>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</si>
  <si>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</si>
  <si>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</si>
  <si>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</si>
  <si>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</si>
  <si>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</si>
  <si>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</si>
  <si>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</si>
  <si>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</si>
  <si>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</si>
  <si>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</si>
  <si>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</si>
  <si>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</si>
  <si>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</si>
  <si>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</si>
  <si>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</si>
  <si>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</si>
  <si>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</si>
  <si>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</si>
  <si>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</si>
  <si>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</si>
  <si>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</si>
  <si>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</si>
  <si>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</si>
  <si>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</si>
  <si>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</si>
  <si>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</si>
  <si>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</si>
  <si>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</si>
  <si>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</si>
  <si>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</si>
  <si>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</si>
  <si>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</si>
  <si>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</si>
  <si>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</si>
  <si>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</si>
  <si>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</si>
  <si>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</si>
  <si>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</si>
  <si>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</si>
  <si>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</si>
  <si>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</si>
  <si>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</si>
  <si>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</si>
  <si>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</si>
  <si>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</si>
  <si>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</si>
  <si>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</si>
  <si>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</si>
  <si>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</si>
  <si>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</si>
  <si>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</si>
  <si>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</si>
  <si>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</si>
  <si>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</si>
  <si>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</si>
  <si>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</si>
  <si>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</si>
  <si>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</si>
  <si>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</si>
  <si>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</si>
  <si>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</si>
  <si>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</si>
  <si>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</si>
  <si>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</si>
  <si>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</si>
  <si>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</si>
  <si>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</si>
  <si>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</si>
  <si>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</si>
  <si>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</si>
  <si>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</si>
  <si>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</si>
  <si>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</si>
  <si>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</si>
  <si>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</si>
  <si>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</si>
  <si>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</si>
  <si>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</si>
  <si>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</si>
  <si>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</si>
  <si>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</si>
  <si>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</si>
  <si>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</si>
  <si>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</si>
  <si>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</si>
  <si>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</si>
  <si>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</si>
  <si>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</si>
  <si>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</si>
  <si>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</si>
  <si>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</si>
  <si>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</si>
  <si>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</si>
  <si>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</si>
  <si>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</si>
  <si>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</si>
  <si>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</si>
  <si>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</si>
  <si>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</si>
  <si>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</si>
  <si>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</si>
  <si>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</si>
  <si>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</si>
  <si>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</si>
  <si>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</si>
  <si>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</si>
  <si>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</si>
  <si>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</si>
  <si>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</si>
  <si>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</si>
  <si>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</si>
  <si>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</si>
  <si>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</si>
  <si>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</si>
  <si>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</si>
  <si>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</si>
  <si>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</si>
  <si>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</si>
  <si>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</si>
  <si>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</si>
  <si>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</si>
  <si>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</si>
  <si>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</si>
  <si>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</si>
  <si>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</si>
  <si>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</si>
  <si>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</si>
  <si>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</si>
  <si>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</si>
  <si>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</si>
  <si>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</si>
  <si>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</si>
  <si>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</si>
  <si>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</si>
  <si>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</si>
  <si>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</si>
  <si>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</si>
  <si>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</si>
  <si>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</si>
  <si>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</si>
  <si>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</si>
  <si>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</si>
  <si>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</si>
  <si>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</si>
  <si>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</si>
  <si>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</si>
  <si>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</si>
  <si>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</si>
  <si>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</si>
  <si>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</si>
  <si>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</si>
  <si>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</si>
  <si>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</si>
  <si>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</si>
  <si>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</si>
  <si>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</si>
  <si>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</si>
  <si>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</si>
  <si>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</si>
  <si>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</si>
  <si>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</si>
  <si>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</si>
  <si>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</si>
  <si>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</si>
  <si>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</si>
  <si>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</si>
  <si>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</si>
  <si>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</si>
  <si>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</si>
  <si>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</si>
  <si>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</si>
  <si>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</si>
  <si>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</si>
  <si>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</si>
  <si>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</si>
  <si>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</si>
  <si>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</si>
  <si>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</si>
  <si>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</si>
  <si>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</si>
  <si>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</si>
  <si>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</si>
  <si>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</si>
  <si>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</si>
  <si>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</si>
  <si>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</si>
  <si>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</si>
  <si>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</si>
  <si>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</si>
  <si>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</si>
  <si>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</si>
  <si>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</si>
  <si>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</si>
  <si>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</si>
  <si>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</si>
  <si>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</si>
  <si>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</si>
  <si>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</si>
  <si>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</si>
  <si>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</si>
  <si>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</si>
  <si>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</si>
  <si>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</si>
  <si>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</si>
  <si>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</si>
  <si>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</si>
  <si>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</si>
  <si>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</si>
  <si>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</si>
  <si>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</si>
  <si>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</si>
  <si>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</si>
  <si>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</si>
  <si>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</si>
  <si>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</si>
  <si>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</si>
  <si>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</si>
  <si>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</si>
  <si>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</si>
  <si>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</si>
  <si>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</si>
  <si>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</si>
  <si>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</si>
  <si>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</si>
  <si>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</si>
  <si>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</si>
  <si>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</si>
  <si>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</si>
  <si>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</si>
  <si>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</si>
  <si>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</si>
  <si>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</si>
  <si>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</si>
  <si>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</si>
  <si>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</si>
  <si>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</si>
  <si>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</si>
  <si>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</si>
  <si>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</si>
  <si>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</si>
  <si>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</si>
  <si>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</si>
  <si>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</si>
  <si>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</si>
  <si>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</si>
  <si>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</si>
  <si>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</si>
  <si>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</si>
  <si>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</si>
  <si>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</si>
  <si>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</si>
  <si>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</si>
  <si>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</si>
  <si>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</si>
  <si>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</si>
  <si>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</si>
  <si>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</si>
  <si>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</si>
  <si>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</si>
  <si>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</si>
  <si>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</si>
  <si>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</si>
  <si>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</si>
  <si>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</si>
  <si>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</si>
  <si>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</si>
  <si>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</si>
  <si>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</si>
  <si>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</si>
  <si>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</si>
  <si>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</si>
  <si>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</si>
  <si>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</si>
  <si>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</si>
  <si>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</si>
  <si>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</si>
  <si>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</si>
  <si>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</si>
  <si>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</si>
  <si>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</si>
  <si>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</si>
  <si>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</si>
  <si>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</si>
  <si>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</si>
  <si>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</si>
  <si>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</si>
  <si>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</si>
  <si>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</si>
  <si>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</si>
  <si>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</si>
  <si>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</si>
  <si>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</si>
  <si>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</si>
  <si>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</si>
  <si>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</si>
  <si>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</si>
  <si>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</si>
  <si>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</si>
  <si>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</si>
  <si>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</si>
  <si>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</si>
  <si>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</si>
  <si>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</si>
  <si>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</si>
  <si>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</si>
  <si>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</si>
  <si>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</si>
  <si>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</si>
  <si>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</si>
  <si>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</si>
  <si>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</si>
  <si>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</si>
  <si>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</si>
  <si>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</si>
  <si>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</si>
  <si>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</si>
  <si>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</si>
  <si>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</si>
  <si>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</si>
  <si>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</si>
  <si>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</si>
  <si>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</si>
  <si>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</si>
  <si>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</si>
  <si>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</si>
  <si>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</si>
  <si>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</si>
  <si>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</si>
  <si>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</si>
  <si>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</si>
  <si>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</si>
  <si>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</si>
  <si>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</si>
  <si>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</si>
  <si>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</si>
  <si>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</si>
  <si>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</si>
  <si>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</si>
  <si>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</si>
  <si>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</si>
  <si>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</si>
  <si>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</si>
  <si>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</si>
  <si>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</si>
  <si>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</si>
  <si>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</si>
  <si>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</si>
  <si>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</si>
  <si>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</si>
  <si>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</si>
  <si>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</si>
  <si>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</si>
  <si>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</si>
  <si>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</si>
  <si>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</si>
  <si>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</si>
  <si>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</si>
  <si>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</si>
  <si>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</si>
  <si>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</si>
  <si>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</si>
  <si>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</si>
  <si>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</si>
  <si>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</si>
  <si>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</si>
  <si>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</si>
  <si>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</si>
  <si>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</si>
  <si>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</si>
  <si>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</si>
  <si>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</si>
  <si>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</si>
  <si>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</si>
  <si>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</si>
  <si>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</si>
  <si>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</si>
  <si>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</si>
  <si>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</si>
  <si>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</si>
  <si>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</si>
  <si>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</si>
  <si>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</si>
  <si>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</si>
  <si>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</si>
  <si>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</si>
  <si>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</si>
  <si>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</si>
  <si>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</si>
  <si>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</si>
  <si>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</si>
  <si>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</si>
  <si>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</si>
  <si>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</si>
  <si>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</si>
  <si>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</si>
  <si>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</si>
  <si>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</si>
  <si>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</si>
  <si>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</si>
  <si>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</si>
  <si>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</si>
  <si>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</si>
  <si>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</si>
  <si>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</si>
  <si>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</si>
  <si>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</si>
  <si>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</si>
  <si>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</si>
  <si>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</si>
  <si>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</si>
  <si>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</si>
  <si>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</si>
  <si>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</si>
  <si>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</si>
  <si>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</si>
  <si>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</si>
  <si>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</si>
  <si>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</si>
  <si>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</si>
  <si>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</si>
  <si>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</si>
  <si>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</si>
  <si>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</si>
  <si>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</si>
  <si>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</si>
  <si>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</si>
  <si>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</si>
  <si>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</si>
  <si>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</si>
  <si>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</si>
  <si>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</si>
  <si>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</si>
  <si>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</si>
  <si>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</si>
  <si>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</si>
  <si>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</si>
  <si>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</si>
  <si>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</si>
  <si>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</si>
  <si>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</si>
  <si>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</si>
  <si>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</si>
  <si>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</si>
  <si>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</si>
  <si>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</si>
  <si>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</si>
  <si>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</si>
  <si>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</si>
  <si>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</si>
  <si>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</si>
  <si>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</si>
  <si>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</si>
  <si>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</si>
  <si>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</si>
  <si>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</si>
  <si>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</si>
  <si>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</si>
  <si>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</si>
  <si>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</si>
  <si>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</si>
  <si>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</si>
  <si>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</si>
  <si>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</si>
  <si>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</si>
  <si>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</si>
  <si>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</si>
  <si>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</si>
  <si>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</si>
  <si>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</si>
  <si>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</si>
  <si>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</si>
  <si>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</si>
  <si>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</si>
  <si>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</si>
  <si>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</si>
  <si>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</si>
  <si>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</si>
  <si>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</si>
  <si>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</si>
  <si>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</si>
  <si>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</si>
  <si>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</si>
  <si>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</si>
  <si>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</si>
  <si>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</si>
  <si>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</si>
  <si>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</si>
  <si>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</si>
  <si>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</si>
  <si>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</si>
  <si>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</si>
  <si>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</si>
  <si>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</si>
  <si>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</si>
  <si>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</si>
  <si>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</si>
  <si>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</si>
  <si>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</si>
  <si>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</si>
  <si>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</si>
  <si>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</si>
  <si>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</si>
  <si>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</si>
  <si>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</si>
  <si>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</si>
  <si>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</si>
  <si>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</si>
  <si>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</si>
  <si>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</si>
  <si>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</si>
  <si>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</si>
  <si>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</si>
  <si>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</si>
  <si>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</si>
  <si>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</si>
  <si>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</si>
  <si>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</si>
  <si>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</si>
  <si>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</si>
  <si>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</si>
  <si>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</si>
  <si>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</si>
  <si>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</si>
  <si>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</si>
  <si>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</si>
  <si>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</si>
  <si>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</si>
  <si>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</si>
  <si>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</si>
  <si>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</si>
  <si>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</si>
  <si>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</si>
  <si>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</si>
  <si>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</si>
  <si>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</si>
  <si>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</si>
  <si>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</si>
  <si>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</si>
  <si>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</si>
  <si>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</si>
  <si>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</si>
  <si>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</si>
  <si>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</si>
  <si>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</si>
  <si>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</si>
  <si>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</si>
  <si>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</si>
  <si>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</si>
  <si>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</si>
  <si>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</si>
  <si>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</si>
  <si>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</si>
  <si>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</si>
  <si>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</si>
  <si>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</si>
  <si>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</si>
  <si>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</si>
  <si>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</si>
  <si>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</si>
  <si>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</si>
  <si>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</si>
  <si>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</si>
  <si>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</si>
  <si>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</si>
  <si>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</si>
  <si>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</si>
  <si>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</si>
  <si>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</si>
  <si>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</si>
  <si>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</si>
  <si>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</si>
  <si>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</si>
  <si>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</si>
  <si>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</si>
  <si>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</si>
  <si>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</si>
  <si>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</si>
  <si>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</si>
  <si>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</si>
  <si>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</si>
  <si>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</si>
  <si>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</si>
  <si>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</si>
  <si>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</si>
  <si>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</si>
  <si>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</si>
  <si>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</si>
  <si>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</si>
  <si>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</si>
  <si>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</si>
  <si>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</si>
  <si>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</si>
  <si>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</si>
  <si>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</si>
  <si>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</si>
  <si>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</si>
  <si>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</si>
  <si>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</si>
  <si>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</si>
  <si>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</si>
  <si>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</si>
  <si>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</si>
  <si>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</si>
  <si>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</si>
  <si>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</si>
  <si>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</si>
  <si>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</si>
  <si>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</si>
  <si>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</si>
  <si>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</si>
  <si>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</si>
  <si>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</si>
  <si>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</si>
  <si>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</si>
  <si>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</si>
  <si>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</si>
  <si>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</si>
  <si>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</si>
  <si>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</si>
  <si>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</si>
  <si>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</si>
  <si>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</si>
  <si>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</si>
  <si>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</si>
  <si>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</si>
  <si>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</si>
  <si>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</si>
  <si>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</si>
  <si>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</si>
  <si>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</si>
  <si>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</si>
  <si>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</si>
  <si>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</si>
  <si>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</si>
  <si>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</si>
  <si>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</si>
  <si>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</si>
  <si>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</si>
  <si>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</si>
  <si>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</si>
  <si>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</si>
  <si>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</si>
  <si>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</si>
  <si>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</si>
  <si>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</si>
  <si>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</si>
  <si>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</si>
  <si>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</si>
  <si>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</si>
  <si>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</si>
  <si>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</si>
  <si>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</si>
  <si>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</si>
  <si>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</si>
  <si>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</si>
  <si>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</si>
  <si>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</si>
  <si>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</si>
  <si>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</si>
  <si>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</si>
  <si>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</si>
  <si>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</si>
  <si>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</si>
  <si>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</si>
  <si>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</si>
  <si>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</si>
  <si>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</si>
  <si>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</si>
  <si>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</si>
  <si>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</si>
  <si>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</si>
  <si>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</si>
  <si>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</si>
  <si>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</si>
  <si>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</si>
  <si>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</si>
  <si>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</si>
  <si>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</si>
  <si>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</si>
  <si>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</si>
  <si>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</si>
  <si>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</si>
  <si>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</si>
  <si>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</si>
  <si>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</si>
  <si>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</si>
  <si>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</si>
  <si>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</si>
  <si>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</si>
  <si>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</si>
  <si>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</si>
  <si>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</si>
  <si>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</si>
  <si>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</si>
  <si>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</si>
  <si>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</si>
  <si>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</si>
  <si>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</si>
  <si>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</si>
  <si>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</si>
  <si>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</si>
  <si>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</si>
  <si>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</si>
  <si>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</si>
  <si>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</si>
  <si>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</si>
  <si>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</si>
  <si>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</si>
  <si>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</si>
  <si>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</si>
  <si>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</si>
  <si>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</si>
  <si>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</si>
  <si>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</si>
  <si>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</si>
  <si>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</si>
  <si>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</si>
  <si>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</si>
  <si>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</si>
  <si>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</si>
  <si>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</si>
  <si>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</si>
  <si>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</si>
  <si>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</si>
  <si>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</si>
  <si>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</si>
  <si>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</si>
  <si>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</si>
  <si>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</si>
  <si>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</si>
  <si>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</si>
  <si>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</si>
  <si>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</si>
  <si>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</si>
  <si>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</si>
  <si>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</si>
  <si>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</si>
  <si>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</si>
  <si>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</si>
  <si>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</si>
  <si>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</si>
  <si>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</si>
  <si>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</si>
  <si>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</si>
  <si>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</si>
  <si>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</si>
  <si>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</si>
  <si>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</si>
  <si>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</si>
  <si>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</si>
  <si>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</si>
  <si>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</si>
  <si>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</si>
  <si>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</si>
  <si>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</si>
  <si>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</si>
  <si>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</si>
  <si>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</si>
  <si>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</si>
  <si>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</si>
  <si>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</si>
  <si>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</si>
  <si>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</si>
  <si>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</si>
  <si>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</si>
  <si>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</si>
  <si>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</si>
  <si>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</si>
  <si>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</si>
  <si>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</si>
  <si>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</si>
  <si>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</si>
  <si>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</si>
  <si>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</si>
  <si>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</si>
  <si>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</si>
  <si>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</si>
  <si>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</si>
  <si>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</si>
  <si>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</si>
  <si>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</si>
  <si>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</si>
  <si>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</si>
  <si>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</si>
  <si>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</si>
  <si>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</si>
  <si>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</si>
  <si>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</si>
  <si>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</si>
  <si>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</si>
  <si>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</si>
  <si>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</si>
  <si>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</si>
  <si>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</si>
  <si>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</si>
  <si>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</si>
  <si>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</si>
  <si>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</si>
  <si>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</si>
  <si>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</si>
  <si>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</si>
  <si>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</si>
  <si>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</si>
  <si>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</si>
  <si>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</si>
  <si>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</si>
  <si>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</si>
  <si>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</si>
  <si>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</si>
  <si>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</si>
  <si>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</si>
  <si>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</si>
  <si>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</si>
  <si>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</si>
  <si>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</si>
  <si>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</si>
  <si>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</si>
  <si>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</si>
  <si>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</si>
  <si>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</si>
  <si>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</si>
  <si>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</si>
  <si>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</si>
  <si>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</si>
  <si>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</si>
  <si>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</si>
  <si>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</si>
  <si>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</si>
  <si>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</si>
  <si>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</si>
  <si>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</si>
  <si>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</si>
  <si>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</si>
  <si>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</si>
  <si>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</si>
  <si>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</si>
  <si>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</si>
  <si>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</si>
  <si>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</si>
  <si>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</si>
  <si>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</si>
  <si>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</si>
  <si>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</si>
  <si>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</si>
  <si>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</si>
  <si>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</si>
  <si>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</si>
  <si>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</si>
  <si>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</si>
  <si>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</si>
  <si>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</si>
  <si>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</si>
  <si>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</si>
  <si>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</si>
  <si>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</si>
  <si>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</si>
  <si>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</si>
  <si>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</si>
  <si>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</si>
  <si>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</si>
  <si>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</si>
  <si>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</si>
  <si>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</si>
  <si>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</si>
  <si>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</si>
  <si>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</si>
  <si>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</si>
  <si>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</si>
  <si>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</si>
  <si>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</si>
  <si>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</si>
  <si>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</si>
  <si>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</si>
  <si>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</si>
  <si>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</si>
  <si>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</si>
  <si>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</si>
  <si>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</si>
  <si>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</si>
  <si>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</si>
  <si>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</si>
  <si>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</si>
  <si>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</si>
  <si>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</si>
  <si>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</si>
  <si>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</si>
  <si>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</si>
  <si>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</si>
  <si>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</si>
  <si>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</si>
  <si>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</si>
  <si>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</si>
  <si>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</si>
  <si>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</si>
  <si>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</si>
  <si>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</si>
  <si>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</si>
  <si>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</si>
  <si>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</si>
  <si>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</si>
  <si>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</si>
  <si>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</si>
  <si>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</si>
  <si>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</si>
  <si>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</si>
  <si>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</si>
  <si>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</si>
  <si>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</si>
  <si>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</si>
  <si>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</si>
  <si>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</si>
  <si>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</si>
  <si>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</si>
  <si>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</si>
  <si>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</si>
  <si>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</si>
  <si>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</si>
  <si>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</si>
  <si>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</si>
  <si>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</si>
  <si>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</si>
  <si>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</si>
  <si>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</si>
  <si>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</si>
  <si>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</si>
  <si>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</si>
  <si>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</si>
  <si>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</si>
  <si>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</si>
  <si>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</si>
  <si>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</si>
  <si>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</si>
  <si>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</si>
  <si>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</si>
  <si>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</si>
  <si>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</si>
  <si>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</si>
  <si>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</si>
  <si>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</si>
  <si>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</si>
  <si>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</si>
  <si>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</si>
  <si>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</si>
  <si>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</si>
  <si>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</si>
  <si>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</si>
  <si>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</si>
  <si>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</si>
  <si>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</si>
  <si>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</si>
  <si>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</si>
  <si>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</si>
  <si>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</si>
  <si>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</si>
  <si>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</si>
  <si>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</si>
  <si>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</si>
  <si>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</si>
  <si>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</si>
  <si>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</si>
  <si>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</si>
  <si>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</si>
  <si>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</si>
  <si>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</si>
  <si>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</si>
  <si>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</si>
  <si>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</si>
  <si>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</si>
  <si>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</si>
  <si>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</si>
  <si>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</si>
  <si>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</si>
  <si>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</si>
  <si>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</si>
  <si>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</si>
  <si>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</si>
  <si>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</si>
  <si>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</si>
  <si>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</si>
  <si>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</si>
  <si>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</si>
  <si>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</si>
  <si>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</si>
  <si>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</si>
  <si>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</si>
  <si>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</si>
  <si>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</si>
  <si>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</si>
  <si>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</si>
  <si>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</si>
  <si>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</si>
  <si>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</si>
  <si>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</si>
  <si>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</si>
  <si>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</si>
  <si>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</si>
  <si>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</si>
  <si>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</si>
  <si>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</si>
  <si>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</si>
  <si>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</si>
  <si>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</si>
  <si>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</si>
  <si>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</si>
  <si>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</si>
  <si>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</si>
  <si>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</si>
  <si>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</si>
  <si>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</si>
  <si>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</si>
  <si>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</si>
  <si>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</si>
  <si>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</si>
  <si>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</si>
  <si>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</si>
  <si>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</si>
  <si>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</si>
  <si>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</si>
  <si>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</si>
  <si>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</si>
  <si>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</si>
  <si>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</si>
  <si>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</si>
  <si>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</si>
  <si>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</si>
  <si>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</si>
  <si>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</si>
  <si>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</si>
  <si>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</si>
  <si>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</si>
  <si>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</si>
  <si>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</si>
  <si>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</si>
  <si>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</si>
  <si>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</si>
  <si>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</si>
  <si>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</si>
  <si>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</si>
  <si>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</si>
  <si>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</si>
  <si>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</si>
  <si>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</si>
  <si>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</si>
  <si>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</si>
  <si>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</si>
  <si>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</si>
  <si>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</si>
  <si>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</si>
  <si>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</si>
  <si>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</si>
  <si>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</si>
  <si>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</si>
  <si>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</si>
  <si>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</si>
  <si>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</si>
  <si>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</si>
  <si>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</si>
  <si>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</si>
  <si>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</si>
  <si>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</si>
  <si>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</si>
  <si>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</si>
  <si>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</si>
  <si>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</si>
  <si>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</si>
  <si>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</si>
  <si>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</si>
  <si>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</si>
  <si>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</si>
  <si>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</si>
  <si>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</si>
  <si>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</si>
  <si>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</si>
  <si>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</si>
  <si>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</si>
  <si>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</si>
  <si>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</si>
  <si>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</si>
  <si>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</si>
  <si>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</si>
  <si>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</si>
  <si>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</si>
  <si>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</si>
  <si>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</si>
  <si>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</si>
  <si>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</si>
  <si>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</si>
  <si>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</si>
  <si>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</si>
  <si>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</si>
  <si>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</si>
  <si>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</si>
  <si>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</si>
  <si>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</si>
  <si>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</si>
  <si>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</si>
  <si>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</si>
  <si>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</si>
  <si>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</si>
  <si>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</si>
  <si>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</si>
  <si>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</si>
  <si>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</si>
  <si>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</si>
  <si>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</si>
  <si>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</si>
  <si>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</si>
  <si>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</si>
  <si>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</si>
  <si>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</si>
  <si>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</si>
  <si>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</si>
  <si>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</si>
  <si>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</si>
  <si>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</si>
  <si>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</si>
  <si>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</si>
  <si>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</si>
  <si>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</si>
  <si>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</si>
  <si>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</si>
  <si>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</si>
  <si>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</si>
  <si>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</si>
  <si>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</si>
  <si>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</si>
  <si>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</si>
  <si>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</si>
  <si>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</si>
  <si>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</si>
  <si>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</si>
  <si>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</si>
  <si>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</si>
  <si>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</si>
  <si>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</si>
  <si>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</si>
  <si>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</si>
  <si>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</si>
  <si>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</si>
  <si>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</si>
  <si>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</si>
  <si>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</si>
  <si>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</si>
  <si>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</si>
  <si>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</si>
  <si>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</si>
  <si>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</si>
  <si>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</si>
  <si>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</si>
  <si>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</si>
  <si>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</si>
  <si>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</si>
  <si>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</si>
  <si>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</si>
  <si>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</si>
  <si>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</si>
  <si>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</si>
  <si>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</si>
  <si>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</si>
  <si>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</si>
  <si>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</si>
  <si>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</si>
  <si>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</si>
  <si>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</si>
  <si>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</si>
  <si>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</si>
  <si>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</si>
  <si>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</si>
  <si>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</si>
  <si>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</si>
  <si>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</si>
  <si>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</si>
  <si>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</si>
  <si>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</si>
  <si>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</si>
  <si>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</si>
  <si>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</si>
  <si>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</si>
  <si>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</si>
  <si>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</si>
  <si>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</si>
  <si>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</si>
  <si>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</si>
  <si>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</si>
  <si>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</si>
  <si>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</si>
  <si>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</si>
  <si>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</si>
  <si>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</si>
  <si>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</si>
  <si>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</si>
  <si>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</si>
  <si>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</si>
  <si>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</si>
  <si>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</si>
  <si>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</si>
  <si>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</si>
  <si>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</si>
  <si>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</si>
  <si>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</si>
  <si>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</si>
  <si>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</si>
  <si>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</si>
  <si>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</si>
  <si>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</si>
  <si>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</si>
  <si>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</si>
  <si>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</si>
  <si>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</si>
  <si>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</si>
  <si>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</si>
  <si>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</si>
  <si>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</si>
  <si>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</si>
  <si>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</si>
  <si>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</si>
  <si>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</si>
  <si>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</si>
  <si>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</si>
  <si>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</si>
  <si>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</si>
  <si>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</si>
  <si>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</si>
  <si>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</si>
  <si>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</si>
  <si>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</si>
  <si>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</si>
  <si>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</si>
  <si>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</si>
  <si>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</si>
  <si>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</si>
  <si>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</si>
  <si>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</si>
  <si>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</si>
  <si>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</si>
  <si>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</si>
  <si>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</si>
  <si>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</si>
  <si>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</si>
  <si>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</si>
  <si>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</si>
  <si>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</si>
  <si>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</si>
  <si>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</si>
  <si>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</si>
  <si>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</si>
  <si>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</si>
  <si>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</si>
  <si>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</si>
  <si>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</si>
  <si>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</si>
  <si>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</si>
  <si>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</si>
  <si>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</si>
  <si>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</si>
  <si>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</si>
  <si>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</si>
  <si>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</si>
  <si>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</si>
  <si>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</si>
  <si>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</si>
  <si>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</si>
  <si>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</si>
  <si>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</si>
  <si>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</si>
  <si>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</si>
  <si>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</si>
  <si>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</si>
  <si>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</si>
  <si>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</si>
  <si>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</si>
  <si>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</si>
  <si>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</si>
  <si>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</si>
  <si>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</si>
  <si>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</si>
  <si>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</si>
  <si>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</si>
  <si>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</si>
  <si>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</si>
  <si>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</si>
  <si>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</si>
  <si>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</si>
  <si>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</si>
  <si>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</si>
  <si>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</si>
  <si>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</si>
  <si>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</si>
  <si>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</si>
  <si>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</si>
  <si>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</si>
  <si>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</si>
  <si>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</si>
  <si>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</si>
  <si>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</si>
  <si>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</si>
  <si>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</si>
  <si>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</si>
  <si>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</si>
  <si>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</si>
  <si>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</si>
  <si>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</si>
  <si>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</si>
  <si>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</si>
  <si>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</si>
  <si>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</si>
  <si>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</si>
  <si>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</si>
  <si>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</si>
  <si>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</si>
  <si>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</si>
  <si>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</si>
  <si>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</si>
  <si>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</si>
  <si>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</si>
  <si>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</si>
  <si>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</si>
  <si>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</si>
  <si>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</si>
  <si>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</si>
  <si>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</si>
  <si>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</si>
  <si>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</si>
  <si>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</si>
  <si>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</si>
  <si>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</si>
  <si>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</si>
  <si>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</si>
  <si>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</si>
  <si>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</si>
  <si>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</si>
  <si>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</si>
  <si>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</si>
  <si>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</si>
  <si>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</si>
  <si>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</si>
  <si>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</si>
  <si>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</si>
  <si>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</si>
  <si>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</si>
  <si>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</si>
  <si>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</si>
  <si>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</si>
  <si>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</si>
  <si>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</si>
  <si>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</si>
  <si>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</si>
  <si>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</si>
  <si>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</si>
  <si>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</si>
  <si>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</si>
  <si>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</si>
  <si>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</si>
  <si>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</si>
  <si>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</si>
  <si>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</si>
  <si>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</si>
  <si>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</si>
  <si>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</si>
  <si>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</si>
  <si>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</si>
  <si>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</si>
  <si>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</si>
  <si>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</si>
  <si>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</si>
  <si>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</si>
  <si>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</si>
  <si>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</si>
  <si>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</si>
  <si>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</si>
  <si>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</si>
  <si>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</si>
  <si>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</si>
  <si>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</si>
  <si>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</si>
  <si>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</si>
  <si>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</si>
  <si>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</si>
  <si>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</si>
  <si>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</si>
  <si>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</si>
  <si>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</si>
  <si>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</si>
  <si>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</si>
  <si>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</si>
  <si>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</si>
  <si>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</si>
  <si>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</si>
  <si>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</si>
  <si>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</si>
  <si>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</si>
  <si>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</si>
  <si>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</si>
  <si>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</si>
  <si>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</si>
  <si>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</si>
  <si>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</si>
  <si>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</si>
  <si>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</si>
  <si>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</si>
  <si>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</si>
  <si>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</si>
  <si>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</si>
  <si>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</si>
  <si>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</si>
  <si>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</si>
  <si>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</si>
  <si>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</si>
  <si>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</si>
  <si>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</si>
  <si>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</si>
  <si>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</si>
  <si>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</si>
  <si>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</si>
  <si>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</si>
  <si>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</si>
  <si>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</si>
  <si>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</si>
  <si>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</si>
  <si>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</si>
  <si>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</si>
  <si>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</si>
  <si>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</si>
  <si>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</si>
  <si>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</si>
  <si>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</si>
  <si>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</si>
  <si>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</si>
  <si>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</si>
  <si>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</si>
  <si>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</si>
  <si>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</si>
  <si>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</si>
  <si>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</si>
  <si>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</si>
  <si>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</si>
  <si>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</si>
  <si>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</si>
  <si>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</si>
  <si>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</si>
  <si>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</si>
  <si>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</si>
  <si>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</si>
  <si>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</si>
  <si>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</si>
  <si>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</si>
  <si>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</si>
  <si>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</si>
  <si>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</si>
  <si>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</si>
  <si>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</si>
  <si>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</si>
  <si>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</si>
  <si>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</si>
  <si>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</si>
  <si>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</si>
  <si>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</si>
  <si>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</si>
  <si>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</si>
  <si>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</si>
  <si>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</si>
  <si>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</si>
  <si>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</si>
  <si>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</si>
  <si>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</si>
  <si>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</si>
  <si>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</si>
  <si>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</si>
  <si>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</si>
  <si>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</si>
  <si>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</si>
  <si>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</si>
  <si>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</si>
  <si>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</si>
  <si>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</si>
  <si>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</si>
  <si>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</si>
  <si>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</si>
  <si>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</si>
  <si>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</si>
  <si>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</si>
  <si>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</si>
  <si>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</si>
  <si>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</si>
  <si>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</si>
  <si>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</si>
  <si>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</si>
  <si>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</si>
  <si>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</si>
  <si>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</si>
  <si>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</si>
  <si>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</si>
  <si>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</si>
  <si>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</si>
  <si>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</si>
  <si>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</si>
  <si>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</si>
  <si>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</si>
  <si>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</si>
  <si>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</si>
  <si>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</si>
  <si>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</si>
  <si>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</si>
  <si>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</si>
  <si>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</si>
  <si>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</si>
  <si>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</si>
  <si>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</si>
  <si>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</si>
  <si>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</si>
  <si>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</si>
  <si>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</si>
  <si>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</si>
  <si>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</si>
  <si>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</si>
  <si>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</si>
  <si>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</si>
  <si>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</si>
  <si>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</si>
  <si>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</si>
  <si>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</si>
  <si>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</si>
  <si>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</si>
  <si>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</si>
  <si>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</si>
  <si>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</si>
  <si>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</si>
  <si>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</si>
  <si>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</si>
  <si>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</si>
  <si>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</si>
  <si>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</si>
  <si>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</si>
  <si>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</si>
  <si>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</si>
  <si>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</si>
  <si>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</si>
  <si>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</si>
  <si>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</si>
  <si>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</si>
  <si>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</si>
  <si>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</si>
  <si>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</si>
  <si>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</si>
  <si>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</si>
  <si>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</si>
  <si>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</si>
  <si>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</si>
  <si>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</si>
  <si>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</si>
  <si>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</si>
  <si>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</si>
  <si>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</si>
  <si>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</si>
  <si>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</si>
  <si>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</si>
  <si>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</si>
  <si>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</si>
  <si>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</si>
  <si>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</si>
  <si>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</si>
  <si>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</si>
  <si>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</si>
  <si>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</si>
  <si>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</si>
  <si>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</si>
  <si>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</si>
  <si>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</si>
  <si>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</si>
  <si>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</si>
  <si>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</si>
  <si>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</si>
  <si>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</si>
  <si>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</si>
  <si>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</si>
  <si>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</si>
  <si>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</si>
  <si>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</si>
  <si>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</si>
  <si>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</si>
  <si>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</si>
  <si>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</si>
  <si>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</si>
  <si>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</si>
  <si>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</si>
  <si>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</si>
  <si>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</si>
  <si>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</si>
  <si>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</si>
  <si>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</si>
  <si>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</si>
  <si>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</si>
  <si>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</si>
  <si>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</si>
  <si>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</si>
  <si>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</si>
  <si>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</si>
  <si>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</si>
  <si>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</si>
  <si>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</si>
  <si>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</si>
  <si>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</si>
  <si>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</si>
  <si>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</si>
  <si>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</si>
  <si>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</si>
  <si>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</si>
  <si>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</si>
  <si>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</si>
  <si>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</si>
  <si>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</si>
  <si>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</si>
  <si>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</si>
  <si>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</si>
  <si>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</si>
  <si>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</si>
  <si>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</si>
  <si>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</si>
  <si>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</si>
  <si>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</si>
  <si>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</si>
  <si>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</si>
  <si>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</si>
  <si>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</si>
  <si>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</si>
  <si>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</si>
  <si>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</si>
  <si>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</si>
  <si>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</si>
  <si>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</si>
  <si>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</si>
  <si>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</si>
  <si>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</si>
  <si>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</si>
  <si>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</si>
  <si>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</si>
  <si>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</si>
  <si>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</si>
  <si>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</si>
  <si>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</si>
  <si>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</si>
  <si>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</si>
  <si>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</si>
  <si>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</si>
  <si>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</si>
  <si>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</si>
  <si>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</si>
  <si>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</si>
  <si>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</si>
  <si>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</si>
  <si>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</si>
  <si>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</si>
  <si>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</si>
  <si>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</si>
  <si>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</si>
  <si>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</si>
  <si>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</si>
  <si>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</si>
  <si>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</si>
  <si>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</si>
  <si>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</si>
  <si>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</si>
  <si>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</si>
  <si>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</si>
  <si>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</si>
  <si>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</si>
  <si>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</si>
  <si>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</si>
  <si>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</si>
  <si>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</si>
  <si>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</si>
  <si>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</si>
  <si>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</si>
  <si>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</si>
  <si>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</si>
  <si>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</si>
  <si>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</si>
  <si>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</si>
  <si>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</si>
  <si>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</si>
  <si>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</si>
  <si>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</si>
  <si>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</si>
  <si>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</si>
  <si>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</si>
  <si>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</si>
  <si>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</si>
  <si>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</si>
  <si>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</si>
  <si>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</si>
  <si>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</si>
  <si>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</si>
  <si>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</si>
  <si>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</si>
  <si>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</si>
  <si>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</si>
  <si>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</si>
  <si>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</si>
  <si>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</si>
  <si>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</si>
  <si>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</si>
  <si>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</si>
  <si>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</si>
  <si>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</si>
  <si>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</si>
  <si>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</si>
  <si>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</si>
  <si>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</si>
  <si>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</si>
  <si>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</si>
  <si>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</si>
  <si>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</si>
  <si>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</si>
  <si>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</si>
  <si>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</si>
  <si>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</si>
  <si>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</si>
  <si>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</si>
  <si>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</si>
  <si>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</si>
  <si>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</si>
  <si>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</si>
  <si>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</si>
  <si>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</si>
  <si>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</si>
  <si>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</si>
  <si>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</si>
  <si>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</si>
  <si>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</si>
  <si>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</si>
  <si>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</si>
  <si>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</si>
  <si>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</si>
  <si>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</si>
  <si>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</si>
  <si>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</si>
  <si>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</si>
  <si>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</si>
  <si>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</si>
  <si>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</si>
  <si>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</si>
  <si>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</si>
  <si>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</si>
  <si>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</si>
  <si>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</si>
  <si>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</si>
  <si>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</si>
  <si>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</si>
  <si>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</si>
  <si>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</si>
  <si>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</si>
  <si>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</si>
  <si>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</si>
  <si>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</si>
  <si>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</si>
  <si>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</si>
  <si>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</si>
  <si>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</si>
  <si>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</si>
  <si>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</si>
  <si>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</si>
  <si>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</si>
  <si>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</si>
  <si>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</si>
  <si>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</si>
  <si>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</si>
  <si>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</si>
  <si>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</si>
  <si>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</si>
  <si>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</si>
  <si>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</si>
  <si>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</si>
  <si>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</si>
  <si>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</si>
  <si>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</si>
  <si>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</si>
  <si>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</si>
  <si>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</si>
  <si>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</si>
  <si>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</si>
  <si>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</si>
  <si>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</si>
  <si>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</si>
  <si>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</si>
  <si>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</si>
  <si>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</si>
  <si>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</si>
  <si>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</si>
  <si>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</si>
  <si>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</si>
  <si>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</si>
  <si>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</si>
  <si>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</si>
  <si>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</si>
  <si>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</si>
  <si>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</si>
  <si>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</si>
  <si>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</si>
  <si>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</si>
  <si>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</si>
  <si>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</si>
  <si>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</si>
  <si>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</si>
  <si>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</si>
  <si>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</si>
  <si>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</si>
  <si>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</si>
  <si>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</si>
  <si>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</si>
  <si>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</si>
  <si>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</si>
  <si>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</si>
  <si>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</si>
  <si>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</si>
  <si>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</si>
  <si>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</si>
  <si>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</si>
  <si>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</si>
  <si>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</si>
  <si>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</si>
  <si>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</si>
  <si>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</si>
  <si>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</si>
  <si>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</si>
  <si>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</si>
  <si>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</si>
  <si>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</si>
  <si>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</si>
  <si>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</si>
  <si>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</si>
  <si>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</si>
  <si>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</si>
  <si>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</si>
  <si>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</si>
  <si>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</si>
  <si>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</si>
  <si>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</si>
  <si>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</si>
  <si>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</si>
  <si>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</si>
  <si>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</si>
  <si>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</si>
  <si>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</si>
  <si>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</si>
  <si>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</si>
  <si>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</si>
  <si>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</si>
  <si>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</si>
  <si>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</si>
  <si>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</si>
  <si>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</si>
  <si>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</si>
  <si>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</si>
  <si>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</si>
  <si>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</si>
  <si>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</si>
  <si>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</si>
  <si>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</si>
  <si>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</si>
  <si>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</si>
  <si>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</si>
  <si>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</si>
  <si>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</si>
  <si>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</si>
  <si>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</si>
  <si>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</si>
  <si>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</si>
  <si>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</si>
  <si>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</si>
  <si>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</si>
  <si>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</si>
  <si>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</si>
  <si>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</si>
  <si>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</si>
  <si>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</si>
  <si>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</si>
  <si>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</si>
  <si>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</si>
  <si>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</si>
  <si>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</si>
  <si>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</si>
  <si>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</si>
  <si>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</si>
  <si>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</si>
  <si>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</si>
  <si>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</si>
  <si>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</si>
  <si>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</si>
  <si>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</si>
  <si>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</si>
  <si>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</si>
  <si>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</si>
  <si>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</si>
  <si>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</si>
  <si>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</si>
  <si>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</si>
  <si>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</si>
  <si>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</si>
  <si>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</si>
  <si>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</si>
  <si>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</si>
  <si>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</si>
  <si>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</si>
  <si>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</si>
  <si>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</si>
  <si>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</si>
  <si>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</si>
  <si>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</si>
  <si>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</si>
  <si>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</si>
  <si>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</si>
  <si>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</si>
  <si>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</si>
  <si>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</si>
  <si>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</si>
  <si>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</si>
  <si>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</si>
  <si>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</si>
  <si>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</si>
  <si>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</si>
  <si>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</si>
  <si>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</si>
  <si>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</si>
  <si>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</si>
  <si>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</si>
  <si>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</si>
  <si>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</si>
  <si>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</si>
  <si>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</si>
  <si>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</si>
  <si>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</si>
  <si>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</si>
  <si>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</si>
  <si>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</si>
  <si>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</si>
  <si>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</si>
  <si>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</si>
  <si>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</si>
  <si>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</si>
  <si>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</si>
  <si>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</si>
  <si>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</si>
  <si>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</si>
  <si>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</si>
  <si>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</si>
  <si>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</si>
  <si>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</si>
  <si>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</si>
  <si>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</si>
  <si>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</si>
  <si>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</si>
  <si>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</si>
  <si>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</si>
  <si>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</si>
  <si>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</si>
  <si>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</si>
  <si>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</si>
  <si>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</si>
  <si>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</si>
  <si>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</si>
  <si>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</si>
  <si>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</si>
  <si>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</si>
  <si>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</si>
  <si>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</si>
  <si>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</si>
  <si>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</si>
  <si>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</si>
  <si>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</si>
  <si>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</si>
  <si>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</si>
  <si>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</si>
  <si>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</si>
  <si>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</si>
  <si>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</si>
  <si>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</si>
  <si>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</si>
  <si>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</si>
  <si>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</si>
  <si>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</si>
  <si>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</si>
  <si>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</si>
  <si>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</si>
  <si>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</si>
  <si>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</si>
  <si>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</si>
  <si>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</si>
  <si>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</si>
  <si>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</si>
  <si>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</si>
  <si>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</si>
  <si>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</si>
  <si>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</si>
  <si>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</si>
  <si>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</si>
  <si>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</si>
  <si>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</si>
  <si>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</si>
  <si>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</si>
  <si>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</si>
  <si>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</si>
  <si>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</si>
  <si>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</si>
  <si>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</si>
  <si>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</si>
  <si>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</si>
  <si>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</si>
  <si>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</si>
  <si>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</si>
  <si>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</si>
  <si>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</si>
  <si>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</si>
  <si>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</si>
  <si>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</si>
  <si>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</si>
  <si>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</si>
  <si>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</si>
  <si>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</si>
  <si>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</si>
  <si>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</si>
  <si>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</si>
  <si>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</si>
  <si>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</si>
  <si>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</si>
  <si>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</si>
  <si>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</si>
  <si>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</si>
  <si>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</si>
  <si>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</si>
  <si>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</si>
  <si>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</si>
  <si>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</si>
  <si>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</si>
  <si>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</si>
  <si>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</si>
  <si>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</si>
  <si>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</si>
  <si>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</si>
  <si>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</si>
  <si>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</si>
  <si>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</si>
  <si>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</si>
  <si>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</si>
  <si>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</si>
  <si>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</si>
  <si>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</si>
  <si>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</si>
  <si>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</si>
  <si>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</si>
  <si>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</si>
  <si>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</si>
  <si>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</si>
  <si>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</si>
  <si>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</si>
  <si>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</si>
  <si>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</si>
  <si>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</si>
  <si>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</si>
  <si>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</si>
  <si>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</si>
  <si>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</si>
  <si>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</si>
  <si>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</si>
  <si>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</si>
  <si>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</si>
  <si>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</si>
  <si>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</si>
  <si>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</si>
  <si>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</si>
  <si>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</si>
  <si>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</si>
  <si>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</si>
  <si>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</si>
  <si>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</si>
  <si>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</si>
  <si>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</si>
  <si>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</si>
  <si>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</si>
  <si>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</si>
  <si>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</si>
  <si>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</si>
  <si>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</si>
  <si>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</si>
  <si>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</si>
  <si>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</si>
  <si>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</si>
  <si>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</si>
  <si>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</si>
  <si>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</si>
  <si>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</si>
  <si>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</si>
  <si>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</si>
  <si>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</si>
  <si>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</si>
  <si>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</si>
  <si>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</si>
  <si>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</si>
  <si>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</si>
  <si>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</si>
  <si>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</si>
  <si>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</si>
  <si>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</si>
  <si>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</si>
  <si>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</si>
  <si>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</si>
  <si>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</si>
  <si>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</si>
  <si>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</si>
  <si>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</si>
  <si>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</si>
  <si>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</si>
  <si>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</si>
  <si>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</si>
  <si>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</si>
  <si>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</si>
  <si>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</si>
  <si>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</si>
  <si>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</si>
  <si>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</si>
  <si>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</si>
  <si>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</si>
  <si>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</si>
  <si>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</si>
  <si>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</si>
  <si>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</si>
  <si>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</si>
  <si>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</si>
  <si>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</si>
  <si>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</si>
  <si>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</si>
  <si>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</si>
  <si>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</si>
  <si>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</si>
  <si>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</si>
  <si>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</si>
  <si>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</si>
  <si>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</si>
  <si>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</si>
  <si>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</si>
  <si>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</si>
  <si>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</si>
  <si>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</si>
  <si>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</si>
  <si>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</si>
  <si>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</si>
  <si>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</si>
  <si>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</si>
  <si>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</si>
  <si>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</si>
  <si>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</si>
  <si>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</si>
  <si>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</si>
  <si>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</si>
  <si>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</si>
  <si>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</si>
  <si>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</si>
  <si>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</si>
  <si>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</si>
  <si>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</si>
  <si>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</si>
  <si>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</si>
  <si>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</si>
  <si>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</si>
  <si>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</si>
  <si>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</si>
  <si>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</si>
  <si>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</si>
  <si>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</si>
  <si>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</si>
  <si>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</si>
  <si>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</si>
  <si>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</si>
  <si>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</si>
  <si>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</si>
  <si>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</si>
  <si>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</si>
  <si>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</si>
  <si>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</si>
  <si>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</si>
  <si>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</si>
  <si>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</si>
  <si>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</si>
  <si>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</si>
  <si>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</si>
  <si>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</si>
  <si>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</si>
  <si>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</si>
  <si>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</si>
  <si>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</si>
  <si>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</si>
  <si>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</si>
  <si>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</si>
  <si>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</si>
  <si>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</si>
  <si>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</si>
  <si>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</si>
  <si>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</si>
  <si>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</si>
  <si>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</si>
  <si>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</si>
  <si>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</si>
  <si>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</si>
  <si>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</si>
  <si>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</si>
  <si>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</si>
  <si>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</si>
  <si>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</si>
  <si>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</si>
  <si>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</si>
  <si>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</si>
  <si>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</si>
  <si>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</si>
  <si>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</si>
  <si>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</si>
  <si>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</si>
  <si>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</si>
  <si>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</si>
  <si>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</si>
  <si>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</si>
  <si>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</si>
  <si>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Регион(доп.столбец)</t>
  </si>
  <si>
    <t>1QTН2S -1.1</t>
  </si>
  <si>
    <t>г.Смоленск</t>
  </si>
  <si>
    <t>27.02.2024</t>
  </si>
  <si>
    <t>Компания 1</t>
  </si>
  <si>
    <t>123@.ru</t>
  </si>
  <si>
    <t>г.123</t>
  </si>
  <si>
    <t>Компания 2</t>
  </si>
  <si>
    <t>789@.ru</t>
  </si>
  <si>
    <t>г.789</t>
  </si>
  <si>
    <t>1QTС2Н4-2.12QTС2Н4-2.11QTС2Н4-1.1</t>
  </si>
  <si>
    <t>3.1</t>
  </si>
  <si>
    <t>1QTН2-1.1,1QTН2-1.2,2QTН2-1.1,2QTН2-1.3,2QTН2-1.2,2QTН2-1.4,2QTН2-2.1,2QTН2-2.2,2QTН2-2.3,2QTН2-2.4,2QTН2-3.1,2QTН2-3.2</t>
  </si>
  <si>
    <t>3.2</t>
  </si>
  <si>
    <t>3.3</t>
  </si>
  <si>
    <t>4.1</t>
  </si>
  <si>
    <t>2QTС2Н5OH-2.1</t>
  </si>
  <si>
    <t>4.2</t>
  </si>
  <si>
    <t>4.3</t>
  </si>
  <si>
    <t>5.1</t>
  </si>
  <si>
    <t>2QTС6Н6-3.1</t>
  </si>
  <si>
    <t>5.2</t>
  </si>
  <si>
    <t>5.3</t>
  </si>
  <si>
    <t>6.1</t>
  </si>
  <si>
    <t>2QTCI2-1.1</t>
  </si>
  <si>
    <t>6.2</t>
  </si>
  <si>
    <t>6.3</t>
  </si>
  <si>
    <t>7.1</t>
  </si>
  <si>
    <t>2QTС7Н8-3.1</t>
  </si>
  <si>
    <t>7.2</t>
  </si>
  <si>
    <t>7.3</t>
  </si>
  <si>
    <t>8.1</t>
  </si>
  <si>
    <t xml:space="preserve">Вентиль точной регулировки ВТР </t>
  </si>
  <si>
    <t>8.2</t>
  </si>
  <si>
    <t>8.3</t>
  </si>
  <si>
    <t>9.1</t>
  </si>
  <si>
    <t>Вентиль точной регулировки ВТР</t>
  </si>
  <si>
    <t>9.2</t>
  </si>
  <si>
    <t>9.3</t>
  </si>
  <si>
    <t>10.1</t>
  </si>
  <si>
    <t>10.2</t>
  </si>
  <si>
    <t>10.3</t>
  </si>
  <si>
    <t>11.1</t>
  </si>
  <si>
    <t xml:space="preserve">Индикатор расхода ИР </t>
  </si>
  <si>
    <t>11.2</t>
  </si>
  <si>
    <t>11.3</t>
  </si>
  <si>
    <t>12.1</t>
  </si>
  <si>
    <t xml:space="preserve">Индикатор расхода ИР (регулируемый) </t>
  </si>
  <si>
    <t>12.2</t>
  </si>
  <si>
    <t>12.3</t>
  </si>
  <si>
    <t>13.1</t>
  </si>
  <si>
    <t>Стилус ИБЯЛ</t>
  </si>
  <si>
    <t>382,80</t>
  </si>
  <si>
    <t>13.2</t>
  </si>
  <si>
    <t>13.3</t>
  </si>
  <si>
    <t>14.1</t>
  </si>
  <si>
    <t xml:space="preserve">Поверочная газовая смесь ПГС воздух, кл.1 </t>
  </si>
  <si>
    <t>14266,80</t>
  </si>
  <si>
    <t>14.2</t>
  </si>
  <si>
    <t>14.3</t>
  </si>
  <si>
    <t>15.1</t>
  </si>
  <si>
    <t xml:space="preserve">Поверочная газовая смесь ПГС CH4 </t>
  </si>
  <si>
    <t>17437,20</t>
  </si>
  <si>
    <t>15.2</t>
  </si>
  <si>
    <t>15.3</t>
  </si>
  <si>
    <t>16.1</t>
  </si>
  <si>
    <t xml:space="preserve">Газ поверочный нулевой ПНГ воздух </t>
  </si>
  <si>
    <t>36027,60</t>
  </si>
  <si>
    <t>16.2</t>
  </si>
  <si>
    <t>16.3</t>
  </si>
  <si>
    <t>17.1</t>
  </si>
  <si>
    <t xml:space="preserve">Источник микропотока ИМ09–М–А2 (Cl2) </t>
  </si>
  <si>
    <t>47988,00</t>
  </si>
  <si>
    <t>17.2</t>
  </si>
  <si>
    <t>17.3</t>
  </si>
  <si>
    <t>18.1</t>
  </si>
  <si>
    <t>18.2</t>
  </si>
  <si>
    <t>18.3</t>
  </si>
  <si>
    <t>19.1</t>
  </si>
  <si>
    <t xml:space="preserve">Стационарный газоанализатор ИГМ-13М-3А </t>
  </si>
  <si>
    <t xml:space="preserve">216 300,00 </t>
  </si>
  <si>
    <t>07.03.2024</t>
  </si>
  <si>
    <t>19.2</t>
  </si>
  <si>
    <t>19.3</t>
  </si>
  <si>
    <t>20.1</t>
  </si>
  <si>
    <t>20.2</t>
  </si>
  <si>
    <t>20.3</t>
  </si>
  <si>
    <t>21.1</t>
  </si>
  <si>
    <t>21.2</t>
  </si>
  <si>
    <t>21.3</t>
  </si>
  <si>
    <t>22.1</t>
  </si>
  <si>
    <t>22.2</t>
  </si>
  <si>
    <t>22.3</t>
  </si>
  <si>
    <t>23.1</t>
  </si>
  <si>
    <t>23.2</t>
  </si>
  <si>
    <t>23.3</t>
  </si>
  <si>
    <t>24.1</t>
  </si>
  <si>
    <t>24.2</t>
  </si>
  <si>
    <t>24.3</t>
  </si>
  <si>
    <t>25.1</t>
  </si>
  <si>
    <t xml:space="preserve">Калибровочный набор </t>
  </si>
  <si>
    <t xml:space="preserve">	Калибровочный набор в составе: 1.	Азот О.ч. сорт 2-й по ГОСТ 9293-74 баллон 4 л. - 1 шт. 2.	ГСО 10332-2013 изобутан/азот 5 млн-1 +/-10% баллон 4 л. - 1 шт. 3.	ГСО 10332-2013 изобутан/азот 500 млн-1 +/-10% баллон 4 л. - 1 шт. 4.	ГСО 10332-2013 изобутан/азот 900 млн-1 +/-10% баллон 4 л. - 1 шт. 5.	ГСО 10245-2013 бутан/азот 5 млн-1 +/-10% баллон 4 л. - 1 шт. 6.	ГСО 10245-2013 бутан/азот 500 млн-1 +/-10% баллон 4 л. - 1 шт. 7.	ГСО 10245-2013 бутан/азот 900 млн-1 +/-10% баллон 4 л. - 1 шт. 8.	ГСО 10243-2013 этан/азот 5 млн-1 +/-10% баллон 4 л. - 1 шт. 9.	ГСО 10243-2013 этан/азот 260 млн-1 +/-10% баллон 4 л. - 1 шт. 10.	ГСО 10243-2013 этан/азот 560 млн-1 +/-10% баллон 4 л. - 1 шт. 11.	ГСО 10262-2013 пропан/азот 5 млн-1 +/-10% баллон 4 л. - 1 шт.12. ГСО 10262-2013 пропан/азот 500 млн-1 +/-10% баллон 4 л. - 1 шт. 13.	ГСО 10262-2013 пропан/азот 900 млн-1 +/-10% баллон 4 л. - 1 шт. 14.	ГСО 10524-2013 этилбензол/азот 0,5 млн-1 +/-10% баллон 4 л. - 1 шт. 15.	ГСО 10524-2013 этилбензол/азот 25 млн-1 +/-10% баллон 4 л. - 1 шт. 16.	ГСО 10524-2013 этилбензол/азот 45 млн-1 +/-10% баллон 4 л. - 1 шт. 17.	Натекатель Н-12 с манометром и оливкой - 1 шт. 18.	Ротаметр РМ-А-0,063 - 1 шт. 19.	Трубка ПВХ 3 м</t>
  </si>
  <si>
    <t xml:space="preserve">939 360,00 </t>
  </si>
  <si>
    <t>25.2</t>
  </si>
  <si>
    <t>25.3</t>
  </si>
  <si>
    <t>26.1</t>
  </si>
  <si>
    <t xml:space="preserve">Коробка клеммная взрывозащищенная </t>
  </si>
  <si>
    <t>Коробка клеммная взрывозащищенная 1Ex db IIC T5 Gb X IP66</t>
  </si>
  <si>
    <t>24 297,00</t>
  </si>
  <si>
    <t>04.03.2024</t>
  </si>
  <si>
    <t>26.2</t>
  </si>
  <si>
    <t>26.3</t>
  </si>
  <si>
    <t>27.1</t>
  </si>
  <si>
    <t>НТМ-РМ10у.1x1/КПГ Проходка кабельная взрывозащищенная 1Ex e IIC Gb IP66</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</si>
  <si>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Домкрат монтажный универсальный НТМ-ДМУ - 1 шт; -	Пластина опорная фиксационная НТМ-ОПФ60 - 1 шт; -	Транзитный модуль НТМ20/3-16 - 8 шт;- Модуль-заглушка НТМ20/0 - 1 шт.</t>
  </si>
  <si>
    <t>29 231,00</t>
  </si>
  <si>
    <t>05.03.2024</t>
  </si>
  <si>
    <t>27.2</t>
  </si>
  <si>
    <t>27.3</t>
  </si>
  <si>
    <t>28.1</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</si>
  <si>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</si>
  <si>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27 686,00</t>
  </si>
  <si>
    <t>28.2</t>
  </si>
  <si>
    <t>28.3</t>
  </si>
  <si>
    <t>29.1</t>
  </si>
  <si>
    <t>НТМ-РМ22у.1x1/КПГ Проходка кабельная взрывозащищенная 1Ex e IIC Gb IP66</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</si>
  <si>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</si>
  <si>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49 836,00</t>
  </si>
  <si>
    <t>29.2</t>
  </si>
  <si>
    <t>29.3</t>
  </si>
  <si>
    <t>30.1</t>
  </si>
  <si>
    <t>Табло светодиодное взрывозащищенное 1Ex db IIC T6 Gb, IP66. Надпись "ЗАГАЗОВАНО".</t>
  </si>
  <si>
    <t>ПГС-ИТ11-24DC/ЗАГАЗОВАНО/К-1КНВМ1М-15НК/ УВГ1030Р24Ф000627 Табло светодиодное взрывозащищенное 1Ex db IIC T6 Gb, IP66. Надпись "ЗАГАЗОВАНО". Цвет подсветки - красный</t>
  </si>
  <si>
    <t>14 261,00</t>
  </si>
  <si>
    <t>30.2</t>
  </si>
  <si>
    <t>30.3</t>
  </si>
  <si>
    <t>31.1</t>
  </si>
  <si>
    <t>ПГС-ИТ11-24DC/ЗАГАЗОВАНО/К-1КНВМ1М-15НК/ УВГ1030Р24Ф000628 Табло светодиодное взрывозащищенное 1Ex db IIC T6 Gb, IP66. Надпись "ЗАГАЗОВАНО". Цвет подсветки - красный. В комплекте кабельный ввод для небронированного кабеля d=6-12мм с возможностью присоединения металлорукава Ду=15 мм - 1шт.</t>
  </si>
  <si>
    <t>31.2</t>
  </si>
  <si>
    <t>31.3</t>
  </si>
  <si>
    <t>32.1</t>
  </si>
  <si>
    <t xml:space="preserve">Шкаф взрывозащищённый 1Ex db IIC T4 Gb X IP66 </t>
  </si>
  <si>
    <t>ШГВ423222-О3020/УВГ1030Р24Ф000603 Шкаф взрывозащищённый 1Ex db IIC T4 Gb X IP66 согласно чертежу 1894.03.24.02</t>
  </si>
  <si>
    <t>204 069,00</t>
  </si>
  <si>
    <t>32.2</t>
  </si>
  <si>
    <t>32.3</t>
  </si>
  <si>
    <t>33.1</t>
  </si>
  <si>
    <t xml:space="preserve">Коробка клеммная взрывозащищенная 1Ex db </t>
  </si>
  <si>
    <t>50 389,00</t>
  </si>
  <si>
    <t>33.2</t>
  </si>
  <si>
    <t>33.3</t>
  </si>
  <si>
    <t>34.1</t>
  </si>
  <si>
    <t>42 251,00</t>
  </si>
  <si>
    <t>34.2</t>
  </si>
  <si>
    <t>34.3</t>
  </si>
  <si>
    <t>35.1</t>
  </si>
  <si>
    <t>40 186,00</t>
  </si>
  <si>
    <t>35.2</t>
  </si>
  <si>
    <t>35.3</t>
  </si>
  <si>
    <t>36.1</t>
  </si>
  <si>
    <t>48 829,00</t>
  </si>
  <si>
    <t>36.2</t>
  </si>
  <si>
    <t>36.3</t>
  </si>
  <si>
    <t>37.1</t>
  </si>
  <si>
    <t>ЩОРВ281811(2PYK2,5ET-6PYK2,5E-9)-1КНВМ2M -20HK(А)-3КНВМ1M-15HK(А)/УВГ1030Р24Ф00062 0 Коробка клеммная взрывозащищенная 1Ex db IIC T5 Gb X IP66 3XV-2</t>
  </si>
  <si>
    <t>29 860,00</t>
  </si>
  <si>
    <t>37.2</t>
  </si>
  <si>
    <t>37.3</t>
  </si>
  <si>
    <t>38.1</t>
  </si>
  <si>
    <t>Табло светозвуковое взрывозащищенное 1Ex db e mb IIC T6 Gb,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</si>
  <si>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 В комплекте кабельный ввод для небронированного кабеля d=6-12мм с возможностью присоединения металлорукава Ду=15 мм - 1шт.</t>
  </si>
  <si>
    <t>38 089,00</t>
  </si>
  <si>
    <t>38.2</t>
  </si>
  <si>
    <t>38.3</t>
  </si>
  <si>
    <t>39.1</t>
  </si>
  <si>
    <t>Табло светозвуковое взрывозащищенное 1Ex db e mb IIC T6 Gb, IP66. 24В DC, 250mA, 106Дб.</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</si>
  <si>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 В комплекте кабельный ввод для небронированного кабеля d=6-12мм с возможностью присоединения металлорукава Ду=15 мм - 1шт.</t>
  </si>
  <si>
    <t>39.2</t>
  </si>
  <si>
    <t>39.3</t>
  </si>
  <si>
    <t>40.1</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</si>
  <si>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 В комплекте кабельный ввод для небронированного кабеля d=6-12мм с возможностью присоединения металлорукава Ду=15 мм - 1шт.</t>
  </si>
  <si>
    <t>40.2</t>
  </si>
  <si>
    <t>40.3</t>
  </si>
  <si>
    <t>41.1</t>
  </si>
  <si>
    <t>Пост звуковой сигнализации взрывозащищенный 1Ex db e mb IIC T6 Gb, IP66</t>
  </si>
  <si>
    <t>ПГЗ-СИРЕНА2-24DC-1КНВМ1M-15HK/УВГ1030Р2 3Ф000624 Пост звуковой сигнализации взрывозащищенный 1Ex db e mb IIC T6 Gb, IP66. В комплекте кабельный ввод для небронированного кабеля d=6-12мм с возможностью присоединения металлорукава Ду=15 мм - 1шт.</t>
  </si>
  <si>
    <t>31 653,00</t>
  </si>
  <si>
    <t>41.2</t>
  </si>
  <si>
    <t>41.3</t>
  </si>
  <si>
    <t>42.1</t>
  </si>
  <si>
    <t xml:space="preserve">Пост управления взрывозащищенный 1Ex db e IIC T6 Gb IP66 </t>
  </si>
  <si>
    <t xml:space="preserve">ПКИЕ-П1008091КГЕ01Ч11-1КНВМ1M-15HK(Г)-1E T6/M2(Г)/УВГ1030Р24Ф000626 Пост управления взрывозащищенный 1Ex db e IIC T6 Gb IP66 </t>
  </si>
  <si>
    <t>7 130,00</t>
  </si>
  <si>
    <t>42.2</t>
  </si>
  <si>
    <t>42.3</t>
  </si>
  <si>
    <t>43.1</t>
  </si>
  <si>
    <t>Щит автоматики 1ЩА-№1.</t>
  </si>
  <si>
    <t>Щит автоматики 1ЩА-№1. Габаритные размеры (ВхШхГ,мм): 1800х800х400 (в соответствии с опросным листом АВТГ.2З103.АТХ.ОЛ1)</t>
  </si>
  <si>
    <t xml:space="preserve">05.03.2024 </t>
  </si>
  <si>
    <t>43.2</t>
  </si>
  <si>
    <t>43.3</t>
  </si>
  <si>
    <t>44.1</t>
  </si>
  <si>
    <t>Щит автоматики 1ЩА-№2 .</t>
  </si>
  <si>
    <t>Щит автоматики 1ЩА-№2 . Габаритные размеры (ВхШхГ,мм): 600х400х250 (в соответствии с опросным листом АВТГ.2З103.АТХ.ОЛ2)</t>
  </si>
  <si>
    <t>44.2</t>
  </si>
  <si>
    <t>44.3</t>
  </si>
  <si>
    <t>45.1</t>
  </si>
  <si>
    <t xml:space="preserve">Комплект прикладного программного обеспечения для щитов автоматики 1ЩА-№1, 1ЩА№2, </t>
  </si>
  <si>
    <t>Комплект прикладного программного обеспечения для щитов автоматики 1ЩА-№1, 1ЩА№2, сенсорных панелей 1ПС-1, 1пс-2, 2пс-1, 2ПС-2, 2пс-з.</t>
  </si>
  <si>
    <t>45.2</t>
  </si>
  <si>
    <t>45.3</t>
  </si>
  <si>
    <t>46.1</t>
  </si>
  <si>
    <t xml:space="preserve">Бирка кабельная маркировочная </t>
  </si>
  <si>
    <t>уп.</t>
  </si>
  <si>
    <t>46.2</t>
  </si>
  <si>
    <t>46.3</t>
  </si>
  <si>
    <t>47.1</t>
  </si>
  <si>
    <t xml:space="preserve">Бирка проводная маркировочная </t>
  </si>
  <si>
    <t>47.2</t>
  </si>
  <si>
    <t>47.3</t>
  </si>
  <si>
    <t>48.1</t>
  </si>
  <si>
    <t xml:space="preserve">Кабель контрольный МКЭШВнг(А)   </t>
  </si>
  <si>
    <t xml:space="preserve">Кабель контрольный МКЭШВнг(А)   2х 2х 1.0 </t>
  </si>
  <si>
    <t xml:space="preserve">193 068,00 </t>
  </si>
  <si>
    <t>48.2</t>
  </si>
  <si>
    <t>48.3</t>
  </si>
  <si>
    <t>49.1</t>
  </si>
  <si>
    <t xml:space="preserve">Кабель КГВВнг(А)-LS   </t>
  </si>
  <si>
    <t xml:space="preserve">Кабель КГВВнг(А)-LS   2х 1.0-0.66 </t>
  </si>
  <si>
    <t>60 012,00</t>
  </si>
  <si>
    <t>49.2</t>
  </si>
  <si>
    <t>49.3</t>
  </si>
  <si>
    <t>50.1</t>
  </si>
  <si>
    <t xml:space="preserve">Кабель контрольный КГВЭВнг(А)-LS  </t>
  </si>
  <si>
    <t xml:space="preserve">Кабель контрольный КГВЭВнг(А)-LS  4х 2.5-0.66 </t>
  </si>
  <si>
    <t xml:space="preserve">0,500 </t>
  </si>
  <si>
    <t xml:space="preserve">306 360,00 </t>
  </si>
  <si>
    <t>50.2</t>
  </si>
  <si>
    <t>50.3</t>
  </si>
  <si>
    <t>51.1</t>
  </si>
  <si>
    <t xml:space="preserve">Кабель контрольный КГВЭВнг(А)-LS  5х 1.0-0.66 </t>
  </si>
  <si>
    <t xml:space="preserve">0,760 </t>
  </si>
  <si>
    <t xml:space="preserve">207 996,00 </t>
  </si>
  <si>
    <t>51.2</t>
  </si>
  <si>
    <t>51.3</t>
  </si>
  <si>
    <t>52.1</t>
  </si>
  <si>
    <t xml:space="preserve">Кабель силовой ВВГнг(А)-LS   </t>
  </si>
  <si>
    <t xml:space="preserve">Кабель силовой ВВГнг(А)-LS   3х 2.5ок(N,PE)-0.66 </t>
  </si>
  <si>
    <t xml:space="preserve">0,300 </t>
  </si>
  <si>
    <t xml:space="preserve">107 568,00 </t>
  </si>
  <si>
    <t>52.2</t>
  </si>
  <si>
    <t>52.3</t>
  </si>
  <si>
    <t>53.1</t>
  </si>
  <si>
    <t xml:space="preserve">Провод силовой ПуГВнг(А)-LS  </t>
  </si>
  <si>
    <t xml:space="preserve">Провод силовой ПуГВнг(А)-LS  1х 6(PE) </t>
  </si>
  <si>
    <t xml:space="preserve">88 428,00 </t>
  </si>
  <si>
    <t>53.2</t>
  </si>
  <si>
    <t>53.3</t>
  </si>
  <si>
    <t>54.1</t>
  </si>
  <si>
    <t>Витая пара экранированная не распространяющяя горение</t>
  </si>
  <si>
    <t>Витая пара F/UTP 4PR 24AWG Cat.5e LSZH(LSOH) экранированная не распространяющяя горение</t>
  </si>
  <si>
    <t>54.2</t>
  </si>
  <si>
    <t>54.3</t>
  </si>
  <si>
    <t>55.1</t>
  </si>
  <si>
    <t xml:space="preserve">Металлорукав в ПВХ изоляции РЗ-ЦП нг-LS 15 </t>
  </si>
  <si>
    <t>Металлорукав в ПВХ изоляции РЗ-ЦП нг-LS 15 (50 м) с протяжкой</t>
  </si>
  <si>
    <t>55.2</t>
  </si>
  <si>
    <t>55.3</t>
  </si>
  <si>
    <t>56.1</t>
  </si>
  <si>
    <t xml:space="preserve">Металлорукав в ПВХ изоляции РЗ-ЦП нг-LS 20 </t>
  </si>
  <si>
    <t>Металлорукав в ПВХ изоляции РЗ-ЦП нг-LS 20 (50 м) с протяжкой</t>
  </si>
  <si>
    <t>56.2</t>
  </si>
  <si>
    <t>56.3</t>
  </si>
  <si>
    <t>57.1</t>
  </si>
  <si>
    <t>Скоба двухлапковая СД 14-15</t>
  </si>
  <si>
    <t>57.2</t>
  </si>
  <si>
    <t>57.3</t>
  </si>
  <si>
    <t>58.1</t>
  </si>
  <si>
    <t>Скоба двухлапковая СД 25-26</t>
  </si>
  <si>
    <t>58.2</t>
  </si>
  <si>
    <t>58.3</t>
  </si>
  <si>
    <t>59.1</t>
  </si>
  <si>
    <t>Стяжка кабельная PRNS 150х3,5 черная атмосферостойкая (100 шт)</t>
  </si>
  <si>
    <t>59.2</t>
  </si>
  <si>
    <t>59.3</t>
  </si>
  <si>
    <t>60.1</t>
  </si>
  <si>
    <t>Стяжка кабельная нейлоновая PRNS 290x4.8 черная атмосферостойкая (100ш</t>
  </si>
  <si>
    <t>Стяжка кабельная нейлоновая PRNS 290x4.8 черная атмосферостойкая (100шт.)</t>
  </si>
  <si>
    <t>60.2</t>
  </si>
  <si>
    <t>60.3</t>
  </si>
  <si>
    <t>61.1</t>
  </si>
  <si>
    <t>Стяжки стальные с полимерным покрытием СКС-П (304) 4,6*300 FORTISFLEX</t>
  </si>
  <si>
    <t>61.2</t>
  </si>
  <si>
    <t>61.3</t>
  </si>
  <si>
    <t>62.1</t>
  </si>
  <si>
    <t xml:space="preserve">Наконечник НШВИ </t>
  </si>
  <si>
    <t>Наконечник НШВИ 1.0-12</t>
  </si>
  <si>
    <t>62.2</t>
  </si>
  <si>
    <t>62.3</t>
  </si>
  <si>
    <t>63.1</t>
  </si>
  <si>
    <t>Наконечник ТМЛ 16-6-6 луженый</t>
  </si>
  <si>
    <t>63.2</t>
  </si>
  <si>
    <t>63.3</t>
  </si>
  <si>
    <t>64.1</t>
  </si>
  <si>
    <t>Трубка термоусадочная ТТУ 40/20 черная 1м GENERICA</t>
  </si>
  <si>
    <t>64.2</t>
  </si>
  <si>
    <t>64.3</t>
  </si>
  <si>
    <t>65.1</t>
  </si>
  <si>
    <t>U-образный болт оцинкованный 1 '' М8</t>
  </si>
  <si>
    <t>65.2</t>
  </si>
  <si>
    <t>65.3</t>
  </si>
  <si>
    <t>66.1</t>
  </si>
  <si>
    <t>Трос 4,0 мм стальной оцинкованный (20м)</t>
  </si>
  <si>
    <t>66.2</t>
  </si>
  <si>
    <t>66.3</t>
  </si>
  <si>
    <t>67.1</t>
  </si>
  <si>
    <t>СОЕДИНИТЕЛЬ ДЛЯ ТРОСА А4 DIN741 ART.400-03E нержавейка</t>
  </si>
  <si>
    <t>67.2</t>
  </si>
  <si>
    <t>67.3</t>
  </si>
  <si>
    <t>68.1</t>
  </si>
  <si>
    <t>68.2</t>
  </si>
  <si>
    <t>68.3</t>
  </si>
  <si>
    <t>69.1</t>
  </si>
  <si>
    <t>Хомут трубный ТХК комплект 1 1/4'' (39-46мм) М8 (Fortisflex)</t>
  </si>
  <si>
    <t>69.2</t>
  </si>
  <si>
    <t>69.3</t>
  </si>
  <si>
    <t>70.1</t>
  </si>
  <si>
    <t>Шпилька DIN 976-1 М8х1000 резьбовая покрытие цинк</t>
  </si>
  <si>
    <t>70.2</t>
  </si>
  <si>
    <t>70.3</t>
  </si>
  <si>
    <t>71.1</t>
  </si>
  <si>
    <t>Резьбовой крепежный элемент с внутренней резьбой РКв-20 У2 IP54</t>
  </si>
  <si>
    <t>71.2</t>
  </si>
  <si>
    <t>71.3</t>
  </si>
  <si>
    <t>72.1</t>
  </si>
  <si>
    <t>72.2</t>
  </si>
  <si>
    <t>72.3</t>
  </si>
  <si>
    <t>73.1</t>
  </si>
  <si>
    <t>0,90</t>
  </si>
  <si>
    <t>232,00</t>
  </si>
  <si>
    <t>73.2</t>
  </si>
  <si>
    <t>73.3</t>
  </si>
  <si>
    <t>74.1</t>
  </si>
  <si>
    <t>Эмаль ПФ-115 Faktor черная</t>
  </si>
  <si>
    <t>0,91</t>
  </si>
  <si>
    <t>190,00</t>
  </si>
  <si>
    <t>74.2</t>
  </si>
  <si>
    <t>74.3</t>
  </si>
  <si>
    <t>75.1</t>
  </si>
  <si>
    <t>Пена монтажная профессиональная</t>
  </si>
  <si>
    <t>0,93</t>
  </si>
  <si>
    <t>831,00</t>
  </si>
  <si>
    <t>75.2</t>
  </si>
  <si>
    <t>75.3</t>
  </si>
  <si>
    <t>76.1</t>
  </si>
  <si>
    <t xml:space="preserve">Шпаклевка полимерная </t>
  </si>
  <si>
    <t>534,00</t>
  </si>
  <si>
    <t>76.2</t>
  </si>
  <si>
    <t>76.3</t>
  </si>
  <si>
    <t>77.1</t>
  </si>
  <si>
    <t xml:space="preserve">Труба стальная водогазопроводная оцинкованная </t>
  </si>
  <si>
    <t>1 008,00</t>
  </si>
  <si>
    <t>77.2</t>
  </si>
  <si>
    <t>77.3</t>
  </si>
  <si>
    <t>78.1</t>
  </si>
  <si>
    <t>Труба стальная</t>
  </si>
  <si>
    <t>1 300,00</t>
  </si>
  <si>
    <t>78.2</t>
  </si>
  <si>
    <t>78.3</t>
  </si>
  <si>
    <t>79.1</t>
  </si>
  <si>
    <t>75,51</t>
  </si>
  <si>
    <t>79.2</t>
  </si>
  <si>
    <t>79.3</t>
  </si>
  <si>
    <t>80.1</t>
  </si>
  <si>
    <t xml:space="preserve">Клапан СЕНС-ПФ </t>
  </si>
  <si>
    <t>Клапан СЕНС-ПФ DN15PN25-24В-СВ-G1/2-0</t>
  </si>
  <si>
    <t>61 400</t>
  </si>
  <si>
    <t>19.03.2024</t>
  </si>
  <si>
    <t>80.2</t>
  </si>
  <si>
    <t>80.3</t>
  </si>
  <si>
    <t>ТЦ_ 61.2.04.02_67_997350001_27.02.2024_2</t>
  </si>
  <si>
    <t>ТЦ_61.2.04.02_0_3210321_444_2</t>
  </si>
  <si>
    <t>ТЦ_61.2.04.02_0_789789_555_2</t>
  </si>
  <si>
    <t>ТЦ_61.2.04.02_67_997350001_27.02.2024_2</t>
  </si>
  <si>
    <t>ТЦ_18.1.10.01_67_673201001_27.02.2024_2</t>
  </si>
  <si>
    <t>ТЦ_18.1.10.01_0_3210321_444_2</t>
  </si>
  <si>
    <t>ТЦ_18.1.10.01_0_789789_555_2</t>
  </si>
  <si>
    <t>ТЦ_18.1.11.05_67_673201001_27.02.2024_2</t>
  </si>
  <si>
    <t>ТЦ_18.1.11.05_0_3210321_444_2</t>
  </si>
  <si>
    <t>ТЦ_18.1.11.05_0_789789_555_2</t>
  </si>
  <si>
    <t>ТЦ_18.2.03.02_67_997350001_27.02.2024_2</t>
  </si>
  <si>
    <t>ТЦ_18.2.03.02_0_3210321_444_2</t>
  </si>
  <si>
    <t>ТЦ_18.2.03.02_0_789789_555_2</t>
  </si>
  <si>
    <t>ТЦ_01.3.02.0_67_673201001_27.02.2024_2</t>
  </si>
  <si>
    <t>ТЦ_01.3.02.0_0_3210321_444_2</t>
  </si>
  <si>
    <t>ТЦ_01.3.02.0_0_789789_555_2</t>
  </si>
  <si>
    <t>ТЦ_01.3.02.09_67_997350001_27.02.2024_2</t>
  </si>
  <si>
    <t>ТЦ_01.3.02.09_0_3210321_444_2</t>
  </si>
  <si>
    <t>ТЦ_01.3.02.09_0_789789_555_2</t>
  </si>
  <si>
    <t>ТЦ_61.2.04.02_78_780201001_07.03.2024_1</t>
  </si>
  <si>
    <t>ТЦ_20.5.02.03_78_780601001_04.03.2024_1</t>
  </si>
  <si>
    <t>ТЦ_20.5.02.03_0_3210321_444_2</t>
  </si>
  <si>
    <t>ТЦ_20.5.02.03_0_789789_555_2</t>
  </si>
  <si>
    <t>ТЦ_20.2.03.04_78_780601001_05.03.2024_1</t>
  </si>
  <si>
    <t>ТЦ_20.2.03.04_0_3210321_444_2</t>
  </si>
  <si>
    <t>ТЦ_20.2.03.04_0_789789_555_2</t>
  </si>
  <si>
    <t>ТЦ_61.2.04.07_78_780601001_04.03.2024_1</t>
  </si>
  <si>
    <t>ТЦ_61.2.04.07_0_3210321_444_2</t>
  </si>
  <si>
    <t>ТЦ_61.2.04.07_0_789789_555_2</t>
  </si>
  <si>
    <t>ТЦ_20.4.04.01_78_780601001_04.03.2024_1</t>
  </si>
  <si>
    <t>ТЦ_20.4.04.01_0_3210321_444_2</t>
  </si>
  <si>
    <t>ТЦ_20.4.04.01_0_789789_555_2</t>
  </si>
  <si>
    <t>ТЦ_20.5.02.03_78_780601001_27.02.2024_1</t>
  </si>
  <si>
    <t>ТЦ_61.2.04.07_78_780601001_27.02.2024_1</t>
  </si>
  <si>
    <t>ТЦ_20.4.04.02_78_783901001_05.03.2024 _2</t>
  </si>
  <si>
    <t>ТЦ_20.4.04.02_0_3210321_444_2</t>
  </si>
  <si>
    <t>ТЦ_20.4.04.02_0_789789_555_2</t>
  </si>
  <si>
    <t>ТЦ_25.2.01.01_78_783901001_05.03.2024 _2</t>
  </si>
  <si>
    <t>ТЦ_25.2.01.01_0_3210321_444_2</t>
  </si>
  <si>
    <t>ТЦ_25.2.01.01_0_789789_555_2</t>
  </si>
  <si>
    <t>ТЦ_21.1.08.03_50_503601001_05.03.2024 _2</t>
  </si>
  <si>
    <t>ТЦ_21.1.08.03_0_3210321_444_2</t>
  </si>
  <si>
    <t>ТЦ_21.1.08.03_0_789789_555_2</t>
  </si>
  <si>
    <t>ТЦ_21.1.02.01_50_503601001_05.03.2024 _2</t>
  </si>
  <si>
    <t>ТЦ_21.1.02.01_0_3210321_444_2</t>
  </si>
  <si>
    <t>ТЦ_21.1.02.01_0_789789_555_2</t>
  </si>
  <si>
    <t>ТЦ_21.2.03.04_50_503601001_05.03.2024 _2</t>
  </si>
  <si>
    <t>ТЦ_21.2.03.04_0_3210321_444_2</t>
  </si>
  <si>
    <t>ТЦ_21.2.03.04_0_789789_555_2</t>
  </si>
  <si>
    <t>ТЦ_21.1.04.01_78_780401001_06.03.2024_2</t>
  </si>
  <si>
    <t>ТЦ_21.1.04.01_0_3210321_444_2</t>
  </si>
  <si>
    <t>ТЦ_21.1.04.01_0_789789_555_2</t>
  </si>
  <si>
    <t>ТЦ_08.1.02.13_78_780401001_06.03.2024_2</t>
  </si>
  <si>
    <t>ТЦ_08.1.02.13_0_3210321_444_2</t>
  </si>
  <si>
    <t>ТЦ_08.1.02.13_0_789789_555_2</t>
  </si>
  <si>
    <t>ТЦ_20.2.03.17_78_780401001_06.03.2024_2</t>
  </si>
  <si>
    <t>ТЦ_20.2.03.17_0_3210321_444_2</t>
  </si>
  <si>
    <t>ТЦ_20.2.03.17_0_789789_555_2</t>
  </si>
  <si>
    <t>ТЦ_20.1.02.18_78_780401001_06.03.2024_2</t>
  </si>
  <si>
    <t>ТЦ_20.1.02.18_0_3210321_444_2</t>
  </si>
  <si>
    <t>ТЦ_20.1.02.18_0_789789_555_2</t>
  </si>
  <si>
    <t>ТЦ_20.2.10.04_78_780401001_06.03.2024_2</t>
  </si>
  <si>
    <t>ТЦ_20.2.10.04_0_3210321_444_2</t>
  </si>
  <si>
    <t>ТЦ_20.2.10.04_0_789789_555_2</t>
  </si>
  <si>
    <t>ТЦ_18.5.07.04_78_780401001_06.03.2024_2</t>
  </si>
  <si>
    <t>ТЦ_18.5.07.04_0_3210321_444_2</t>
  </si>
  <si>
    <t>ТЦ_18.5.07.04_0_789789_555_2</t>
  </si>
  <si>
    <t>ТЦ_25.1.04.01_78_780401001_06.03.2024_2</t>
  </si>
  <si>
    <t>ТЦ_25.1.04.01_0_3210321_444_2</t>
  </si>
  <si>
    <t>ТЦ_25.1.04.01_0_789789_555_2</t>
  </si>
  <si>
    <t>ТЦ_20.1.02.19_78_780401001_06.03.2024_2</t>
  </si>
  <si>
    <t>ТЦ_20.1.02.19_0_3210321_444_2</t>
  </si>
  <si>
    <t>ТЦ_20.1.02.19_0_789789_555_2</t>
  </si>
  <si>
    <t>ТЦ_25.1.06.21_78_780401001_06.03.2024_2</t>
  </si>
  <si>
    <t>ТЦ_25.1.06.21_0_3210321_444_2</t>
  </si>
  <si>
    <t>ТЦ_25.1.06.21_0_789789_555_2</t>
  </si>
  <si>
    <t>ТЦ_20.1.01.04_78_780401001_06.03.2024_2</t>
  </si>
  <si>
    <t>ТЦ_20.1.01.04_0_3210321_444_2</t>
  </si>
  <si>
    <t>ТЦ_20.1.01.04_0_789789_555_2</t>
  </si>
  <si>
    <t>ТЦ_24.1.02.01_78_780401001_06.03.2024_2</t>
  </si>
  <si>
    <t>ТЦ_24.1.02.01_0_3210321_444_2</t>
  </si>
  <si>
    <t>ТЦ_24.1.02.01_0_789789_555_2</t>
  </si>
  <si>
    <t>ТЦ_01.7.15.12_78_780401001_06.03.2024_2</t>
  </si>
  <si>
    <t>ТЦ_01.7.15.12_0_3210321_444_2</t>
  </si>
  <si>
    <t>ТЦ_01.7.15.12_0_789789_555_2</t>
  </si>
  <si>
    <t>ТЦ_07.2.06.04_78_780401001_06.03.2024_2</t>
  </si>
  <si>
    <t>ТЦ_07.2.06.04_0_3210321_444_2</t>
  </si>
  <si>
    <t>ТЦ_07.2.06.04_0_789789_555_2</t>
  </si>
  <si>
    <t>ТЦ_01.2.03.02_78_997350001_06.03.2024_</t>
  </si>
  <si>
    <t>ТЦ_01.2.03.02_0_3210321_444_2</t>
  </si>
  <si>
    <t>ТЦ_01.2.03.02_0_789789_555_2</t>
  </si>
  <si>
    <t>ТЦ_14.4.04.03_78_997350001_06.03.2024_</t>
  </si>
  <si>
    <t>ТЦ_14.4.04.03_0_3210321_444_2</t>
  </si>
  <si>
    <t>ТЦ_14.4.04.03_0_789789_555_2</t>
  </si>
  <si>
    <t>ТЦ_14.5.01.10_78_997350001_06.03.2024_</t>
  </si>
  <si>
    <t>ТЦ_14.5.01.10_0_3210321_444_2</t>
  </si>
  <si>
    <t>ТЦ_14.5.01.10_0_789789_555_2</t>
  </si>
  <si>
    <t>ТЦ_14.5.11.09_78_997350001_06.03.2024_</t>
  </si>
  <si>
    <t>ТЦ_14.5.11.09_0_3210321_444_2</t>
  </si>
  <si>
    <t>ТЦ_14.5.11.09_0_789789_555_2</t>
  </si>
  <si>
    <t>ТЦ_23.3.09.01_78_997350001_06.03.2024_</t>
  </si>
  <si>
    <t>ТЦ_23.3.09.01_0_3210321_444_2</t>
  </si>
  <si>
    <t>ТЦ_23.3.09.01_0_789789_555_2</t>
  </si>
  <si>
    <t>ТЦ_25.1.03.07_0_772401001_45358_2</t>
  </si>
  <si>
    <t>ТЦ_25.1.03.07_0_3210321_444_2</t>
  </si>
  <si>
    <t>ТЦ_25.1.03.07_0_789789_555_2</t>
  </si>
  <si>
    <t>ТЦ_18.1.06.02_58_583801001_19.03.2024_2</t>
  </si>
  <si>
    <t>ТЦ_18.1.06.02_0_3210321_444_2</t>
  </si>
  <si>
    <t>ТЦ_18.1.06.02_0_789789_555_2</t>
  </si>
  <si>
    <t>Скоба К1157</t>
  </si>
  <si>
    <t>К1157, крепление к стене (скоба) (цинк)</t>
  </si>
  <si>
    <t xml:space="preserve"> 26.1.02.06</t>
  </si>
  <si>
    <t>81.1</t>
  </si>
  <si>
    <t>81.2</t>
  </si>
  <si>
    <t>81.3</t>
  </si>
  <si>
    <t>К1161А, полка 250 мм S2.0 (цинк)</t>
  </si>
  <si>
    <t xml:space="preserve"> 20.2.03.13</t>
  </si>
  <si>
    <t>К1151А, стойка 600 мм S2.5 (цинк)</t>
  </si>
  <si>
    <t>81.1.1</t>
  </si>
  <si>
    <t>81.1.2</t>
  </si>
  <si>
    <t>81.1.3</t>
  </si>
  <si>
    <t>КФС20 200х50 S1.2, секция спуска замковая</t>
  </si>
  <si>
    <t>АО "ЧИП и ДИП"</t>
  </si>
  <si>
    <t>info@chipdip.ru</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</si>
</sst>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6"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
      <b/>
      <sz val="10"/>
      <color rgb="FF333333"/>
      <name val="Arial"/>
      <family val="2"/>
      <charset val="204"/>
    </font>
    <font>
      <sz val="10"/>
      <color theme="1"/>
      <name val="Calibri"/>
      <family val="2"/>
      <charset val="204"/>
      <scheme val="minor"/>
    </font>
    <font>
      <sz val="10"/>
      <name val="Arial"/>
      <family val="2"/>
      <charset val="204"/>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7">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0" fontId="13" fillId="5" borderId="0" xfId="0" applyFont="1" applyFill="1" applyAlignment="1">
      <alignment horizontal="center" vertical="center" wrapText="1" readingOrder="1"/>
    </xf>
    <xf numFmtId="0" fontId="14" fillId="0" borderId="0" xfId="0" applyFont="1"/>
    <xf numFmtId="0" fontId="15" fillId="0" borderId="3" xfId="0" applyFont="1" applyFill="1" applyBorder="1" applyAlignment="1">
      <alignment horizontal="center" vertical="center" wrapText="1" readingOrder="1"/>
    </xf>
    <xf numFmtId="0" fontId="14"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0" fillId="0" borderId="3" xfId="0" applyBorder="1"/>
    <xf numFmtId="0" fontId="0" fillId="4" borderId="3" xfId="0" applyFill="1" applyBorder="1"/>
  </cellXfs>
  <cellStyles count="6">
    <cellStyle name="ContentStyle" xfId="3"/>
    <cellStyle name="FooterStyle" xfId="5"/>
    <cellStyle name="HeadingStyle" xfId="2"/>
    <cellStyle name="Денежный" xfId="1" builtinId="4"/>
    <cellStyle name="Обычный" xfId="0" builtinId="0"/>
    <cellStyle name="Обычный 2" xfId="4"/>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3" name="Countries" displayName="Countries" ref="A1:B1166" totalsRowShown="0" headerRowDxfId="44" dataDxfId="43">
  <autoFilter ref="A1:B1166"/>
  <sortState ref="A2:B1166">
    <sortCondition ref="A1:A1166"/>
  </sortState>
  <tableColumns count="2">
    <tableColumn id="1" name="Город" dataDxfId="42"/>
    <tableColumn id="2" name="Код" dataDxfId="41"/>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16" totalsRowShown="0" headerRowDxfId="40" dataDxfId="38" headerRowBorderDxfId="39" tableBorderDxfId="37" totalsRowBorderDxfId="36">
  <autoFilter ref="A1:F16"/>
  <tableColumns count="6">
    <tableColumn id="1" name="Наименование" dataDxfId="35"/>
    <tableColumn id="2" name="ИНН" dataDxfId="34"/>
    <tableColumn id="3" name="КПП" dataDxfId="33"/>
    <tableColumn id="4" name="URL" dataDxfId="32"/>
    <tableColumn id="5" name="Город" dataDxfId="31"/>
    <tableColumn id="6" name="П/П" dataDxfId="30"/>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29" headerRowCellStyle="HeadingStyle">
  <sortState ref="A2:A2180">
    <sortCondition ref="A1:A2180"/>
  </sortState>
  <tableColumns count="1">
    <tableColumn id="2" name="Группы" dataDxfId="28"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info@nppsensor.ru" TargetMode="External"/><Relationship Id="rId7" Type="http://schemas.openxmlformats.org/officeDocument/2006/relationships/table" Target="../tables/table2.xm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6" Type="http://schemas.openxmlformats.org/officeDocument/2006/relationships/hyperlink" Target="mailto:info@chipdip.ru" TargetMode="External"/><Relationship Id="rId5" Type="http://schemas.openxmlformats.org/officeDocument/2006/relationships/hyperlink" Target="mailto:info@sks.spb.ru" TargetMode="External"/><Relationship Id="rId4" Type="http://schemas.openxmlformats.org/officeDocument/2006/relationships/hyperlink" Target="mailto:info@petrovich.ru"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9" t="s">
        <v>0</v>
      </c>
      <c r="B2" s="49"/>
      <c r="C2" s="49"/>
      <c r="D2" s="49"/>
      <c r="E2" s="49"/>
      <c r="F2" s="49"/>
      <c r="G2" s="49"/>
      <c r="H2" s="49"/>
      <c r="I2" s="49"/>
      <c r="J2" s="49"/>
      <c r="K2" s="49"/>
      <c r="L2" s="49"/>
      <c r="M2" s="49"/>
      <c r="N2" s="49"/>
      <c r="O2" s="49"/>
      <c r="P2" s="49"/>
      <c r="Q2" s="49"/>
      <c r="R2" s="49"/>
      <c r="S2" s="49"/>
      <c r="T2" s="49"/>
      <c r="U2" s="49"/>
    </row>
    <row r="3" spans="1:23" ht="14.45" customHeight="1" x14ac:dyDescent="0.25">
      <c r="A3" s="50"/>
      <c r="B3" s="50"/>
      <c r="C3" s="50"/>
      <c r="D3" s="50"/>
      <c r="E3" s="50"/>
      <c r="F3" s="50"/>
      <c r="G3" s="50"/>
      <c r="H3" s="50"/>
      <c r="I3" s="50"/>
      <c r="J3" s="50"/>
      <c r="K3" s="50"/>
      <c r="L3" s="50"/>
      <c r="M3" s="50"/>
      <c r="N3" s="50"/>
      <c r="O3" s="50"/>
      <c r="P3" s="50"/>
      <c r="Q3" s="50"/>
      <c r="R3" s="50"/>
      <c r="S3" s="50"/>
      <c r="T3" s="50"/>
      <c r="U3" s="50"/>
    </row>
    <row r="4" spans="1:23" ht="14.45" customHeight="1" x14ac:dyDescent="0.25">
      <c r="A4" s="51" t="s">
        <v>1</v>
      </c>
      <c r="B4" s="51"/>
      <c r="C4" s="51"/>
      <c r="D4" s="51"/>
      <c r="E4" s="51"/>
      <c r="F4" s="51"/>
      <c r="G4" s="51"/>
      <c r="H4" s="51"/>
      <c r="I4" s="51"/>
      <c r="J4" s="51"/>
      <c r="K4" s="51"/>
      <c r="L4" s="51"/>
      <c r="M4" s="51"/>
      <c r="N4" s="51"/>
      <c r="O4" s="51"/>
      <c r="P4" s="51"/>
      <c r="Q4" s="51"/>
      <c r="R4" s="51"/>
      <c r="S4" s="51"/>
      <c r="T4" s="51"/>
      <c r="U4" s="51"/>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2" t="s">
        <v>2</v>
      </c>
      <c r="B6" s="52"/>
      <c r="C6" s="52"/>
      <c r="D6" s="52"/>
      <c r="E6" s="52"/>
      <c r="F6" s="52"/>
      <c r="G6" s="52"/>
      <c r="H6" s="52"/>
      <c r="I6" s="52"/>
      <c r="J6" s="52"/>
      <c r="K6" s="52"/>
      <c r="L6" s="52"/>
      <c r="M6" s="52"/>
      <c r="N6" s="52"/>
      <c r="O6" s="52"/>
      <c r="P6" s="52"/>
      <c r="Q6" s="52"/>
      <c r="R6" s="52"/>
      <c r="S6" s="52"/>
      <c r="T6" s="52"/>
      <c r="U6" s="52"/>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3" t="s">
        <v>3</v>
      </c>
      <c r="B8" s="53"/>
      <c r="C8" s="53"/>
      <c r="D8" s="53"/>
      <c r="E8" s="53"/>
      <c r="F8" s="53"/>
      <c r="G8" s="53"/>
      <c r="H8" s="53"/>
      <c r="I8" s="53"/>
      <c r="J8" s="53"/>
      <c r="K8" s="53"/>
      <c r="L8" s="53"/>
      <c r="M8" s="53"/>
      <c r="N8" s="53"/>
      <c r="O8" s="53"/>
      <c r="P8" s="53"/>
      <c r="Q8" s="53"/>
      <c r="R8" s="53"/>
      <c r="S8" s="53"/>
      <c r="T8" s="53"/>
      <c r="U8" s="53"/>
    </row>
    <row r="9" spans="1:23" ht="14.45" customHeight="1" x14ac:dyDescent="0.25">
      <c r="A9" s="54" t="s">
        <v>4</v>
      </c>
      <c r="B9" s="54"/>
      <c r="C9" s="54"/>
      <c r="D9" s="54"/>
      <c r="E9" s="54"/>
      <c r="F9" s="54"/>
      <c r="G9" s="54"/>
      <c r="H9" s="54"/>
      <c r="I9" s="54"/>
      <c r="J9" s="54"/>
      <c r="K9" s="54"/>
      <c r="L9" s="54"/>
      <c r="M9" s="54"/>
      <c r="N9" s="54"/>
      <c r="O9" s="54"/>
      <c r="P9" s="54"/>
      <c r="Q9" s="54"/>
      <c r="R9" s="54"/>
      <c r="S9" s="54"/>
      <c r="T9" s="54"/>
      <c r="U9" s="54"/>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6" t="s">
        <v>5</v>
      </c>
      <c r="B11" s="45" t="s">
        <v>6</v>
      </c>
      <c r="C11" s="22"/>
      <c r="D11" s="24"/>
      <c r="E11" s="22"/>
      <c r="F11" s="22"/>
      <c r="G11" s="23"/>
      <c r="H11" s="47" t="s">
        <v>12</v>
      </c>
      <c r="I11" s="47" t="s">
        <v>13</v>
      </c>
      <c r="J11" s="47" t="s">
        <v>14</v>
      </c>
      <c r="K11" s="47"/>
      <c r="L11" s="47" t="s">
        <v>15</v>
      </c>
      <c r="M11" s="45" t="s">
        <v>16</v>
      </c>
      <c r="N11" s="45" t="s">
        <v>17</v>
      </c>
      <c r="O11" s="45" t="s">
        <v>18</v>
      </c>
      <c r="P11" s="45" t="s">
        <v>19</v>
      </c>
      <c r="Q11" s="45" t="s">
        <v>20</v>
      </c>
      <c r="R11" s="48" t="s">
        <v>21</v>
      </c>
      <c r="S11" s="45" t="s">
        <v>22</v>
      </c>
      <c r="T11" s="45" t="s">
        <v>23</v>
      </c>
      <c r="U11" s="22"/>
    </row>
    <row r="12" spans="1:23" ht="227.45" customHeight="1" x14ac:dyDescent="0.25">
      <c r="A12" s="46"/>
      <c r="B12" s="45"/>
      <c r="C12" s="22" t="s">
        <v>7</v>
      </c>
      <c r="D12" s="24" t="s">
        <v>8</v>
      </c>
      <c r="E12" s="22" t="s">
        <v>9</v>
      </c>
      <c r="F12" s="22" t="s">
        <v>10</v>
      </c>
      <c r="G12" s="23" t="s">
        <v>11</v>
      </c>
      <c r="H12" s="47"/>
      <c r="I12" s="47"/>
      <c r="J12" s="18" t="s">
        <v>25</v>
      </c>
      <c r="K12" s="18" t="s">
        <v>26</v>
      </c>
      <c r="L12" s="47"/>
      <c r="M12" s="45"/>
      <c r="N12" s="45"/>
      <c r="O12" s="45"/>
      <c r="P12" s="45"/>
      <c r="Q12" s="45"/>
      <c r="R12" s="48"/>
      <c r="S12" s="45"/>
      <c r="T12" s="45"/>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sheetProtection sheet="1" objects="1" scenarios="1"/>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Y13"/>
  <sheetViews>
    <sheetView tabSelected="1" topLeftCell="A7" workbookViewId="0">
      <selection activeCell="I17" sqref="I17"/>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x14ac:dyDescent="0.25">
      <c r="A2" s="49" t="s">
        <v>3553</v>
      </c>
      <c r="B2" s="49"/>
      <c r="C2" s="49"/>
      <c r="D2" s="49"/>
      <c r="E2" s="49"/>
      <c r="F2" s="49"/>
      <c r="G2" s="49"/>
      <c r="H2" s="49"/>
      <c r="I2" s="49"/>
      <c r="J2" s="49"/>
      <c r="K2" s="49"/>
      <c r="L2" s="49"/>
      <c r="M2" s="49"/>
      <c r="N2" s="49"/>
      <c r="O2" s="49"/>
      <c r="P2" s="49"/>
      <c r="Q2" s="49"/>
      <c r="R2" s="49"/>
      <c r="S2" s="49"/>
      <c r="T2" s="49"/>
      <c r="U2" s="49"/>
    </row>
    <row r="3" spans="1:25" x14ac:dyDescent="0.25">
      <c r="A3" s="50"/>
      <c r="B3" s="50"/>
      <c r="C3" s="50"/>
      <c r="D3" s="50"/>
      <c r="E3" s="50"/>
      <c r="F3" s="50"/>
      <c r="G3" s="50"/>
      <c r="H3" s="50"/>
      <c r="I3" s="50"/>
      <c r="J3" s="50"/>
      <c r="K3" s="50"/>
      <c r="L3" s="50"/>
      <c r="M3" s="50"/>
      <c r="N3" s="50"/>
      <c r="O3" s="50"/>
      <c r="P3" s="50"/>
      <c r="Q3" s="50"/>
      <c r="R3" s="50"/>
      <c r="S3" s="50"/>
      <c r="T3" s="50"/>
      <c r="U3" s="50"/>
    </row>
    <row r="4" spans="1:25" x14ac:dyDescent="0.25">
      <c r="A4" s="51" t="s">
        <v>1</v>
      </c>
      <c r="B4" s="51"/>
      <c r="C4" s="51"/>
      <c r="D4" s="51"/>
      <c r="E4" s="51"/>
      <c r="F4" s="51"/>
      <c r="G4" s="51"/>
      <c r="H4" s="51"/>
      <c r="I4" s="51"/>
      <c r="J4" s="51"/>
      <c r="K4" s="51"/>
      <c r="L4" s="51"/>
      <c r="M4" s="51"/>
      <c r="N4" s="51"/>
      <c r="O4" s="51"/>
      <c r="P4" s="51"/>
      <c r="Q4" s="51"/>
      <c r="R4" s="51"/>
      <c r="S4" s="51"/>
      <c r="T4" s="51"/>
      <c r="U4" s="51"/>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52" t="s">
        <v>2</v>
      </c>
      <c r="B6" s="52"/>
      <c r="C6" s="52"/>
      <c r="D6" s="52"/>
      <c r="E6" s="52"/>
      <c r="F6" s="52"/>
      <c r="G6" s="52"/>
      <c r="H6" s="52"/>
      <c r="I6" s="52"/>
      <c r="J6" s="52"/>
      <c r="K6" s="52"/>
      <c r="L6" s="52"/>
      <c r="M6" s="52"/>
      <c r="N6" s="52"/>
      <c r="O6" s="52"/>
      <c r="P6" s="52"/>
      <c r="Q6" s="52"/>
      <c r="R6" s="52"/>
      <c r="S6" s="52"/>
      <c r="T6" s="52"/>
      <c r="U6" s="52"/>
    </row>
    <row r="7" spans="1:25" ht="18.75" x14ac:dyDescent="0.25">
      <c r="A7" s="9"/>
      <c r="B7" s="43"/>
      <c r="C7" s="43"/>
      <c r="D7" s="43"/>
      <c r="E7" s="11"/>
      <c r="F7" s="43"/>
      <c r="G7" s="43"/>
      <c r="H7" s="12"/>
      <c r="I7" s="12"/>
      <c r="J7" s="12"/>
      <c r="K7" s="12"/>
      <c r="L7" s="12"/>
      <c r="M7" s="12"/>
      <c r="N7" s="43"/>
      <c r="O7" s="43"/>
      <c r="P7" s="43"/>
      <c r="Q7" s="43"/>
      <c r="R7" s="43"/>
      <c r="S7" s="13"/>
      <c r="T7" s="43"/>
      <c r="U7" s="43"/>
    </row>
    <row r="8" spans="1:25" ht="15.75" x14ac:dyDescent="0.25">
      <c r="A8" s="53" t="s">
        <v>3554</v>
      </c>
      <c r="B8" s="53"/>
      <c r="C8" s="53"/>
      <c r="D8" s="53"/>
      <c r="E8" s="53"/>
      <c r="F8" s="53"/>
      <c r="G8" s="53"/>
      <c r="H8" s="53"/>
      <c r="I8" s="53"/>
      <c r="J8" s="53"/>
      <c r="K8" s="53"/>
      <c r="L8" s="53"/>
      <c r="M8" s="53"/>
      <c r="N8" s="53"/>
      <c r="O8" s="53"/>
      <c r="P8" s="53"/>
      <c r="Q8" s="53"/>
      <c r="R8" s="53"/>
      <c r="S8" s="53"/>
      <c r="T8" s="53"/>
      <c r="U8" s="53"/>
    </row>
    <row r="9" spans="1:25" x14ac:dyDescent="0.25">
      <c r="A9" s="54" t="s">
        <v>4</v>
      </c>
      <c r="B9" s="54"/>
      <c r="C9" s="54"/>
      <c r="D9" s="54"/>
      <c r="E9" s="54"/>
      <c r="F9" s="54"/>
      <c r="G9" s="54"/>
      <c r="H9" s="54"/>
      <c r="I9" s="54"/>
      <c r="J9" s="54"/>
      <c r="K9" s="54"/>
      <c r="L9" s="54"/>
      <c r="M9" s="54"/>
      <c r="N9" s="54"/>
      <c r="O9" s="54"/>
      <c r="P9" s="54"/>
      <c r="Q9" s="54"/>
      <c r="R9" s="54"/>
      <c r="S9" s="54"/>
      <c r="T9" s="54"/>
      <c r="U9" s="54"/>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x14ac:dyDescent="0.25">
      <c r="A11" s="46" t="s">
        <v>5</v>
      </c>
      <c r="B11" s="45" t="s">
        <v>6</v>
      </c>
      <c r="C11" s="22"/>
      <c r="D11" s="24"/>
      <c r="E11" s="22"/>
      <c r="F11" s="22"/>
      <c r="G11" s="23"/>
      <c r="H11" s="47" t="s">
        <v>12</v>
      </c>
      <c r="I11" s="47" t="s">
        <v>13</v>
      </c>
      <c r="J11" s="47" t="s">
        <v>14</v>
      </c>
      <c r="K11" s="47"/>
      <c r="L11" s="47" t="s">
        <v>15</v>
      </c>
      <c r="M11" s="45" t="s">
        <v>16</v>
      </c>
      <c r="N11" s="45" t="s">
        <v>17</v>
      </c>
      <c r="O11" s="45" t="s">
        <v>18</v>
      </c>
      <c r="P11" s="45" t="s">
        <v>19</v>
      </c>
      <c r="Q11" s="45" t="s">
        <v>20</v>
      </c>
      <c r="R11" s="48" t="s">
        <v>21</v>
      </c>
      <c r="S11" s="45" t="s">
        <v>22</v>
      </c>
      <c r="T11" s="45" t="s">
        <v>23</v>
      </c>
      <c r="U11" s="22"/>
    </row>
    <row r="12" spans="1:25" ht="230.25" x14ac:dyDescent="0.25">
      <c r="A12" s="46"/>
      <c r="B12" s="45"/>
      <c r="C12" s="22" t="s">
        <v>7</v>
      </c>
      <c r="D12" s="24" t="s">
        <v>8</v>
      </c>
      <c r="E12" s="22" t="s">
        <v>9</v>
      </c>
      <c r="F12" s="22" t="s">
        <v>10</v>
      </c>
      <c r="G12" s="23" t="s">
        <v>11</v>
      </c>
      <c r="H12" s="47"/>
      <c r="I12" s="47"/>
      <c r="J12" s="18" t="s">
        <v>25</v>
      </c>
      <c r="K12" s="18" t="s">
        <v>26</v>
      </c>
      <c r="L12" s="47"/>
      <c r="M12" s="45"/>
      <c r="N12" s="45"/>
      <c r="O12" s="45"/>
      <c r="P12" s="45"/>
      <c r="Q12" s="45"/>
      <c r="R12" s="48"/>
      <c r="S12" s="45"/>
      <c r="T12" s="45"/>
      <c r="U12" s="22" t="s">
        <v>24</v>
      </c>
    </row>
    <row r="13" spans="1:25"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Y13" t="s">
        <v>3555</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Z252"/>
  <sheetViews>
    <sheetView zoomScale="85" zoomScaleNormal="85" workbookViewId="0">
      <selection activeCell="P16" sqref="P16"/>
    </sheetView>
  </sheetViews>
  <sheetFormatPr defaultRowHeight="15" x14ac:dyDescent="0.25"/>
  <sheetData>
    <row r="1" spans="1:25" x14ac:dyDescent="0.25">
      <c r="A1" s="55" t="s">
        <v>2318</v>
      </c>
      <c r="B1" s="55" t="s">
        <v>3935</v>
      </c>
      <c r="C1" s="55" t="s">
        <v>3556</v>
      </c>
      <c r="D1" s="55" t="s">
        <v>2327</v>
      </c>
      <c r="E1" s="55" t="s">
        <v>29</v>
      </c>
      <c r="F1" s="55">
        <v>1</v>
      </c>
      <c r="G1" s="55">
        <v>121772.4</v>
      </c>
      <c r="H1" s="55">
        <v>101477</v>
      </c>
      <c r="I1" s="55"/>
      <c r="J1" s="55"/>
      <c r="K1" s="55"/>
      <c r="L1" s="55">
        <v>101477</v>
      </c>
      <c r="M1" s="55"/>
      <c r="N1" s="55"/>
      <c r="O1" s="55" t="s">
        <v>37</v>
      </c>
      <c r="P1" s="55">
        <v>7802348846</v>
      </c>
      <c r="Q1" s="55">
        <v>997350001</v>
      </c>
      <c r="R1" s="55" t="s">
        <v>38</v>
      </c>
      <c r="S1" s="55" t="s">
        <v>3557</v>
      </c>
      <c r="T1" s="55">
        <v>2</v>
      </c>
      <c r="U1" t="s">
        <v>3558</v>
      </c>
      <c r="Y1">
        <v>78</v>
      </c>
    </row>
    <row r="2" spans="1:25" x14ac:dyDescent="0.25">
      <c r="A2" s="55" t="s">
        <v>2319</v>
      </c>
      <c r="B2" s="55" t="s">
        <v>3936</v>
      </c>
      <c r="C2" s="55" t="s">
        <v>3556</v>
      </c>
      <c r="D2" s="55" t="s">
        <v>2327</v>
      </c>
      <c r="E2" s="55" t="s">
        <v>29</v>
      </c>
      <c r="F2" s="55">
        <v>1</v>
      </c>
      <c r="G2" s="55">
        <v>125425.572</v>
      </c>
      <c r="H2" s="55">
        <v>104521.31</v>
      </c>
      <c r="I2" s="55"/>
      <c r="J2" s="55"/>
      <c r="K2" s="55"/>
      <c r="L2" s="55">
        <v>104521.31</v>
      </c>
      <c r="M2" s="55"/>
      <c r="N2" s="55"/>
      <c r="O2" s="55" t="s">
        <v>3559</v>
      </c>
      <c r="P2" s="55">
        <v>1230123</v>
      </c>
      <c r="Q2" s="55">
        <v>3210321</v>
      </c>
      <c r="R2" s="55" t="s">
        <v>3560</v>
      </c>
      <c r="S2" s="55" t="s">
        <v>3561</v>
      </c>
      <c r="T2" s="55">
        <v>2</v>
      </c>
      <c r="U2">
        <v>444</v>
      </c>
      <c r="Y2">
        <v>78</v>
      </c>
    </row>
    <row r="3" spans="1:25" x14ac:dyDescent="0.25">
      <c r="A3" s="55" t="s">
        <v>2320</v>
      </c>
      <c r="B3" s="55" t="s">
        <v>3937</v>
      </c>
      <c r="C3" s="55" t="s">
        <v>3556</v>
      </c>
      <c r="D3" s="55" t="s">
        <v>2327</v>
      </c>
      <c r="E3" s="55" t="s">
        <v>29</v>
      </c>
      <c r="F3" s="55">
        <v>1</v>
      </c>
      <c r="G3" s="55">
        <v>131514.19199999998</v>
      </c>
      <c r="H3" s="55">
        <v>109595.15999999999</v>
      </c>
      <c r="I3" s="55"/>
      <c r="J3" s="55"/>
      <c r="K3" s="55"/>
      <c r="L3" s="55">
        <v>109595.15999999999</v>
      </c>
      <c r="M3" s="55"/>
      <c r="N3" s="55"/>
      <c r="O3" s="55" t="s">
        <v>3562</v>
      </c>
      <c r="P3" s="55">
        <v>456456</v>
      </c>
      <c r="Q3" s="55">
        <v>789789</v>
      </c>
      <c r="R3" s="55" t="s">
        <v>3563</v>
      </c>
      <c r="S3" s="55" t="s">
        <v>3564</v>
      </c>
      <c r="T3" s="55">
        <v>2</v>
      </c>
      <c r="U3">
        <v>555</v>
      </c>
      <c r="Y3">
        <v>67</v>
      </c>
    </row>
    <row r="4" spans="1:25" x14ac:dyDescent="0.25">
      <c r="A4" s="55" t="s">
        <v>2321</v>
      </c>
      <c r="B4" s="55" t="s">
        <v>3938</v>
      </c>
      <c r="C4" s="55" t="s">
        <v>3565</v>
      </c>
      <c r="D4" s="55" t="s">
        <v>2328</v>
      </c>
      <c r="E4" s="55" t="s">
        <v>29</v>
      </c>
      <c r="F4" s="55">
        <v>3</v>
      </c>
      <c r="G4" s="55">
        <v>161978.4</v>
      </c>
      <c r="H4" s="55">
        <v>134982</v>
      </c>
      <c r="I4" s="55"/>
      <c r="J4" s="55"/>
      <c r="K4" s="55"/>
      <c r="L4" s="55">
        <v>134982</v>
      </c>
      <c r="M4" s="55"/>
      <c r="N4" s="55"/>
      <c r="O4" s="55" t="s">
        <v>37</v>
      </c>
      <c r="P4" s="55">
        <v>7802348846</v>
      </c>
      <c r="Q4" s="55">
        <v>997350001</v>
      </c>
      <c r="R4" s="55" t="s">
        <v>38</v>
      </c>
      <c r="S4" s="55" t="s">
        <v>3557</v>
      </c>
      <c r="T4" s="55">
        <v>2</v>
      </c>
      <c r="U4" t="s">
        <v>3558</v>
      </c>
      <c r="Y4">
        <v>78</v>
      </c>
    </row>
    <row r="5" spans="1:25" x14ac:dyDescent="0.25">
      <c r="A5" s="55" t="s">
        <v>2322</v>
      </c>
      <c r="B5" s="55" t="s">
        <v>3936</v>
      </c>
      <c r="C5" s="55" t="s">
        <v>3565</v>
      </c>
      <c r="D5" s="55" t="s">
        <v>2328</v>
      </c>
      <c r="E5" s="55" t="s">
        <v>29</v>
      </c>
      <c r="F5" s="55">
        <v>3</v>
      </c>
      <c r="G5" s="55">
        <v>170077.32</v>
      </c>
      <c r="H5" s="55">
        <v>141731.1</v>
      </c>
      <c r="I5" s="55"/>
      <c r="J5" s="55"/>
      <c r="K5" s="55"/>
      <c r="L5" s="55">
        <v>141731.1</v>
      </c>
      <c r="M5" s="55"/>
      <c r="N5" s="55"/>
      <c r="O5" s="55" t="s">
        <v>3559</v>
      </c>
      <c r="P5" s="55">
        <v>1230123</v>
      </c>
      <c r="Q5" s="55">
        <v>3210321</v>
      </c>
      <c r="R5" s="55" t="s">
        <v>3560</v>
      </c>
      <c r="S5" s="55" t="s">
        <v>3561</v>
      </c>
      <c r="T5" s="55">
        <v>2</v>
      </c>
      <c r="U5">
        <v>444</v>
      </c>
      <c r="Y5">
        <v>78</v>
      </c>
    </row>
    <row r="6" spans="1:25" x14ac:dyDescent="0.25">
      <c r="A6" s="55" t="s">
        <v>2323</v>
      </c>
      <c r="B6" s="55" t="s">
        <v>3937</v>
      </c>
      <c r="C6" s="55" t="s">
        <v>3565</v>
      </c>
      <c r="D6" s="55" t="s">
        <v>2328</v>
      </c>
      <c r="E6" s="55" t="s">
        <v>29</v>
      </c>
      <c r="F6" s="55">
        <v>3</v>
      </c>
      <c r="G6" s="55">
        <v>174936.67199999999</v>
      </c>
      <c r="H6" s="55">
        <v>145780.56</v>
      </c>
      <c r="I6" s="55"/>
      <c r="J6" s="55"/>
      <c r="K6" s="55"/>
      <c r="L6" s="55">
        <v>145780.56</v>
      </c>
      <c r="M6" s="55"/>
      <c r="N6" s="55"/>
      <c r="O6" s="55" t="s">
        <v>3562</v>
      </c>
      <c r="P6" s="55">
        <v>456456</v>
      </c>
      <c r="Q6" s="55">
        <v>789789</v>
      </c>
      <c r="R6" s="55" t="s">
        <v>3563</v>
      </c>
      <c r="S6" s="55" t="s">
        <v>3564</v>
      </c>
      <c r="T6" s="55">
        <v>2</v>
      </c>
      <c r="U6">
        <v>555</v>
      </c>
      <c r="Y6">
        <v>67</v>
      </c>
    </row>
    <row r="7" spans="1:25" x14ac:dyDescent="0.25">
      <c r="A7" s="55" t="s">
        <v>3566</v>
      </c>
      <c r="B7" s="55" t="s">
        <v>3938</v>
      </c>
      <c r="C7" s="55" t="s">
        <v>3567</v>
      </c>
      <c r="D7" s="55" t="s">
        <v>2329</v>
      </c>
      <c r="E7" s="55" t="s">
        <v>29</v>
      </c>
      <c r="F7" s="55">
        <v>13</v>
      </c>
      <c r="G7" s="55">
        <v>99939.6</v>
      </c>
      <c r="H7" s="55">
        <v>83283.000000000015</v>
      </c>
      <c r="I7" s="55"/>
      <c r="J7" s="55"/>
      <c r="K7" s="55"/>
      <c r="L7" s="55">
        <v>83283.000000000015</v>
      </c>
      <c r="M7" s="55"/>
      <c r="N7" s="55"/>
      <c r="O7" s="55" t="s">
        <v>37</v>
      </c>
      <c r="P7" s="55">
        <v>7802348846</v>
      </c>
      <c r="Q7" s="55">
        <v>997350001</v>
      </c>
      <c r="R7" s="55" t="s">
        <v>38</v>
      </c>
      <c r="S7" s="55" t="s">
        <v>3557</v>
      </c>
      <c r="T7" s="55">
        <v>2</v>
      </c>
      <c r="U7" t="s">
        <v>3558</v>
      </c>
      <c r="Y7">
        <v>78</v>
      </c>
    </row>
    <row r="8" spans="1:25" x14ac:dyDescent="0.25">
      <c r="A8" s="55" t="s">
        <v>3568</v>
      </c>
      <c r="B8" s="55" t="s">
        <v>3936</v>
      </c>
      <c r="C8" s="55" t="s">
        <v>3567</v>
      </c>
      <c r="D8" s="55" t="s">
        <v>2329</v>
      </c>
      <c r="E8" s="55" t="s">
        <v>29</v>
      </c>
      <c r="F8" s="55">
        <v>13</v>
      </c>
      <c r="G8" s="55">
        <v>104936.58</v>
      </c>
      <c r="H8" s="55">
        <v>87447.150000000009</v>
      </c>
      <c r="I8" s="55"/>
      <c r="J8" s="55"/>
      <c r="K8" s="55"/>
      <c r="L8" s="55">
        <v>87447.150000000009</v>
      </c>
      <c r="M8" s="55"/>
      <c r="N8" s="55"/>
      <c r="O8" s="55" t="s">
        <v>3559</v>
      </c>
      <c r="P8" s="55">
        <v>1230123</v>
      </c>
      <c r="Q8" s="55">
        <v>3210321</v>
      </c>
      <c r="R8" s="55" t="s">
        <v>3560</v>
      </c>
      <c r="S8" s="55" t="s">
        <v>3561</v>
      </c>
      <c r="T8" s="55">
        <v>2</v>
      </c>
      <c r="U8">
        <v>444</v>
      </c>
      <c r="Y8">
        <v>78</v>
      </c>
    </row>
    <row r="9" spans="1:25" x14ac:dyDescent="0.25">
      <c r="A9" s="55" t="s">
        <v>3569</v>
      </c>
      <c r="B9" s="55" t="s">
        <v>3937</v>
      </c>
      <c r="C9" s="55" t="s">
        <v>3567</v>
      </c>
      <c r="D9" s="55" t="s">
        <v>2329</v>
      </c>
      <c r="E9" s="55" t="s">
        <v>29</v>
      </c>
      <c r="F9" s="55">
        <v>13</v>
      </c>
      <c r="G9" s="55">
        <v>105935.97600000001</v>
      </c>
      <c r="H9" s="55">
        <v>88279.98000000001</v>
      </c>
      <c r="I9" s="55"/>
      <c r="J9" s="55"/>
      <c r="K9" s="55"/>
      <c r="L9" s="55">
        <v>88279.98000000001</v>
      </c>
      <c r="M9" s="55"/>
      <c r="N9" s="55"/>
      <c r="O9" s="55" t="s">
        <v>3562</v>
      </c>
      <c r="P9" s="55">
        <v>456456</v>
      </c>
      <c r="Q9" s="55">
        <v>789789</v>
      </c>
      <c r="R9" s="55" t="s">
        <v>3563</v>
      </c>
      <c r="S9" s="55" t="s">
        <v>3564</v>
      </c>
      <c r="T9" s="55">
        <v>2</v>
      </c>
      <c r="U9">
        <v>555</v>
      </c>
      <c r="Y9">
        <v>67</v>
      </c>
    </row>
    <row r="10" spans="1:25" x14ac:dyDescent="0.25">
      <c r="A10" s="55" t="s">
        <v>3570</v>
      </c>
      <c r="B10" s="55" t="s">
        <v>3938</v>
      </c>
      <c r="C10" s="55" t="s">
        <v>3571</v>
      </c>
      <c r="D10" s="55" t="s">
        <v>2330</v>
      </c>
      <c r="E10" s="55" t="s">
        <v>29</v>
      </c>
      <c r="F10" s="55">
        <v>1</v>
      </c>
      <c r="G10" s="55">
        <v>228988.79999999999</v>
      </c>
      <c r="H10" s="55">
        <v>190824</v>
      </c>
      <c r="I10" s="55"/>
      <c r="J10" s="55"/>
      <c r="K10" s="55"/>
      <c r="L10" s="55">
        <v>190824</v>
      </c>
      <c r="M10" s="55"/>
      <c r="N10" s="55"/>
      <c r="O10" s="55" t="s">
        <v>37</v>
      </c>
      <c r="P10" s="55">
        <v>7802348846</v>
      </c>
      <c r="Q10" s="55">
        <v>997350001</v>
      </c>
      <c r="R10" s="55" t="s">
        <v>38</v>
      </c>
      <c r="S10" s="55" t="s">
        <v>3557</v>
      </c>
      <c r="T10" s="55">
        <v>2</v>
      </c>
      <c r="U10" t="s">
        <v>3558</v>
      </c>
      <c r="Y10">
        <v>78</v>
      </c>
    </row>
    <row r="11" spans="1:25" x14ac:dyDescent="0.25">
      <c r="A11" s="55" t="s">
        <v>3572</v>
      </c>
      <c r="B11" s="55" t="s">
        <v>3936</v>
      </c>
      <c r="C11" s="55" t="s">
        <v>3571</v>
      </c>
      <c r="D11" s="55" t="s">
        <v>2330</v>
      </c>
      <c r="E11" s="55" t="s">
        <v>29</v>
      </c>
      <c r="F11" s="55">
        <v>1</v>
      </c>
      <c r="G11" s="55">
        <v>240438.24</v>
      </c>
      <c r="H11" s="55">
        <v>200365.2</v>
      </c>
      <c r="I11" s="55"/>
      <c r="J11" s="55"/>
      <c r="K11" s="55"/>
      <c r="L11" s="55">
        <v>200365.2</v>
      </c>
      <c r="M11" s="55"/>
      <c r="N11" s="55"/>
      <c r="O11" s="55" t="s">
        <v>3559</v>
      </c>
      <c r="P11" s="55">
        <v>1230123</v>
      </c>
      <c r="Q11" s="55">
        <v>3210321</v>
      </c>
      <c r="R11" s="55" t="s">
        <v>3560</v>
      </c>
      <c r="S11" s="55" t="s">
        <v>3561</v>
      </c>
      <c r="T11" s="55">
        <v>2</v>
      </c>
      <c r="U11">
        <v>444</v>
      </c>
      <c r="Y11">
        <v>78</v>
      </c>
    </row>
    <row r="12" spans="1:25" x14ac:dyDescent="0.25">
      <c r="A12" s="55" t="s">
        <v>3573</v>
      </c>
      <c r="B12" s="55" t="s">
        <v>3937</v>
      </c>
      <c r="C12" s="55" t="s">
        <v>3571</v>
      </c>
      <c r="D12" s="55" t="s">
        <v>2330</v>
      </c>
      <c r="E12" s="55" t="s">
        <v>29</v>
      </c>
      <c r="F12" s="55">
        <v>1</v>
      </c>
      <c r="G12" s="55">
        <v>242728.128</v>
      </c>
      <c r="H12" s="55">
        <v>202273.44</v>
      </c>
      <c r="I12" s="55"/>
      <c r="J12" s="55"/>
      <c r="K12" s="55"/>
      <c r="L12" s="55">
        <v>202273.44</v>
      </c>
      <c r="M12" s="55"/>
      <c r="N12" s="55"/>
      <c r="O12" s="55" t="s">
        <v>3562</v>
      </c>
      <c r="P12" s="55">
        <v>456456</v>
      </c>
      <c r="Q12" s="55">
        <v>789789</v>
      </c>
      <c r="R12" s="55" t="s">
        <v>3563</v>
      </c>
      <c r="S12" s="55" t="s">
        <v>3564</v>
      </c>
      <c r="T12" s="55">
        <v>2</v>
      </c>
      <c r="U12">
        <v>555</v>
      </c>
      <c r="Y12">
        <v>67</v>
      </c>
    </row>
    <row r="13" spans="1:25" x14ac:dyDescent="0.25">
      <c r="A13" s="55" t="s">
        <v>3574</v>
      </c>
      <c r="B13" s="55" t="s">
        <v>3938</v>
      </c>
      <c r="C13" s="55" t="s">
        <v>3575</v>
      </c>
      <c r="D13" s="55" t="s">
        <v>2342</v>
      </c>
      <c r="E13" s="55" t="s">
        <v>29</v>
      </c>
      <c r="F13" s="55">
        <v>1</v>
      </c>
      <c r="G13" s="55">
        <v>203192.4</v>
      </c>
      <c r="H13" s="55">
        <v>169327</v>
      </c>
      <c r="I13" s="55"/>
      <c r="J13" s="55"/>
      <c r="K13" s="55"/>
      <c r="L13" s="55">
        <v>169327</v>
      </c>
      <c r="M13" s="55"/>
      <c r="N13" s="55"/>
      <c r="O13" s="55" t="s">
        <v>37</v>
      </c>
      <c r="P13" s="55">
        <v>7802348846</v>
      </c>
      <c r="Q13" s="55">
        <v>997350001</v>
      </c>
      <c r="R13" s="55" t="s">
        <v>38</v>
      </c>
      <c r="S13" s="55" t="s">
        <v>3557</v>
      </c>
      <c r="T13" s="55">
        <v>2</v>
      </c>
      <c r="U13" t="s">
        <v>3558</v>
      </c>
      <c r="Y13">
        <v>78</v>
      </c>
    </row>
    <row r="14" spans="1:25" x14ac:dyDescent="0.25">
      <c r="A14" s="55" t="s">
        <v>3576</v>
      </c>
      <c r="B14" s="55" t="s">
        <v>3936</v>
      </c>
      <c r="C14" s="55" t="s">
        <v>3575</v>
      </c>
      <c r="D14" s="55" t="s">
        <v>2342</v>
      </c>
      <c r="E14" s="55" t="s">
        <v>29</v>
      </c>
      <c r="F14" s="55">
        <v>1</v>
      </c>
      <c r="G14" s="55">
        <v>211320.09599999999</v>
      </c>
      <c r="H14" s="55">
        <v>176100.08</v>
      </c>
      <c r="I14" s="55"/>
      <c r="J14" s="55"/>
      <c r="K14" s="55"/>
      <c r="L14" s="55">
        <v>176100.08</v>
      </c>
      <c r="M14" s="55"/>
      <c r="N14" s="55"/>
      <c r="O14" s="55" t="s">
        <v>3559</v>
      </c>
      <c r="P14" s="55">
        <v>1230123</v>
      </c>
      <c r="Q14" s="55">
        <v>3210321</v>
      </c>
      <c r="R14" s="55" t="s">
        <v>3560</v>
      </c>
      <c r="S14" s="55" t="s">
        <v>3561</v>
      </c>
      <c r="T14" s="55">
        <v>2</v>
      </c>
      <c r="U14">
        <v>444</v>
      </c>
    </row>
    <row r="15" spans="1:25" x14ac:dyDescent="0.25">
      <c r="A15" s="55" t="s">
        <v>3577</v>
      </c>
      <c r="B15" s="55" t="s">
        <v>3937</v>
      </c>
      <c r="C15" s="55" t="s">
        <v>3575</v>
      </c>
      <c r="D15" s="55" t="s">
        <v>2342</v>
      </c>
      <c r="E15" s="55" t="s">
        <v>29</v>
      </c>
      <c r="F15" s="55">
        <v>1</v>
      </c>
      <c r="G15" s="55">
        <v>215383.94399999999</v>
      </c>
      <c r="H15" s="55">
        <v>179486.62</v>
      </c>
      <c r="I15" s="55"/>
      <c r="J15" s="55"/>
      <c r="K15" s="55"/>
      <c r="L15" s="55">
        <v>179486.62</v>
      </c>
      <c r="M15" s="55"/>
      <c r="N15" s="55"/>
      <c r="O15" s="55" t="s">
        <v>3562</v>
      </c>
      <c r="P15" s="55">
        <v>456456</v>
      </c>
      <c r="Q15" s="55">
        <v>789789</v>
      </c>
      <c r="R15" s="55" t="s">
        <v>3563</v>
      </c>
      <c r="S15" s="55" t="s">
        <v>3564</v>
      </c>
      <c r="T15" s="55">
        <v>2</v>
      </c>
      <c r="U15">
        <v>555</v>
      </c>
    </row>
    <row r="16" spans="1:25" x14ac:dyDescent="0.25">
      <c r="A16" s="55" t="s">
        <v>3578</v>
      </c>
      <c r="B16" s="55" t="s">
        <v>3938</v>
      </c>
      <c r="C16" s="55" t="s">
        <v>3579</v>
      </c>
      <c r="D16" s="55" t="s">
        <v>2331</v>
      </c>
      <c r="E16" s="55" t="s">
        <v>29</v>
      </c>
      <c r="F16" s="55">
        <v>1</v>
      </c>
      <c r="G16" s="55">
        <v>132147.6</v>
      </c>
      <c r="H16" s="55">
        <v>110123.00000000001</v>
      </c>
      <c r="I16" s="55"/>
      <c r="J16" s="55"/>
      <c r="K16" s="55"/>
      <c r="L16" s="55">
        <v>110123.00000000001</v>
      </c>
      <c r="M16" s="55"/>
      <c r="N16" s="55"/>
      <c r="O16" s="55" t="s">
        <v>37</v>
      </c>
      <c r="P16" s="55">
        <v>7802348846</v>
      </c>
      <c r="Q16" s="55">
        <v>997350001</v>
      </c>
      <c r="R16" s="55" t="s">
        <v>38</v>
      </c>
      <c r="S16" s="55" t="s">
        <v>3557</v>
      </c>
      <c r="T16" s="55">
        <v>2</v>
      </c>
      <c r="U16" t="s">
        <v>3558</v>
      </c>
    </row>
    <row r="17" spans="1:21" x14ac:dyDescent="0.25">
      <c r="A17" s="55" t="s">
        <v>3580</v>
      </c>
      <c r="B17" s="55" t="s">
        <v>3936</v>
      </c>
      <c r="C17" s="55" t="s">
        <v>3579</v>
      </c>
      <c r="D17" s="55" t="s">
        <v>2331</v>
      </c>
      <c r="E17" s="55" t="s">
        <v>29</v>
      </c>
      <c r="F17" s="55">
        <v>1</v>
      </c>
      <c r="G17" s="55">
        <v>138754.98000000001</v>
      </c>
      <c r="H17" s="55">
        <v>115629.15000000001</v>
      </c>
      <c r="I17" s="55"/>
      <c r="J17" s="55"/>
      <c r="K17" s="55"/>
      <c r="L17" s="55">
        <v>115629.15000000001</v>
      </c>
      <c r="M17" s="55"/>
      <c r="N17" s="55"/>
      <c r="O17" s="55" t="s">
        <v>3559</v>
      </c>
      <c r="P17" s="55">
        <v>1230123</v>
      </c>
      <c r="Q17" s="55">
        <v>3210321</v>
      </c>
      <c r="R17" s="55" t="s">
        <v>3560</v>
      </c>
      <c r="S17" s="55" t="s">
        <v>3561</v>
      </c>
      <c r="T17" s="55">
        <v>2</v>
      </c>
      <c r="U17">
        <v>444</v>
      </c>
    </row>
    <row r="18" spans="1:21" x14ac:dyDescent="0.25">
      <c r="A18" s="55" t="s">
        <v>3581</v>
      </c>
      <c r="B18" s="55" t="s">
        <v>3937</v>
      </c>
      <c r="C18" s="55" t="s">
        <v>3579</v>
      </c>
      <c r="D18" s="55" t="s">
        <v>2331</v>
      </c>
      <c r="E18" s="55" t="s">
        <v>29</v>
      </c>
      <c r="F18" s="55">
        <v>1</v>
      </c>
      <c r="G18" s="55">
        <v>140076.45600000001</v>
      </c>
      <c r="H18" s="55">
        <v>116730.38</v>
      </c>
      <c r="I18" s="55"/>
      <c r="J18" s="55"/>
      <c r="K18" s="55"/>
      <c r="L18" s="55">
        <v>116730.38</v>
      </c>
      <c r="M18" s="55"/>
      <c r="N18" s="55"/>
      <c r="O18" s="55" t="s">
        <v>3562</v>
      </c>
      <c r="P18" s="55">
        <v>456456</v>
      </c>
      <c r="Q18" s="55">
        <v>789789</v>
      </c>
      <c r="R18" s="55" t="s">
        <v>3563</v>
      </c>
      <c r="S18" s="55" t="s">
        <v>3564</v>
      </c>
      <c r="T18" s="55">
        <v>2</v>
      </c>
      <c r="U18">
        <v>555</v>
      </c>
    </row>
    <row r="19" spans="1:21" x14ac:dyDescent="0.25">
      <c r="A19" s="55" t="s">
        <v>3582</v>
      </c>
      <c r="B19" s="55" t="s">
        <v>3938</v>
      </c>
      <c r="C19" s="55" t="s">
        <v>3583</v>
      </c>
      <c r="D19" s="55" t="s">
        <v>2332</v>
      </c>
      <c r="E19" s="55" t="s">
        <v>29</v>
      </c>
      <c r="F19" s="55">
        <v>1</v>
      </c>
      <c r="G19" s="55">
        <v>350760</v>
      </c>
      <c r="H19" s="55">
        <v>292300</v>
      </c>
      <c r="I19" s="55"/>
      <c r="J19" s="55"/>
      <c r="K19" s="55"/>
      <c r="L19" s="55">
        <v>292300</v>
      </c>
      <c r="M19" s="55"/>
      <c r="N19" s="55"/>
      <c r="O19" s="55" t="s">
        <v>37</v>
      </c>
      <c r="P19" s="55">
        <v>7802348846</v>
      </c>
      <c r="Q19" s="55">
        <v>997350001</v>
      </c>
      <c r="R19" s="55" t="s">
        <v>38</v>
      </c>
      <c r="S19" s="55" t="s">
        <v>3557</v>
      </c>
      <c r="T19" s="55">
        <v>2</v>
      </c>
      <c r="U19" t="s">
        <v>3558</v>
      </c>
    </row>
    <row r="20" spans="1:21" x14ac:dyDescent="0.25">
      <c r="A20" s="55" t="s">
        <v>3584</v>
      </c>
      <c r="B20" s="55" t="s">
        <v>3936</v>
      </c>
      <c r="C20" s="55" t="s">
        <v>3583</v>
      </c>
      <c r="D20" s="55" t="s">
        <v>2332</v>
      </c>
      <c r="E20" s="55" t="s">
        <v>29</v>
      </c>
      <c r="F20" s="55">
        <v>1</v>
      </c>
      <c r="G20" s="55">
        <v>364790.4</v>
      </c>
      <c r="H20" s="55">
        <v>303992.00000000006</v>
      </c>
      <c r="I20" s="55"/>
      <c r="J20" s="55"/>
      <c r="K20" s="55"/>
      <c r="L20" s="55">
        <v>303992.00000000006</v>
      </c>
      <c r="M20" s="55"/>
      <c r="N20" s="55"/>
      <c r="O20" s="55" t="s">
        <v>3559</v>
      </c>
      <c r="P20" s="55">
        <v>1230123</v>
      </c>
      <c r="Q20" s="55">
        <v>3210321</v>
      </c>
      <c r="R20" s="55" t="s">
        <v>3560</v>
      </c>
      <c r="S20" s="55" t="s">
        <v>3561</v>
      </c>
      <c r="T20" s="55">
        <v>2</v>
      </c>
      <c r="U20">
        <v>444</v>
      </c>
    </row>
    <row r="21" spans="1:21" x14ac:dyDescent="0.25">
      <c r="A21" s="55" t="s">
        <v>3585</v>
      </c>
      <c r="B21" s="55" t="s">
        <v>3937</v>
      </c>
      <c r="C21" s="55" t="s">
        <v>3583</v>
      </c>
      <c r="D21" s="55" t="s">
        <v>2332</v>
      </c>
      <c r="E21" s="55" t="s">
        <v>29</v>
      </c>
      <c r="F21" s="55">
        <v>1</v>
      </c>
      <c r="G21" s="55">
        <v>371805.6</v>
      </c>
      <c r="H21" s="55">
        <v>309838</v>
      </c>
      <c r="I21" s="55"/>
      <c r="J21" s="55"/>
      <c r="K21" s="55"/>
      <c r="L21" s="55">
        <v>309838</v>
      </c>
      <c r="M21" s="55"/>
      <c r="N21" s="55"/>
      <c r="O21" s="55" t="s">
        <v>3562</v>
      </c>
      <c r="P21" s="55">
        <v>456456</v>
      </c>
      <c r="Q21" s="55">
        <v>789789</v>
      </c>
      <c r="R21" s="55" t="s">
        <v>3563</v>
      </c>
      <c r="S21" s="55" t="s">
        <v>3564</v>
      </c>
      <c r="T21" s="55">
        <v>2</v>
      </c>
      <c r="U21">
        <v>555</v>
      </c>
    </row>
    <row r="22" spans="1:21" x14ac:dyDescent="0.25">
      <c r="A22" s="55" t="s">
        <v>3586</v>
      </c>
      <c r="B22" s="55" t="s">
        <v>3939</v>
      </c>
      <c r="C22" s="55" t="s">
        <v>3587</v>
      </c>
      <c r="D22" s="55" t="s">
        <v>2333</v>
      </c>
      <c r="E22" s="55" t="s">
        <v>29</v>
      </c>
      <c r="F22" s="55">
        <v>3</v>
      </c>
      <c r="G22" s="55">
        <v>29398.799999999999</v>
      </c>
      <c r="H22" s="55">
        <v>24499</v>
      </c>
      <c r="I22" s="55"/>
      <c r="J22" s="55"/>
      <c r="K22" s="55"/>
      <c r="L22" s="55">
        <v>24499</v>
      </c>
      <c r="M22" s="55"/>
      <c r="N22" s="55"/>
      <c r="O22" s="55" t="s">
        <v>37</v>
      </c>
      <c r="P22" s="55">
        <v>6731002766</v>
      </c>
      <c r="Q22" s="55">
        <v>673201001</v>
      </c>
      <c r="R22" s="55" t="s">
        <v>38</v>
      </c>
      <c r="S22" s="55" t="s">
        <v>3557</v>
      </c>
      <c r="T22" s="55">
        <v>2</v>
      </c>
      <c r="U22" t="s">
        <v>3558</v>
      </c>
    </row>
    <row r="23" spans="1:21" x14ac:dyDescent="0.25">
      <c r="A23" s="55" t="s">
        <v>3588</v>
      </c>
      <c r="B23" s="55" t="s">
        <v>3940</v>
      </c>
      <c r="C23" s="55" t="s">
        <v>3587</v>
      </c>
      <c r="D23" s="55" t="s">
        <v>2333</v>
      </c>
      <c r="E23" s="55" t="s">
        <v>29</v>
      </c>
      <c r="F23" s="55">
        <v>3</v>
      </c>
      <c r="G23" s="55">
        <v>30868.739999999998</v>
      </c>
      <c r="H23" s="55">
        <v>25723.95</v>
      </c>
      <c r="I23" s="55"/>
      <c r="J23" s="55"/>
      <c r="K23" s="55"/>
      <c r="L23" s="55">
        <v>25723.95</v>
      </c>
      <c r="M23" s="55"/>
      <c r="N23" s="55"/>
      <c r="O23" s="55" t="s">
        <v>3559</v>
      </c>
      <c r="P23" s="55">
        <v>1230123</v>
      </c>
      <c r="Q23" s="55">
        <v>3210321</v>
      </c>
      <c r="R23" s="55" t="s">
        <v>3560</v>
      </c>
      <c r="S23" s="55" t="s">
        <v>3561</v>
      </c>
      <c r="T23" s="55">
        <v>2</v>
      </c>
      <c r="U23">
        <v>444</v>
      </c>
    </row>
    <row r="24" spans="1:21" x14ac:dyDescent="0.25">
      <c r="A24" s="55" t="s">
        <v>3589</v>
      </c>
      <c r="B24" s="55" t="s">
        <v>3941</v>
      </c>
      <c r="C24" s="55" t="s">
        <v>3587</v>
      </c>
      <c r="D24" s="55" t="s">
        <v>2333</v>
      </c>
      <c r="E24" s="55" t="s">
        <v>29</v>
      </c>
      <c r="F24" s="55">
        <v>3</v>
      </c>
      <c r="G24" s="55">
        <v>31456.716</v>
      </c>
      <c r="H24" s="55">
        <v>26213.93</v>
      </c>
      <c r="I24" s="55"/>
      <c r="J24" s="55"/>
      <c r="K24" s="55"/>
      <c r="L24" s="55">
        <v>26213.93</v>
      </c>
      <c r="M24" s="55"/>
      <c r="N24" s="55"/>
      <c r="O24" s="55" t="s">
        <v>3562</v>
      </c>
      <c r="P24" s="55">
        <v>456456</v>
      </c>
      <c r="Q24" s="55">
        <v>789789</v>
      </c>
      <c r="R24" s="55" t="s">
        <v>3563</v>
      </c>
      <c r="S24" s="55" t="s">
        <v>3564</v>
      </c>
      <c r="T24" s="55">
        <v>2</v>
      </c>
      <c r="U24">
        <v>555</v>
      </c>
    </row>
    <row r="25" spans="1:21" x14ac:dyDescent="0.25">
      <c r="A25" s="55" t="s">
        <v>3590</v>
      </c>
      <c r="B25" s="55" t="s">
        <v>3939</v>
      </c>
      <c r="C25" s="55" t="s">
        <v>3591</v>
      </c>
      <c r="D25" s="55" t="s">
        <v>2338</v>
      </c>
      <c r="E25" s="55" t="s">
        <v>29</v>
      </c>
      <c r="F25" s="55">
        <v>1</v>
      </c>
      <c r="G25" s="55">
        <v>12537.6</v>
      </c>
      <c r="H25" s="55">
        <v>10448</v>
      </c>
      <c r="I25" s="55"/>
      <c r="J25" s="55"/>
      <c r="K25" s="55"/>
      <c r="L25" s="55">
        <v>10448</v>
      </c>
      <c r="M25" s="55"/>
      <c r="N25" s="55"/>
      <c r="O25" s="55" t="s">
        <v>37</v>
      </c>
      <c r="P25" s="55">
        <v>6731002766</v>
      </c>
      <c r="Q25" s="55">
        <v>673201001</v>
      </c>
      <c r="R25" s="55" t="s">
        <v>38</v>
      </c>
      <c r="S25" s="55" t="s">
        <v>3557</v>
      </c>
      <c r="T25" s="55">
        <v>2</v>
      </c>
      <c r="U25" t="s">
        <v>3558</v>
      </c>
    </row>
    <row r="26" spans="1:21" x14ac:dyDescent="0.25">
      <c r="A26" s="55" t="s">
        <v>3592</v>
      </c>
      <c r="B26" s="55" t="s">
        <v>3940</v>
      </c>
      <c r="C26" s="55" t="s">
        <v>3591</v>
      </c>
      <c r="D26" s="55" t="s">
        <v>2338</v>
      </c>
      <c r="E26" s="55" t="s">
        <v>29</v>
      </c>
      <c r="F26" s="55">
        <v>1</v>
      </c>
      <c r="G26" s="55">
        <v>13164.48</v>
      </c>
      <c r="H26" s="55">
        <v>10970.4</v>
      </c>
      <c r="I26" s="55"/>
      <c r="J26" s="55"/>
      <c r="K26" s="55"/>
      <c r="L26" s="55">
        <v>10970.4</v>
      </c>
      <c r="M26" s="55"/>
      <c r="N26" s="55"/>
      <c r="O26" s="55" t="s">
        <v>3559</v>
      </c>
      <c r="P26" s="55">
        <v>1230123</v>
      </c>
      <c r="Q26" s="55">
        <v>3210321</v>
      </c>
      <c r="R26" s="55" t="s">
        <v>3560</v>
      </c>
      <c r="S26" s="55" t="s">
        <v>3561</v>
      </c>
      <c r="T26" s="55">
        <v>2</v>
      </c>
      <c r="U26">
        <v>444</v>
      </c>
    </row>
    <row r="27" spans="1:21" x14ac:dyDescent="0.25">
      <c r="A27" s="55" t="s">
        <v>3593</v>
      </c>
      <c r="B27" s="55" t="s">
        <v>3941</v>
      </c>
      <c r="C27" s="55" t="s">
        <v>3591</v>
      </c>
      <c r="D27" s="55" t="s">
        <v>2338</v>
      </c>
      <c r="E27" s="55" t="s">
        <v>29</v>
      </c>
      <c r="F27" s="55">
        <v>1</v>
      </c>
      <c r="G27" s="55">
        <v>13289.856</v>
      </c>
      <c r="H27" s="55">
        <v>11074.880000000001</v>
      </c>
      <c r="I27" s="55"/>
      <c r="J27" s="55"/>
      <c r="K27" s="55"/>
      <c r="L27" s="55">
        <v>11074.880000000001</v>
      </c>
      <c r="M27" s="55"/>
      <c r="N27" s="55"/>
      <c r="O27" s="55" t="s">
        <v>3562</v>
      </c>
      <c r="P27" s="55">
        <v>456456</v>
      </c>
      <c r="Q27" s="55">
        <v>789789</v>
      </c>
      <c r="R27" s="55" t="s">
        <v>3563</v>
      </c>
      <c r="S27" s="55" t="s">
        <v>3564</v>
      </c>
      <c r="T27" s="55">
        <v>2</v>
      </c>
      <c r="U27">
        <v>555</v>
      </c>
    </row>
    <row r="28" spans="1:21" x14ac:dyDescent="0.25">
      <c r="A28" s="55" t="s">
        <v>3594</v>
      </c>
      <c r="B28" s="55" t="s">
        <v>3939</v>
      </c>
      <c r="C28" s="55" t="s">
        <v>3587</v>
      </c>
      <c r="D28" s="55" t="s">
        <v>2241</v>
      </c>
      <c r="E28" s="55" t="s">
        <v>29</v>
      </c>
      <c r="F28" s="55">
        <v>3</v>
      </c>
      <c r="G28" s="55">
        <v>12249.6</v>
      </c>
      <c r="H28" s="55">
        <v>10208</v>
      </c>
      <c r="I28" s="55"/>
      <c r="J28" s="55"/>
      <c r="K28" s="55"/>
      <c r="L28" s="55">
        <v>10208</v>
      </c>
      <c r="M28" s="55"/>
      <c r="N28" s="55"/>
      <c r="O28" s="55" t="s">
        <v>37</v>
      </c>
      <c r="P28" s="55">
        <v>6731002766</v>
      </c>
      <c r="Q28" s="55">
        <v>673201001</v>
      </c>
      <c r="R28" s="55" t="s">
        <v>38</v>
      </c>
      <c r="S28" s="55" t="s">
        <v>3557</v>
      </c>
      <c r="T28" s="55">
        <v>2</v>
      </c>
      <c r="U28" t="s">
        <v>3558</v>
      </c>
    </row>
    <row r="29" spans="1:21" x14ac:dyDescent="0.25">
      <c r="A29" s="55" t="s">
        <v>3595</v>
      </c>
      <c r="B29" s="55" t="s">
        <v>3940</v>
      </c>
      <c r="C29" s="55" t="s">
        <v>3587</v>
      </c>
      <c r="D29" s="55" t="s">
        <v>2241</v>
      </c>
      <c r="E29" s="55" t="s">
        <v>29</v>
      </c>
      <c r="F29" s="55">
        <v>3</v>
      </c>
      <c r="G29" s="55">
        <v>12862.08</v>
      </c>
      <c r="H29" s="55">
        <v>10718.4</v>
      </c>
      <c r="I29" s="55"/>
      <c r="J29" s="55"/>
      <c r="K29" s="55"/>
      <c r="L29" s="55">
        <v>10718.4</v>
      </c>
      <c r="M29" s="55"/>
      <c r="N29" s="55"/>
      <c r="O29" s="55" t="s">
        <v>3559</v>
      </c>
      <c r="P29" s="55">
        <v>1230123</v>
      </c>
      <c r="Q29" s="55">
        <v>3210321</v>
      </c>
      <c r="R29" s="55" t="s">
        <v>3560</v>
      </c>
      <c r="S29" s="55" t="s">
        <v>3561</v>
      </c>
      <c r="T29" s="55">
        <v>2</v>
      </c>
      <c r="U29">
        <v>444</v>
      </c>
    </row>
    <row r="30" spans="1:21" x14ac:dyDescent="0.25">
      <c r="A30" s="55" t="s">
        <v>3596</v>
      </c>
      <c r="B30" s="55" t="s">
        <v>3941</v>
      </c>
      <c r="C30" s="55" t="s">
        <v>3587</v>
      </c>
      <c r="D30" s="55" t="s">
        <v>2241</v>
      </c>
      <c r="E30" s="55" t="s">
        <v>29</v>
      </c>
      <c r="F30" s="55">
        <v>3</v>
      </c>
      <c r="G30" s="55">
        <v>13107.072</v>
      </c>
      <c r="H30" s="55">
        <v>10922.560000000001</v>
      </c>
      <c r="I30" s="55"/>
      <c r="J30" s="55"/>
      <c r="K30" s="55"/>
      <c r="L30" s="55">
        <v>10922.560000000001</v>
      </c>
      <c r="M30" s="55"/>
      <c r="N30" s="55"/>
      <c r="O30" s="55" t="s">
        <v>3562</v>
      </c>
      <c r="P30" s="55">
        <v>456456</v>
      </c>
      <c r="Q30" s="55">
        <v>789789</v>
      </c>
      <c r="R30" s="55" t="s">
        <v>3563</v>
      </c>
      <c r="S30" s="55" t="s">
        <v>3564</v>
      </c>
      <c r="T30" s="55">
        <v>2</v>
      </c>
      <c r="U30">
        <v>555</v>
      </c>
    </row>
    <row r="31" spans="1:21" x14ac:dyDescent="0.25">
      <c r="A31" s="55" t="s">
        <v>3597</v>
      </c>
      <c r="B31" s="55" t="s">
        <v>3942</v>
      </c>
      <c r="C31" s="55" t="s">
        <v>3598</v>
      </c>
      <c r="D31" s="55" t="s">
        <v>2334</v>
      </c>
      <c r="E31" s="55" t="s">
        <v>29</v>
      </c>
      <c r="F31" s="55">
        <v>4</v>
      </c>
      <c r="G31" s="55">
        <v>1728</v>
      </c>
      <c r="H31" s="55">
        <v>1440</v>
      </c>
      <c r="I31" s="55"/>
      <c r="J31" s="55"/>
      <c r="K31" s="55"/>
      <c r="L31" s="55">
        <v>1440</v>
      </c>
      <c r="M31" s="55"/>
      <c r="N31" s="55"/>
      <c r="O31" s="55" t="s">
        <v>37</v>
      </c>
      <c r="P31" s="55">
        <v>6731002766</v>
      </c>
      <c r="Q31" s="55">
        <v>673201001</v>
      </c>
      <c r="R31" s="55" t="s">
        <v>38</v>
      </c>
      <c r="S31" s="55" t="s">
        <v>3557</v>
      </c>
      <c r="T31" s="55">
        <v>2</v>
      </c>
      <c r="U31" t="s">
        <v>3558</v>
      </c>
    </row>
    <row r="32" spans="1:21" x14ac:dyDescent="0.25">
      <c r="A32" s="55" t="s">
        <v>3599</v>
      </c>
      <c r="B32" s="55" t="s">
        <v>3943</v>
      </c>
      <c r="C32" s="55" t="s">
        <v>3598</v>
      </c>
      <c r="D32" s="55" t="s">
        <v>2334</v>
      </c>
      <c r="E32" s="55" t="s">
        <v>29</v>
      </c>
      <c r="F32" s="55">
        <v>4</v>
      </c>
      <c r="G32" s="55">
        <v>1814.4</v>
      </c>
      <c r="H32" s="55">
        <v>1512.0000000000002</v>
      </c>
      <c r="I32" s="55"/>
      <c r="J32" s="55"/>
      <c r="K32" s="55"/>
      <c r="L32" s="55">
        <v>1512.0000000000002</v>
      </c>
      <c r="M32" s="55"/>
      <c r="N32" s="55"/>
      <c r="O32" s="55" t="s">
        <v>3559</v>
      </c>
      <c r="P32" s="55">
        <v>1230123</v>
      </c>
      <c r="Q32" s="55">
        <v>3210321</v>
      </c>
      <c r="R32" s="55" t="s">
        <v>3560</v>
      </c>
      <c r="S32" s="55" t="s">
        <v>3561</v>
      </c>
      <c r="T32" s="55">
        <v>2</v>
      </c>
      <c r="U32">
        <v>444</v>
      </c>
    </row>
    <row r="33" spans="1:21" x14ac:dyDescent="0.25">
      <c r="A33" s="55" t="s">
        <v>3600</v>
      </c>
      <c r="B33" s="55" t="s">
        <v>3944</v>
      </c>
      <c r="C33" s="55" t="s">
        <v>3598</v>
      </c>
      <c r="D33" s="55" t="s">
        <v>2334</v>
      </c>
      <c r="E33" s="55" t="s">
        <v>29</v>
      </c>
      <c r="F33" s="55">
        <v>4</v>
      </c>
      <c r="G33" s="55">
        <v>1831.68</v>
      </c>
      <c r="H33" s="55">
        <v>1526.4</v>
      </c>
      <c r="I33" s="55"/>
      <c r="J33" s="55"/>
      <c r="K33" s="55"/>
      <c r="L33" s="55">
        <v>1526.4</v>
      </c>
      <c r="M33" s="55"/>
      <c r="N33" s="55"/>
      <c r="O33" s="55" t="s">
        <v>3562</v>
      </c>
      <c r="P33" s="55">
        <v>456456</v>
      </c>
      <c r="Q33" s="55">
        <v>789789</v>
      </c>
      <c r="R33" s="55" t="s">
        <v>3563</v>
      </c>
      <c r="S33" s="55" t="s">
        <v>3564</v>
      </c>
      <c r="T33" s="55">
        <v>2</v>
      </c>
      <c r="U33">
        <v>555</v>
      </c>
    </row>
    <row r="34" spans="1:21" x14ac:dyDescent="0.25">
      <c r="A34" s="55" t="s">
        <v>3601</v>
      </c>
      <c r="B34" s="55" t="s">
        <v>3942</v>
      </c>
      <c r="C34" s="55" t="s">
        <v>3602</v>
      </c>
      <c r="D34" s="55" t="s">
        <v>2340</v>
      </c>
      <c r="E34" s="55" t="s">
        <v>29</v>
      </c>
      <c r="F34" s="55">
        <v>3</v>
      </c>
      <c r="G34" s="55">
        <v>24499.200000000001</v>
      </c>
      <c r="H34" s="55">
        <v>20416</v>
      </c>
      <c r="I34" s="55"/>
      <c r="J34" s="55"/>
      <c r="K34" s="55"/>
      <c r="L34" s="55">
        <v>20416</v>
      </c>
      <c r="M34" s="55"/>
      <c r="N34" s="55"/>
      <c r="O34" s="55" t="s">
        <v>37</v>
      </c>
      <c r="P34" s="55">
        <v>6731002766</v>
      </c>
      <c r="Q34" s="55">
        <v>673201001</v>
      </c>
      <c r="R34" s="55" t="s">
        <v>38</v>
      </c>
      <c r="S34" s="55" t="s">
        <v>3557</v>
      </c>
      <c r="T34" s="55">
        <v>2</v>
      </c>
      <c r="U34" t="s">
        <v>3558</v>
      </c>
    </row>
    <row r="35" spans="1:21" x14ac:dyDescent="0.25">
      <c r="A35" s="55" t="s">
        <v>3603</v>
      </c>
      <c r="B35" s="55" t="s">
        <v>3943</v>
      </c>
      <c r="C35" s="55" t="s">
        <v>3602</v>
      </c>
      <c r="D35" s="55" t="s">
        <v>2340</v>
      </c>
      <c r="E35" s="55" t="s">
        <v>29</v>
      </c>
      <c r="F35" s="55">
        <v>3</v>
      </c>
      <c r="G35" s="55">
        <v>25234.175999999999</v>
      </c>
      <c r="H35" s="55">
        <v>21028.48</v>
      </c>
      <c r="I35" s="55"/>
      <c r="J35" s="55"/>
      <c r="K35" s="55"/>
      <c r="L35" s="55">
        <v>21028.48</v>
      </c>
      <c r="M35" s="55"/>
      <c r="N35" s="55"/>
      <c r="O35" s="55" t="s">
        <v>3559</v>
      </c>
      <c r="P35" s="55">
        <v>1230123</v>
      </c>
      <c r="Q35" s="55">
        <v>3210321</v>
      </c>
      <c r="R35" s="55" t="s">
        <v>3560</v>
      </c>
      <c r="S35" s="55" t="s">
        <v>3561</v>
      </c>
      <c r="T35" s="55">
        <v>2</v>
      </c>
      <c r="U35">
        <v>444</v>
      </c>
    </row>
    <row r="36" spans="1:21" x14ac:dyDescent="0.25">
      <c r="A36" s="55" t="s">
        <v>3604</v>
      </c>
      <c r="B36" s="55" t="s">
        <v>3944</v>
      </c>
      <c r="C36" s="55" t="s">
        <v>3602</v>
      </c>
      <c r="D36" s="55" t="s">
        <v>2340</v>
      </c>
      <c r="E36" s="55" t="s">
        <v>29</v>
      </c>
      <c r="F36" s="55">
        <v>3</v>
      </c>
      <c r="G36" s="55">
        <v>26459.136000000002</v>
      </c>
      <c r="H36" s="55">
        <v>22049.280000000002</v>
      </c>
      <c r="I36" s="55"/>
      <c r="J36" s="55"/>
      <c r="K36" s="55"/>
      <c r="L36" s="55">
        <v>22049.280000000002</v>
      </c>
      <c r="M36" s="55"/>
      <c r="N36" s="55"/>
      <c r="O36" s="55" t="s">
        <v>3562</v>
      </c>
      <c r="P36" s="55">
        <v>456456</v>
      </c>
      <c r="Q36" s="55">
        <v>789789</v>
      </c>
      <c r="R36" s="55" t="s">
        <v>3563</v>
      </c>
      <c r="S36" s="55" t="s">
        <v>3564</v>
      </c>
      <c r="T36" s="55">
        <v>2</v>
      </c>
      <c r="U36">
        <v>555</v>
      </c>
    </row>
    <row r="37" spans="1:21" x14ac:dyDescent="0.25">
      <c r="A37" s="55" t="s">
        <v>3605</v>
      </c>
      <c r="B37" s="55" t="s">
        <v>3945</v>
      </c>
      <c r="C37" s="55" t="s">
        <v>3606</v>
      </c>
      <c r="D37" s="55" t="s">
        <v>2335</v>
      </c>
      <c r="E37" s="55" t="s">
        <v>29</v>
      </c>
      <c r="F37" s="55">
        <v>7</v>
      </c>
      <c r="G37" s="55" t="s">
        <v>3607</v>
      </c>
      <c r="H37" s="55">
        <v>319</v>
      </c>
      <c r="I37" s="55"/>
      <c r="J37" s="55"/>
      <c r="K37" s="55"/>
      <c r="L37" s="55">
        <v>319</v>
      </c>
      <c r="M37" s="55"/>
      <c r="N37" s="55"/>
      <c r="O37" s="55" t="s">
        <v>37</v>
      </c>
      <c r="P37" s="55">
        <v>7802348846</v>
      </c>
      <c r="Q37" s="55">
        <v>997350001</v>
      </c>
      <c r="R37" s="55" t="s">
        <v>38</v>
      </c>
      <c r="S37" s="55" t="s">
        <v>3557</v>
      </c>
      <c r="T37" s="55">
        <v>2</v>
      </c>
      <c r="U37" t="s">
        <v>3558</v>
      </c>
    </row>
    <row r="38" spans="1:21" x14ac:dyDescent="0.25">
      <c r="A38" s="55" t="s">
        <v>3608</v>
      </c>
      <c r="B38" s="55" t="s">
        <v>3946</v>
      </c>
      <c r="C38" s="55" t="s">
        <v>3606</v>
      </c>
      <c r="D38" s="55" t="s">
        <v>2335</v>
      </c>
      <c r="E38" s="55" t="s">
        <v>29</v>
      </c>
      <c r="F38" s="55">
        <v>7</v>
      </c>
      <c r="G38" s="55">
        <v>401.94</v>
      </c>
      <c r="H38" s="55">
        <v>334.95</v>
      </c>
      <c r="I38" s="55"/>
      <c r="J38" s="55"/>
      <c r="K38" s="55"/>
      <c r="L38" s="55">
        <v>334.95</v>
      </c>
      <c r="M38" s="55"/>
      <c r="N38" s="55"/>
      <c r="O38" s="55" t="s">
        <v>3559</v>
      </c>
      <c r="P38" s="55">
        <v>1230123</v>
      </c>
      <c r="Q38" s="55">
        <v>3210321</v>
      </c>
      <c r="R38" s="55" t="s">
        <v>3560</v>
      </c>
      <c r="S38" s="55" t="s">
        <v>3561</v>
      </c>
      <c r="T38" s="55">
        <v>2</v>
      </c>
      <c r="U38">
        <v>444</v>
      </c>
    </row>
    <row r="39" spans="1:21" x14ac:dyDescent="0.25">
      <c r="A39" s="55" t="s">
        <v>3609</v>
      </c>
      <c r="B39" s="55" t="s">
        <v>3947</v>
      </c>
      <c r="C39" s="55" t="s">
        <v>3606</v>
      </c>
      <c r="D39" s="55" t="s">
        <v>2335</v>
      </c>
      <c r="E39" s="55" t="s">
        <v>29</v>
      </c>
      <c r="F39" s="55">
        <v>7</v>
      </c>
      <c r="G39" s="55">
        <v>409.596</v>
      </c>
      <c r="H39" s="55">
        <v>341.33000000000004</v>
      </c>
      <c r="I39" s="55"/>
      <c r="J39" s="55"/>
      <c r="K39" s="55"/>
      <c r="L39" s="55">
        <v>341.33000000000004</v>
      </c>
      <c r="M39" s="55"/>
      <c r="N39" s="55"/>
      <c r="O39" s="55" t="s">
        <v>3562</v>
      </c>
      <c r="P39" s="55">
        <v>456456</v>
      </c>
      <c r="Q39" s="55">
        <v>789789</v>
      </c>
      <c r="R39" s="55" t="s">
        <v>3563</v>
      </c>
      <c r="S39" s="55" t="s">
        <v>3564</v>
      </c>
      <c r="T39" s="55">
        <v>2</v>
      </c>
      <c r="U39">
        <v>555</v>
      </c>
    </row>
    <row r="40" spans="1:21" x14ac:dyDescent="0.25">
      <c r="A40" s="55" t="s">
        <v>3610</v>
      </c>
      <c r="B40" s="55" t="s">
        <v>3948</v>
      </c>
      <c r="C40" s="55" t="s">
        <v>3611</v>
      </c>
      <c r="D40" s="55" t="s">
        <v>2255</v>
      </c>
      <c r="E40" s="55" t="s">
        <v>29</v>
      </c>
      <c r="F40" s="55">
        <v>4</v>
      </c>
      <c r="G40" s="55" t="s">
        <v>3612</v>
      </c>
      <c r="H40" s="55">
        <v>11889</v>
      </c>
      <c r="I40" s="55"/>
      <c r="J40" s="55"/>
      <c r="K40" s="55"/>
      <c r="L40" s="55">
        <v>11889</v>
      </c>
      <c r="M40" s="55"/>
      <c r="N40" s="55"/>
      <c r="O40" s="55" t="s">
        <v>37</v>
      </c>
      <c r="P40" s="55">
        <v>6731002766</v>
      </c>
      <c r="Q40" s="55">
        <v>673201001</v>
      </c>
      <c r="R40" s="55" t="s">
        <v>38</v>
      </c>
      <c r="S40" s="55" t="s">
        <v>3557</v>
      </c>
      <c r="T40" s="55">
        <v>2</v>
      </c>
      <c r="U40" t="s">
        <v>3558</v>
      </c>
    </row>
    <row r="41" spans="1:21" x14ac:dyDescent="0.25">
      <c r="A41" s="55" t="s">
        <v>3613</v>
      </c>
      <c r="B41" s="55" t="s">
        <v>3949</v>
      </c>
      <c r="C41" s="55" t="s">
        <v>3611</v>
      </c>
      <c r="D41" s="55" t="s">
        <v>2255</v>
      </c>
      <c r="E41" s="55" t="s">
        <v>29</v>
      </c>
      <c r="F41" s="55">
        <v>4</v>
      </c>
      <c r="G41" s="55">
        <v>14837.472</v>
      </c>
      <c r="H41" s="55">
        <v>12364.56</v>
      </c>
      <c r="I41" s="55"/>
      <c r="J41" s="55"/>
      <c r="K41" s="55"/>
      <c r="L41" s="55">
        <v>12364.56</v>
      </c>
      <c r="M41" s="55"/>
      <c r="N41" s="55"/>
      <c r="O41" s="55" t="s">
        <v>3559</v>
      </c>
      <c r="P41" s="55">
        <v>1230123</v>
      </c>
      <c r="Q41" s="55">
        <v>3210321</v>
      </c>
      <c r="R41" s="55" t="s">
        <v>3560</v>
      </c>
      <c r="S41" s="55" t="s">
        <v>3561</v>
      </c>
      <c r="T41" s="55">
        <v>2</v>
      </c>
      <c r="U41">
        <v>444</v>
      </c>
    </row>
    <row r="42" spans="1:21" x14ac:dyDescent="0.25">
      <c r="A42" s="55" t="s">
        <v>3614</v>
      </c>
      <c r="B42" s="55" t="s">
        <v>3950</v>
      </c>
      <c r="C42" s="55" t="s">
        <v>3611</v>
      </c>
      <c r="D42" s="55" t="s">
        <v>2255</v>
      </c>
      <c r="E42" s="55" t="s">
        <v>29</v>
      </c>
      <c r="F42" s="55">
        <v>4</v>
      </c>
      <c r="G42" s="55">
        <v>15408.144</v>
      </c>
      <c r="H42" s="55">
        <v>12840.12</v>
      </c>
      <c r="I42" s="55"/>
      <c r="J42" s="55"/>
      <c r="K42" s="55"/>
      <c r="L42" s="55">
        <v>12840.12</v>
      </c>
      <c r="M42" s="55"/>
      <c r="N42" s="55"/>
      <c r="O42" s="55" t="s">
        <v>3562</v>
      </c>
      <c r="P42" s="55">
        <v>456456</v>
      </c>
      <c r="Q42" s="55">
        <v>789789</v>
      </c>
      <c r="R42" s="55" t="s">
        <v>3563</v>
      </c>
      <c r="S42" s="55" t="s">
        <v>3564</v>
      </c>
      <c r="T42" s="55">
        <v>2</v>
      </c>
      <c r="U42">
        <v>555</v>
      </c>
    </row>
    <row r="43" spans="1:21" x14ac:dyDescent="0.25">
      <c r="A43" s="55" t="s">
        <v>3615</v>
      </c>
      <c r="B43" s="55" t="s">
        <v>3951</v>
      </c>
      <c r="C43" s="55" t="s">
        <v>3616</v>
      </c>
      <c r="D43" s="55" t="s">
        <v>2339</v>
      </c>
      <c r="E43" s="55" t="s">
        <v>29</v>
      </c>
      <c r="F43" s="55">
        <v>1</v>
      </c>
      <c r="G43" s="55" t="s">
        <v>3617</v>
      </c>
      <c r="H43" s="55">
        <v>14531.000000000002</v>
      </c>
      <c r="I43" s="55"/>
      <c r="J43" s="55"/>
      <c r="K43" s="55"/>
      <c r="L43" s="55">
        <v>14531.000000000002</v>
      </c>
      <c r="M43" s="55"/>
      <c r="N43" s="55"/>
      <c r="O43" s="55" t="s">
        <v>37</v>
      </c>
      <c r="P43" s="55">
        <v>7802348846</v>
      </c>
      <c r="Q43" s="55">
        <v>997350001</v>
      </c>
      <c r="R43" s="55" t="s">
        <v>38</v>
      </c>
      <c r="S43" s="55" t="s">
        <v>3557</v>
      </c>
      <c r="T43" s="55">
        <v>2</v>
      </c>
      <c r="U43" t="s">
        <v>3558</v>
      </c>
    </row>
    <row r="44" spans="1:21" x14ac:dyDescent="0.25">
      <c r="A44" s="55" t="s">
        <v>3618</v>
      </c>
      <c r="B44" s="55" t="s">
        <v>3952</v>
      </c>
      <c r="C44" s="55" t="s">
        <v>3616</v>
      </c>
      <c r="D44" s="55" t="s">
        <v>2339</v>
      </c>
      <c r="E44" s="55" t="s">
        <v>29</v>
      </c>
      <c r="F44" s="55">
        <v>1</v>
      </c>
      <c r="G44" s="55">
        <v>18309.060000000001</v>
      </c>
      <c r="H44" s="55">
        <v>15257.550000000001</v>
      </c>
      <c r="I44" s="55"/>
      <c r="J44" s="55"/>
      <c r="K44" s="55"/>
      <c r="L44" s="55">
        <v>15257.550000000001</v>
      </c>
      <c r="M44" s="55"/>
      <c r="N44" s="55"/>
      <c r="O44" s="55" t="s">
        <v>3559</v>
      </c>
      <c r="P44" s="55">
        <v>1230123</v>
      </c>
      <c r="Q44" s="55">
        <v>3210321</v>
      </c>
      <c r="R44" s="55" t="s">
        <v>3560</v>
      </c>
      <c r="S44" s="55" t="s">
        <v>3561</v>
      </c>
      <c r="T44" s="55">
        <v>2</v>
      </c>
      <c r="U44">
        <v>444</v>
      </c>
    </row>
    <row r="45" spans="1:21" x14ac:dyDescent="0.25">
      <c r="A45" s="55" t="s">
        <v>3619</v>
      </c>
      <c r="B45" s="55" t="s">
        <v>3953</v>
      </c>
      <c r="C45" s="55" t="s">
        <v>3616</v>
      </c>
      <c r="D45" s="55" t="s">
        <v>2339</v>
      </c>
      <c r="E45" s="55" t="s">
        <v>29</v>
      </c>
      <c r="F45" s="55">
        <v>1</v>
      </c>
      <c r="G45" s="55">
        <v>18483.432000000001</v>
      </c>
      <c r="H45" s="55">
        <v>15402.86</v>
      </c>
      <c r="I45" s="55"/>
      <c r="J45" s="55"/>
      <c r="K45" s="55"/>
      <c r="L45" s="55">
        <v>15402.86</v>
      </c>
      <c r="M45" s="55"/>
      <c r="N45" s="55"/>
      <c r="O45" s="55" t="s">
        <v>3562</v>
      </c>
      <c r="P45" s="55">
        <v>456456</v>
      </c>
      <c r="Q45" s="55">
        <v>789789</v>
      </c>
      <c r="R45" s="55" t="s">
        <v>3563</v>
      </c>
      <c r="S45" s="55" t="s">
        <v>3564</v>
      </c>
      <c r="T45" s="55">
        <v>2</v>
      </c>
      <c r="U45">
        <v>555</v>
      </c>
    </row>
    <row r="46" spans="1:21" x14ac:dyDescent="0.25">
      <c r="A46" s="55" t="s">
        <v>3620</v>
      </c>
      <c r="B46" s="55" t="s">
        <v>3951</v>
      </c>
      <c r="C46" s="55" t="s">
        <v>3621</v>
      </c>
      <c r="D46" s="55" t="s">
        <v>2341</v>
      </c>
      <c r="E46" s="55" t="s">
        <v>29</v>
      </c>
      <c r="F46" s="55">
        <v>3</v>
      </c>
      <c r="G46" s="55" t="s">
        <v>3622</v>
      </c>
      <c r="H46" s="55">
        <v>30023</v>
      </c>
      <c r="I46" s="55"/>
      <c r="J46" s="55"/>
      <c r="K46" s="55"/>
      <c r="L46" s="55">
        <v>30023</v>
      </c>
      <c r="M46" s="55"/>
      <c r="N46" s="55"/>
      <c r="O46" s="55" t="s">
        <v>37</v>
      </c>
      <c r="P46" s="55">
        <v>7802348846</v>
      </c>
      <c r="Q46" s="55">
        <v>997350001</v>
      </c>
      <c r="R46" s="55" t="s">
        <v>38</v>
      </c>
      <c r="S46" s="55" t="s">
        <v>3557</v>
      </c>
      <c r="T46" s="55">
        <v>2</v>
      </c>
      <c r="U46" t="s">
        <v>3558</v>
      </c>
    </row>
    <row r="47" spans="1:21" x14ac:dyDescent="0.25">
      <c r="A47" s="55" t="s">
        <v>3623</v>
      </c>
      <c r="B47" s="55" t="s">
        <v>3952</v>
      </c>
      <c r="C47" s="55" t="s">
        <v>3621</v>
      </c>
      <c r="D47" s="55" t="s">
        <v>2341</v>
      </c>
      <c r="E47" s="55" t="s">
        <v>29</v>
      </c>
      <c r="F47" s="55">
        <v>3</v>
      </c>
      <c r="G47" s="55">
        <v>37468.703999999998</v>
      </c>
      <c r="H47" s="55">
        <v>31223.919999999998</v>
      </c>
      <c r="I47" s="55"/>
      <c r="J47" s="55"/>
      <c r="K47" s="55"/>
      <c r="L47" s="55">
        <v>31223.919999999998</v>
      </c>
      <c r="M47" s="55"/>
      <c r="N47" s="55"/>
      <c r="O47" s="55" t="s">
        <v>3559</v>
      </c>
      <c r="P47" s="55">
        <v>1230123</v>
      </c>
      <c r="Q47" s="55">
        <v>3210321</v>
      </c>
      <c r="R47" s="55" t="s">
        <v>3560</v>
      </c>
      <c r="S47" s="55" t="s">
        <v>3561</v>
      </c>
      <c r="T47" s="55">
        <v>2</v>
      </c>
      <c r="U47">
        <v>444</v>
      </c>
    </row>
    <row r="48" spans="1:21" x14ac:dyDescent="0.25">
      <c r="A48" s="55" t="s">
        <v>3624</v>
      </c>
      <c r="B48" s="55" t="s">
        <v>3953</v>
      </c>
      <c r="C48" s="55" t="s">
        <v>3621</v>
      </c>
      <c r="D48" s="55" t="s">
        <v>2341</v>
      </c>
      <c r="E48" s="55" t="s">
        <v>29</v>
      </c>
      <c r="F48" s="55">
        <v>3</v>
      </c>
      <c r="G48" s="55">
        <v>38909.807999999997</v>
      </c>
      <c r="H48" s="55">
        <v>32424.84</v>
      </c>
      <c r="I48" s="55"/>
      <c r="J48" s="55"/>
      <c r="K48" s="55"/>
      <c r="L48" s="55">
        <v>32424.84</v>
      </c>
      <c r="M48" s="55"/>
      <c r="N48" s="55"/>
      <c r="O48" s="55" t="s">
        <v>3562</v>
      </c>
      <c r="P48" s="55">
        <v>456456</v>
      </c>
      <c r="Q48" s="55">
        <v>789789</v>
      </c>
      <c r="R48" s="55" t="s">
        <v>3563</v>
      </c>
      <c r="S48" s="55" t="s">
        <v>3564</v>
      </c>
      <c r="T48" s="55">
        <v>2</v>
      </c>
      <c r="U48">
        <v>555</v>
      </c>
    </row>
    <row r="49" spans="1:21" x14ac:dyDescent="0.25">
      <c r="A49" s="55" t="s">
        <v>3625</v>
      </c>
      <c r="B49" s="55" t="s">
        <v>3951</v>
      </c>
      <c r="C49" s="55" t="s">
        <v>3626</v>
      </c>
      <c r="D49" s="55" t="s">
        <v>2336</v>
      </c>
      <c r="E49" s="55" t="s">
        <v>29</v>
      </c>
      <c r="F49" s="55">
        <v>3</v>
      </c>
      <c r="G49" s="55" t="s">
        <v>3627</v>
      </c>
      <c r="H49" s="55">
        <v>39990</v>
      </c>
      <c r="I49" s="55"/>
      <c r="J49" s="55"/>
      <c r="K49" s="55"/>
      <c r="L49" s="55">
        <v>39990</v>
      </c>
      <c r="M49" s="55"/>
      <c r="N49" s="55"/>
      <c r="O49" s="55" t="s">
        <v>37</v>
      </c>
      <c r="P49" s="55">
        <v>7802348846</v>
      </c>
      <c r="Q49" s="55">
        <v>997350001</v>
      </c>
      <c r="R49" s="55" t="s">
        <v>38</v>
      </c>
      <c r="S49" s="55" t="s">
        <v>3557</v>
      </c>
      <c r="T49" s="55">
        <v>2</v>
      </c>
      <c r="U49" t="s">
        <v>3558</v>
      </c>
    </row>
    <row r="50" spans="1:21" x14ac:dyDescent="0.25">
      <c r="A50" s="55" t="s">
        <v>3628</v>
      </c>
      <c r="B50" s="55" t="s">
        <v>3952</v>
      </c>
      <c r="C50" s="55" t="s">
        <v>3626</v>
      </c>
      <c r="D50" s="55" t="s">
        <v>2336</v>
      </c>
      <c r="E50" s="55" t="s">
        <v>29</v>
      </c>
      <c r="F50" s="55">
        <v>3</v>
      </c>
      <c r="G50" s="55">
        <v>50387.4</v>
      </c>
      <c r="H50" s="55">
        <v>41989.5</v>
      </c>
      <c r="I50" s="55"/>
      <c r="J50" s="55"/>
      <c r="K50" s="55"/>
      <c r="L50" s="55">
        <v>41989.5</v>
      </c>
      <c r="M50" s="55"/>
      <c r="N50" s="55"/>
      <c r="O50" s="55" t="s">
        <v>3559</v>
      </c>
      <c r="P50" s="55">
        <v>1230123</v>
      </c>
      <c r="Q50" s="55">
        <v>3210321</v>
      </c>
      <c r="R50" s="55" t="s">
        <v>3560</v>
      </c>
      <c r="S50" s="55" t="s">
        <v>3561</v>
      </c>
      <c r="T50" s="55">
        <v>2</v>
      </c>
      <c r="U50">
        <v>444</v>
      </c>
    </row>
    <row r="51" spans="1:21" x14ac:dyDescent="0.25">
      <c r="A51" s="55" t="s">
        <v>3629</v>
      </c>
      <c r="B51" s="55" t="s">
        <v>3953</v>
      </c>
      <c r="C51" s="55" t="s">
        <v>3626</v>
      </c>
      <c r="D51" s="55" t="s">
        <v>2336</v>
      </c>
      <c r="E51" s="55" t="s">
        <v>29</v>
      </c>
      <c r="F51" s="55">
        <v>3</v>
      </c>
      <c r="G51" s="55">
        <v>51827.040000000001</v>
      </c>
      <c r="H51" s="55">
        <v>43189.200000000004</v>
      </c>
      <c r="I51" s="55"/>
      <c r="J51" s="55"/>
      <c r="K51" s="55"/>
      <c r="L51" s="55">
        <v>43189.200000000004</v>
      </c>
      <c r="M51" s="55"/>
      <c r="N51" s="55"/>
      <c r="O51" s="55" t="s">
        <v>3562</v>
      </c>
      <c r="P51" s="55">
        <v>456456</v>
      </c>
      <c r="Q51" s="55">
        <v>789789</v>
      </c>
      <c r="R51" s="55" t="s">
        <v>3563</v>
      </c>
      <c r="S51" s="55" t="s">
        <v>3564</v>
      </c>
      <c r="T51" s="55">
        <v>2</v>
      </c>
      <c r="U51">
        <v>555</v>
      </c>
    </row>
    <row r="52" spans="1:21" x14ac:dyDescent="0.25">
      <c r="A52" s="55" t="s">
        <v>3630</v>
      </c>
      <c r="B52" s="55" t="s">
        <v>3951</v>
      </c>
      <c r="C52" s="55" t="s">
        <v>3626</v>
      </c>
      <c r="D52" s="55" t="s">
        <v>2337</v>
      </c>
      <c r="E52" s="55" t="s">
        <v>29</v>
      </c>
      <c r="F52" s="55">
        <v>2</v>
      </c>
      <c r="G52" s="55" t="s">
        <v>3627</v>
      </c>
      <c r="H52" s="55">
        <v>39990</v>
      </c>
      <c r="I52" s="55"/>
      <c r="J52" s="55"/>
      <c r="K52" s="55"/>
      <c r="L52" s="55">
        <v>39990</v>
      </c>
      <c r="M52" s="55"/>
      <c r="N52" s="55"/>
      <c r="O52" s="55" t="s">
        <v>37</v>
      </c>
      <c r="P52" s="55">
        <v>7802348846</v>
      </c>
      <c r="Q52" s="55">
        <v>997350001</v>
      </c>
      <c r="R52" s="55" t="s">
        <v>38</v>
      </c>
      <c r="S52" s="55" t="s">
        <v>3557</v>
      </c>
      <c r="T52" s="55">
        <v>2</v>
      </c>
      <c r="U52" t="s">
        <v>3558</v>
      </c>
    </row>
    <row r="53" spans="1:21" x14ac:dyDescent="0.25">
      <c r="A53" s="55" t="s">
        <v>3631</v>
      </c>
      <c r="B53" s="55" t="s">
        <v>3952</v>
      </c>
      <c r="C53" s="55" t="s">
        <v>3626</v>
      </c>
      <c r="D53" s="55" t="s">
        <v>2337</v>
      </c>
      <c r="E53" s="55" t="s">
        <v>29</v>
      </c>
      <c r="F53" s="55">
        <v>2</v>
      </c>
      <c r="G53" s="55">
        <v>49907.519999999997</v>
      </c>
      <c r="H53" s="55">
        <v>41589.599999999999</v>
      </c>
      <c r="I53" s="55"/>
      <c r="J53" s="55"/>
      <c r="K53" s="55"/>
      <c r="L53" s="55">
        <v>41589.599999999999</v>
      </c>
      <c r="M53" s="55"/>
      <c r="N53" s="55"/>
      <c r="O53" s="55" t="s">
        <v>3559</v>
      </c>
      <c r="P53" s="55">
        <v>1230123</v>
      </c>
      <c r="Q53" s="55">
        <v>3210321</v>
      </c>
      <c r="R53" s="55" t="s">
        <v>3560</v>
      </c>
      <c r="S53" s="55" t="s">
        <v>3561</v>
      </c>
      <c r="T53" s="55">
        <v>2</v>
      </c>
      <c r="U53">
        <v>444</v>
      </c>
    </row>
    <row r="54" spans="1:21" x14ac:dyDescent="0.25">
      <c r="A54" s="55" t="s">
        <v>3632</v>
      </c>
      <c r="B54" s="55" t="s">
        <v>3953</v>
      </c>
      <c r="C54" s="55" t="s">
        <v>3626</v>
      </c>
      <c r="D54" s="55" t="s">
        <v>2337</v>
      </c>
      <c r="E54" s="55" t="s">
        <v>29</v>
      </c>
      <c r="F54" s="55">
        <v>2</v>
      </c>
      <c r="G54" s="55">
        <v>51347.16</v>
      </c>
      <c r="H54" s="55">
        <v>42789.3</v>
      </c>
      <c r="I54" s="55"/>
      <c r="J54" s="55"/>
      <c r="K54" s="55"/>
      <c r="L54" s="55">
        <v>42789.3</v>
      </c>
      <c r="M54" s="55"/>
      <c r="N54" s="55"/>
      <c r="O54" s="55" t="s">
        <v>3562</v>
      </c>
      <c r="P54" s="55">
        <v>456456</v>
      </c>
      <c r="Q54" s="55">
        <v>789789</v>
      </c>
      <c r="R54" s="55" t="s">
        <v>3563</v>
      </c>
      <c r="S54" s="55" t="s">
        <v>3564</v>
      </c>
      <c r="T54" s="55">
        <v>2</v>
      </c>
      <c r="U54">
        <v>555</v>
      </c>
    </row>
    <row r="55" spans="1:21" x14ac:dyDescent="0.25">
      <c r="A55" s="55" t="s">
        <v>3633</v>
      </c>
      <c r="B55" s="55" t="s">
        <v>3954</v>
      </c>
      <c r="C55" s="55" t="s">
        <v>3634</v>
      </c>
      <c r="D55" s="55" t="s">
        <v>2343</v>
      </c>
      <c r="E55" s="55" t="s">
        <v>29</v>
      </c>
      <c r="F55" s="55">
        <v>2</v>
      </c>
      <c r="G55" s="55" t="s">
        <v>3635</v>
      </c>
      <c r="H55" s="55">
        <v>180250</v>
      </c>
      <c r="I55" s="55"/>
      <c r="J55" s="55"/>
      <c r="K55" s="55"/>
      <c r="L55" s="55">
        <v>180250</v>
      </c>
      <c r="M55" s="55"/>
      <c r="N55" s="55"/>
      <c r="O55" s="55" t="s">
        <v>2350</v>
      </c>
      <c r="P55" s="55">
        <v>7802806380</v>
      </c>
      <c r="Q55" s="55">
        <v>780201001</v>
      </c>
      <c r="R55" s="55" t="s">
        <v>2351</v>
      </c>
      <c r="S55" s="55" t="s">
        <v>41</v>
      </c>
      <c r="T55" s="55">
        <v>1</v>
      </c>
      <c r="U55" t="s">
        <v>3636</v>
      </c>
    </row>
    <row r="56" spans="1:21" x14ac:dyDescent="0.25">
      <c r="A56" s="55" t="s">
        <v>3637</v>
      </c>
      <c r="B56" s="55" t="s">
        <v>3936</v>
      </c>
      <c r="C56" s="55" t="s">
        <v>3634</v>
      </c>
      <c r="D56" s="55" t="s">
        <v>2343</v>
      </c>
      <c r="E56" s="55" t="s">
        <v>29</v>
      </c>
      <c r="F56" s="55">
        <v>2</v>
      </c>
      <c r="G56" s="55">
        <v>227115</v>
      </c>
      <c r="H56" s="55">
        <v>189262.5</v>
      </c>
      <c r="I56" s="55"/>
      <c r="J56" s="55"/>
      <c r="K56" s="55"/>
      <c r="L56" s="55">
        <v>189262.5</v>
      </c>
      <c r="M56" s="55"/>
      <c r="N56" s="55"/>
      <c r="O56" s="55" t="s">
        <v>3559</v>
      </c>
      <c r="P56" s="55">
        <v>1230123</v>
      </c>
      <c r="Q56" s="55">
        <v>3210321</v>
      </c>
      <c r="R56" s="55" t="s">
        <v>3560</v>
      </c>
      <c r="S56" s="55" t="s">
        <v>3561</v>
      </c>
      <c r="T56" s="55">
        <v>2</v>
      </c>
      <c r="U56">
        <v>444</v>
      </c>
    </row>
    <row r="57" spans="1:21" x14ac:dyDescent="0.25">
      <c r="A57" s="55" t="s">
        <v>3638</v>
      </c>
      <c r="B57" s="55" t="s">
        <v>3937</v>
      </c>
      <c r="C57" s="55" t="s">
        <v>3634</v>
      </c>
      <c r="D57" s="55" t="s">
        <v>2343</v>
      </c>
      <c r="E57" s="55" t="s">
        <v>29</v>
      </c>
      <c r="F57" s="55">
        <v>2</v>
      </c>
      <c r="G57" s="55">
        <v>233604</v>
      </c>
      <c r="H57" s="55">
        <v>194670</v>
      </c>
      <c r="I57" s="55"/>
      <c r="J57" s="55"/>
      <c r="K57" s="55"/>
      <c r="L57" s="55">
        <v>194670</v>
      </c>
      <c r="M57" s="55"/>
      <c r="N57" s="55"/>
      <c r="O57" s="55" t="s">
        <v>3562</v>
      </c>
      <c r="P57" s="55">
        <v>456456</v>
      </c>
      <c r="Q57" s="55">
        <v>789789</v>
      </c>
      <c r="R57" s="55" t="s">
        <v>3563</v>
      </c>
      <c r="S57" s="55" t="s">
        <v>3564</v>
      </c>
      <c r="T57" s="55">
        <v>2</v>
      </c>
      <c r="U57">
        <v>555</v>
      </c>
    </row>
    <row r="58" spans="1:21" x14ac:dyDescent="0.25">
      <c r="A58" s="55" t="s">
        <v>3639</v>
      </c>
      <c r="B58" s="55" t="s">
        <v>3954</v>
      </c>
      <c r="C58" s="55" t="s">
        <v>3634</v>
      </c>
      <c r="D58" s="55" t="s">
        <v>2344</v>
      </c>
      <c r="E58" s="55" t="s">
        <v>29</v>
      </c>
      <c r="F58" s="55">
        <v>1</v>
      </c>
      <c r="G58" s="55" t="s">
        <v>3635</v>
      </c>
      <c r="H58" s="55">
        <v>180250</v>
      </c>
      <c r="I58" s="55"/>
      <c r="J58" s="55"/>
      <c r="K58" s="55"/>
      <c r="L58" s="55">
        <v>180250</v>
      </c>
      <c r="M58" s="55"/>
      <c r="N58" s="55"/>
      <c r="O58" s="55" t="s">
        <v>2350</v>
      </c>
      <c r="P58" s="55">
        <v>7802806380</v>
      </c>
      <c r="Q58" s="55">
        <v>780201001</v>
      </c>
      <c r="R58" s="55" t="s">
        <v>2351</v>
      </c>
      <c r="S58" s="55" t="s">
        <v>41</v>
      </c>
      <c r="T58" s="55">
        <v>1</v>
      </c>
      <c r="U58" t="s">
        <v>3636</v>
      </c>
    </row>
    <row r="59" spans="1:21" x14ac:dyDescent="0.25">
      <c r="A59" s="55" t="s">
        <v>3640</v>
      </c>
      <c r="B59" s="55" t="s">
        <v>3936</v>
      </c>
      <c r="C59" s="55" t="s">
        <v>3634</v>
      </c>
      <c r="D59" s="55" t="s">
        <v>2344</v>
      </c>
      <c r="E59" s="55" t="s">
        <v>29</v>
      </c>
      <c r="F59" s="55">
        <v>1</v>
      </c>
      <c r="G59" s="55">
        <v>222789</v>
      </c>
      <c r="H59" s="55">
        <v>185657.5</v>
      </c>
      <c r="I59" s="55"/>
      <c r="J59" s="55"/>
      <c r="K59" s="55"/>
      <c r="L59" s="55">
        <v>185657.5</v>
      </c>
      <c r="M59" s="55"/>
      <c r="N59" s="55"/>
      <c r="O59" s="55" t="s">
        <v>3559</v>
      </c>
      <c r="P59" s="55">
        <v>1230123</v>
      </c>
      <c r="Q59" s="55">
        <v>3210321</v>
      </c>
      <c r="R59" s="55" t="s">
        <v>3560</v>
      </c>
      <c r="S59" s="55" t="s">
        <v>3561</v>
      </c>
      <c r="T59" s="55">
        <v>2</v>
      </c>
      <c r="U59">
        <v>444</v>
      </c>
    </row>
    <row r="60" spans="1:21" x14ac:dyDescent="0.25">
      <c r="A60" s="55" t="s">
        <v>3641</v>
      </c>
      <c r="B60" s="55" t="s">
        <v>3937</v>
      </c>
      <c r="C60" s="55" t="s">
        <v>3634</v>
      </c>
      <c r="D60" s="55" t="s">
        <v>2344</v>
      </c>
      <c r="E60" s="55" t="s">
        <v>29</v>
      </c>
      <c r="F60" s="55">
        <v>1</v>
      </c>
      <c r="G60" s="55">
        <v>231441</v>
      </c>
      <c r="H60" s="55">
        <v>192867.5</v>
      </c>
      <c r="I60" s="55"/>
      <c r="J60" s="55"/>
      <c r="K60" s="55"/>
      <c r="L60" s="55">
        <v>192867.5</v>
      </c>
      <c r="M60" s="55"/>
      <c r="N60" s="55"/>
      <c r="O60" s="55" t="s">
        <v>3562</v>
      </c>
      <c r="P60" s="55">
        <v>456456</v>
      </c>
      <c r="Q60" s="55">
        <v>789789</v>
      </c>
      <c r="R60" s="55" t="s">
        <v>3563</v>
      </c>
      <c r="S60" s="55" t="s">
        <v>3564</v>
      </c>
      <c r="T60" s="55">
        <v>2</v>
      </c>
      <c r="U60">
        <v>555</v>
      </c>
    </row>
    <row r="61" spans="1:21" x14ac:dyDescent="0.25">
      <c r="A61" s="55" t="s">
        <v>3642</v>
      </c>
      <c r="B61" s="55" t="s">
        <v>3954</v>
      </c>
      <c r="C61" s="55" t="s">
        <v>3634</v>
      </c>
      <c r="D61" s="55" t="s">
        <v>2345</v>
      </c>
      <c r="E61" s="55" t="s">
        <v>29</v>
      </c>
      <c r="F61" s="55">
        <v>2</v>
      </c>
      <c r="G61" s="55" t="s">
        <v>3635</v>
      </c>
      <c r="H61" s="55">
        <v>180250</v>
      </c>
      <c r="I61" s="55"/>
      <c r="J61" s="55"/>
      <c r="K61" s="55"/>
      <c r="L61" s="55">
        <v>180250</v>
      </c>
      <c r="M61" s="55"/>
      <c r="N61" s="55"/>
      <c r="O61" s="55" t="s">
        <v>2350</v>
      </c>
      <c r="P61" s="55">
        <v>7802806380</v>
      </c>
      <c r="Q61" s="55">
        <v>780201001</v>
      </c>
      <c r="R61" s="55" t="s">
        <v>2351</v>
      </c>
      <c r="S61" s="55" t="s">
        <v>41</v>
      </c>
      <c r="T61" s="55">
        <v>1</v>
      </c>
      <c r="U61" t="s">
        <v>3636</v>
      </c>
    </row>
    <row r="62" spans="1:21" x14ac:dyDescent="0.25">
      <c r="A62" s="55" t="s">
        <v>3643</v>
      </c>
      <c r="B62" s="55" t="s">
        <v>3936</v>
      </c>
      <c r="C62" s="55" t="s">
        <v>3634</v>
      </c>
      <c r="D62" s="55" t="s">
        <v>2345</v>
      </c>
      <c r="E62" s="55" t="s">
        <v>29</v>
      </c>
      <c r="F62" s="55">
        <v>2</v>
      </c>
      <c r="G62" s="55">
        <v>224952</v>
      </c>
      <c r="H62" s="55">
        <v>187460</v>
      </c>
      <c r="I62" s="55"/>
      <c r="J62" s="55"/>
      <c r="K62" s="55"/>
      <c r="L62" s="55">
        <v>187460</v>
      </c>
      <c r="M62" s="55"/>
      <c r="N62" s="55"/>
      <c r="O62" s="55" t="s">
        <v>3559</v>
      </c>
      <c r="P62" s="55">
        <v>1230123</v>
      </c>
      <c r="Q62" s="55">
        <v>3210321</v>
      </c>
      <c r="R62" s="55" t="s">
        <v>3560</v>
      </c>
      <c r="S62" s="55" t="s">
        <v>3561</v>
      </c>
      <c r="T62" s="55">
        <v>2</v>
      </c>
      <c r="U62">
        <v>444</v>
      </c>
    </row>
    <row r="63" spans="1:21" x14ac:dyDescent="0.25">
      <c r="A63" s="55" t="s">
        <v>3644</v>
      </c>
      <c r="B63" s="55" t="s">
        <v>3937</v>
      </c>
      <c r="C63" s="55" t="s">
        <v>3634</v>
      </c>
      <c r="D63" s="55" t="s">
        <v>2345</v>
      </c>
      <c r="E63" s="55" t="s">
        <v>29</v>
      </c>
      <c r="F63" s="55">
        <v>2</v>
      </c>
      <c r="G63" s="55">
        <v>231441</v>
      </c>
      <c r="H63" s="55">
        <v>192867.5</v>
      </c>
      <c r="I63" s="55"/>
      <c r="J63" s="55"/>
      <c r="K63" s="55"/>
      <c r="L63" s="55">
        <v>192867.5</v>
      </c>
      <c r="M63" s="55"/>
      <c r="N63" s="55"/>
      <c r="O63" s="55" t="s">
        <v>3562</v>
      </c>
      <c r="P63" s="55">
        <v>456456</v>
      </c>
      <c r="Q63" s="55">
        <v>789789</v>
      </c>
      <c r="R63" s="55" t="s">
        <v>3563</v>
      </c>
      <c r="S63" s="55" t="s">
        <v>3564</v>
      </c>
      <c r="T63" s="55">
        <v>2</v>
      </c>
      <c r="U63">
        <v>555</v>
      </c>
    </row>
    <row r="64" spans="1:21" x14ac:dyDescent="0.25">
      <c r="A64" s="55" t="s">
        <v>3645</v>
      </c>
      <c r="B64" s="55" t="s">
        <v>3954</v>
      </c>
      <c r="C64" s="55" t="s">
        <v>3634</v>
      </c>
      <c r="D64" s="55" t="s">
        <v>2346</v>
      </c>
      <c r="E64" s="55" t="s">
        <v>29</v>
      </c>
      <c r="F64" s="55">
        <v>1</v>
      </c>
      <c r="G64" s="55" t="s">
        <v>3635</v>
      </c>
      <c r="H64" s="55">
        <v>180250</v>
      </c>
      <c r="I64" s="55"/>
      <c r="J64" s="55"/>
      <c r="K64" s="55"/>
      <c r="L64" s="55">
        <v>180250</v>
      </c>
      <c r="M64" s="55"/>
      <c r="N64" s="55"/>
      <c r="O64" s="55" t="s">
        <v>2350</v>
      </c>
      <c r="P64" s="55">
        <v>7802806380</v>
      </c>
      <c r="Q64" s="55">
        <v>780201001</v>
      </c>
      <c r="R64" s="55" t="s">
        <v>2351</v>
      </c>
      <c r="S64" s="55" t="s">
        <v>41</v>
      </c>
      <c r="T64" s="55">
        <v>1</v>
      </c>
      <c r="U64" t="s">
        <v>3636</v>
      </c>
    </row>
    <row r="65" spans="1:21" x14ac:dyDescent="0.25">
      <c r="A65" s="55" t="s">
        <v>3646</v>
      </c>
      <c r="B65" s="55" t="s">
        <v>3936</v>
      </c>
      <c r="C65" s="55" t="s">
        <v>3634</v>
      </c>
      <c r="D65" s="55" t="s">
        <v>2346</v>
      </c>
      <c r="E65" s="55" t="s">
        <v>29</v>
      </c>
      <c r="F65" s="55">
        <v>1</v>
      </c>
      <c r="G65" s="55">
        <v>224952</v>
      </c>
      <c r="H65" s="55">
        <v>187460</v>
      </c>
      <c r="I65" s="55"/>
      <c r="J65" s="55"/>
      <c r="K65" s="55"/>
      <c r="L65" s="55">
        <v>187460</v>
      </c>
      <c r="M65" s="55"/>
      <c r="N65" s="55"/>
      <c r="O65" s="55" t="s">
        <v>3559</v>
      </c>
      <c r="P65" s="55">
        <v>1230123</v>
      </c>
      <c r="Q65" s="55">
        <v>3210321</v>
      </c>
      <c r="R65" s="55" t="s">
        <v>3560</v>
      </c>
      <c r="S65" s="55" t="s">
        <v>3561</v>
      </c>
      <c r="T65" s="55">
        <v>2</v>
      </c>
      <c r="U65">
        <v>444</v>
      </c>
    </row>
    <row r="66" spans="1:21" x14ac:dyDescent="0.25">
      <c r="A66" s="55" t="s">
        <v>3647</v>
      </c>
      <c r="B66" s="55" t="s">
        <v>3937</v>
      </c>
      <c r="C66" s="55" t="s">
        <v>3634</v>
      </c>
      <c r="D66" s="55" t="s">
        <v>2346</v>
      </c>
      <c r="E66" s="55" t="s">
        <v>29</v>
      </c>
      <c r="F66" s="55">
        <v>1</v>
      </c>
      <c r="G66" s="55">
        <v>229278</v>
      </c>
      <c r="H66" s="55">
        <v>191065</v>
      </c>
      <c r="I66" s="55"/>
      <c r="J66" s="55"/>
      <c r="K66" s="55"/>
      <c r="L66" s="55">
        <v>191065</v>
      </c>
      <c r="M66" s="55"/>
      <c r="N66" s="55"/>
      <c r="O66" s="55" t="s">
        <v>3562</v>
      </c>
      <c r="P66" s="55">
        <v>456456</v>
      </c>
      <c r="Q66" s="55">
        <v>789789</v>
      </c>
      <c r="R66" s="55" t="s">
        <v>3563</v>
      </c>
      <c r="S66" s="55" t="s">
        <v>3564</v>
      </c>
      <c r="T66" s="55">
        <v>2</v>
      </c>
      <c r="U66">
        <v>555</v>
      </c>
    </row>
    <row r="67" spans="1:21" x14ac:dyDescent="0.25">
      <c r="A67" s="55" t="s">
        <v>3648</v>
      </c>
      <c r="B67" s="55" t="s">
        <v>3954</v>
      </c>
      <c r="C67" s="55" t="s">
        <v>3634</v>
      </c>
      <c r="D67" s="55" t="s">
        <v>2347</v>
      </c>
      <c r="E67" s="55" t="s">
        <v>29</v>
      </c>
      <c r="F67" s="55">
        <v>1</v>
      </c>
      <c r="G67" s="55" t="s">
        <v>3635</v>
      </c>
      <c r="H67" s="55">
        <v>180250</v>
      </c>
      <c r="I67" s="55"/>
      <c r="J67" s="55"/>
      <c r="K67" s="55"/>
      <c r="L67" s="55">
        <v>180250</v>
      </c>
      <c r="M67" s="55"/>
      <c r="N67" s="55"/>
      <c r="O67" s="55" t="s">
        <v>2350</v>
      </c>
      <c r="P67" s="55">
        <v>7802806380</v>
      </c>
      <c r="Q67" s="55">
        <v>780201001</v>
      </c>
      <c r="R67" s="55" t="s">
        <v>2351</v>
      </c>
      <c r="S67" s="55" t="s">
        <v>41</v>
      </c>
      <c r="T67" s="55">
        <v>1</v>
      </c>
      <c r="U67" t="s">
        <v>3636</v>
      </c>
    </row>
    <row r="68" spans="1:21" x14ac:dyDescent="0.25">
      <c r="A68" s="55" t="s">
        <v>3649</v>
      </c>
      <c r="B68" s="55" t="s">
        <v>3936</v>
      </c>
      <c r="C68" s="55" t="s">
        <v>3634</v>
      </c>
      <c r="D68" s="55" t="s">
        <v>2347</v>
      </c>
      <c r="E68" s="55" t="s">
        <v>29</v>
      </c>
      <c r="F68" s="55">
        <v>1</v>
      </c>
      <c r="G68" s="55">
        <v>222789</v>
      </c>
      <c r="H68" s="55">
        <v>185657.5</v>
      </c>
      <c r="I68" s="55"/>
      <c r="J68" s="55"/>
      <c r="K68" s="55"/>
      <c r="L68" s="55">
        <v>185657.5</v>
      </c>
      <c r="M68" s="55"/>
      <c r="N68" s="55"/>
      <c r="O68" s="55" t="s">
        <v>3559</v>
      </c>
      <c r="P68" s="55">
        <v>1230123</v>
      </c>
      <c r="Q68" s="55">
        <v>3210321</v>
      </c>
      <c r="R68" s="55" t="s">
        <v>3560</v>
      </c>
      <c r="S68" s="55" t="s">
        <v>3561</v>
      </c>
      <c r="T68" s="55">
        <v>2</v>
      </c>
      <c r="U68">
        <v>444</v>
      </c>
    </row>
    <row r="69" spans="1:21" x14ac:dyDescent="0.25">
      <c r="A69" s="55" t="s">
        <v>3650</v>
      </c>
      <c r="B69" s="55" t="s">
        <v>3937</v>
      </c>
      <c r="C69" s="55" t="s">
        <v>3634</v>
      </c>
      <c r="D69" s="55" t="s">
        <v>2347</v>
      </c>
      <c r="E69" s="55" t="s">
        <v>29</v>
      </c>
      <c r="F69" s="55">
        <v>1</v>
      </c>
      <c r="G69" s="55">
        <v>233604</v>
      </c>
      <c r="H69" s="55">
        <v>194670</v>
      </c>
      <c r="I69" s="55"/>
      <c r="J69" s="55"/>
      <c r="K69" s="55"/>
      <c r="L69" s="55">
        <v>194670</v>
      </c>
      <c r="M69" s="55"/>
      <c r="N69" s="55"/>
      <c r="O69" s="55" t="s">
        <v>3562</v>
      </c>
      <c r="P69" s="55">
        <v>456456</v>
      </c>
      <c r="Q69" s="55">
        <v>789789</v>
      </c>
      <c r="R69" s="55" t="s">
        <v>3563</v>
      </c>
      <c r="S69" s="55" t="s">
        <v>3564</v>
      </c>
      <c r="T69" s="55">
        <v>2</v>
      </c>
      <c r="U69">
        <v>555</v>
      </c>
    </row>
    <row r="70" spans="1:21" x14ac:dyDescent="0.25">
      <c r="A70" s="55" t="s">
        <v>3651</v>
      </c>
      <c r="B70" s="55" t="s">
        <v>3954</v>
      </c>
      <c r="C70" s="55" t="s">
        <v>3634</v>
      </c>
      <c r="D70" s="55" t="s">
        <v>2348</v>
      </c>
      <c r="E70" s="55" t="s">
        <v>29</v>
      </c>
      <c r="F70" s="55">
        <v>1</v>
      </c>
      <c r="G70" s="55" t="s">
        <v>3635</v>
      </c>
      <c r="H70" s="55">
        <v>180250</v>
      </c>
      <c r="I70" s="55"/>
      <c r="J70" s="55"/>
      <c r="K70" s="55"/>
      <c r="L70" s="55">
        <v>180250</v>
      </c>
      <c r="M70" s="55"/>
      <c r="N70" s="55"/>
      <c r="O70" s="55" t="s">
        <v>2350</v>
      </c>
      <c r="P70" s="55">
        <v>7802806380</v>
      </c>
      <c r="Q70" s="55">
        <v>780201001</v>
      </c>
      <c r="R70" s="55" t="s">
        <v>2351</v>
      </c>
      <c r="S70" s="55" t="s">
        <v>41</v>
      </c>
      <c r="T70" s="55">
        <v>1</v>
      </c>
      <c r="U70" t="s">
        <v>3636</v>
      </c>
    </row>
    <row r="71" spans="1:21" x14ac:dyDescent="0.25">
      <c r="A71" s="55" t="s">
        <v>3652</v>
      </c>
      <c r="B71" s="55" t="s">
        <v>3936</v>
      </c>
      <c r="C71" s="55" t="s">
        <v>3634</v>
      </c>
      <c r="D71" s="55" t="s">
        <v>2348</v>
      </c>
      <c r="E71" s="55" t="s">
        <v>29</v>
      </c>
      <c r="F71" s="55">
        <v>1</v>
      </c>
      <c r="G71" s="55">
        <v>227115</v>
      </c>
      <c r="H71" s="55">
        <v>189262.5</v>
      </c>
      <c r="I71" s="55"/>
      <c r="J71" s="55"/>
      <c r="K71" s="55"/>
      <c r="L71" s="55">
        <v>189262.5</v>
      </c>
      <c r="M71" s="55"/>
      <c r="N71" s="55"/>
      <c r="O71" s="55" t="s">
        <v>3559</v>
      </c>
      <c r="P71" s="55">
        <v>1230123</v>
      </c>
      <c r="Q71" s="55">
        <v>3210321</v>
      </c>
      <c r="R71" s="55" t="s">
        <v>3560</v>
      </c>
      <c r="S71" s="55" t="s">
        <v>3561</v>
      </c>
      <c r="T71" s="55">
        <v>2</v>
      </c>
      <c r="U71">
        <v>444</v>
      </c>
    </row>
    <row r="72" spans="1:21" x14ac:dyDescent="0.25">
      <c r="A72" s="55" t="s">
        <v>3653</v>
      </c>
      <c r="B72" s="55" t="s">
        <v>3937</v>
      </c>
      <c r="C72" s="55" t="s">
        <v>3634</v>
      </c>
      <c r="D72" s="55" t="s">
        <v>2348</v>
      </c>
      <c r="E72" s="55" t="s">
        <v>29</v>
      </c>
      <c r="F72" s="55">
        <v>1</v>
      </c>
      <c r="G72" s="55">
        <v>233604</v>
      </c>
      <c r="H72" s="55">
        <v>194670</v>
      </c>
      <c r="I72" s="55"/>
      <c r="J72" s="55"/>
      <c r="K72" s="55"/>
      <c r="L72" s="55">
        <v>194670</v>
      </c>
      <c r="M72" s="55"/>
      <c r="N72" s="55"/>
      <c r="O72" s="55" t="s">
        <v>3562</v>
      </c>
      <c r="P72" s="55">
        <v>456456</v>
      </c>
      <c r="Q72" s="55">
        <v>789789</v>
      </c>
      <c r="R72" s="55" t="s">
        <v>3563</v>
      </c>
      <c r="S72" s="55" t="s">
        <v>3564</v>
      </c>
      <c r="T72" s="55">
        <v>2</v>
      </c>
      <c r="U72">
        <v>555</v>
      </c>
    </row>
    <row r="73" spans="1:21" x14ac:dyDescent="0.25">
      <c r="A73" s="55" t="s">
        <v>3654</v>
      </c>
      <c r="B73" s="55" t="s">
        <v>3954</v>
      </c>
      <c r="C73" s="55" t="s">
        <v>3655</v>
      </c>
      <c r="D73" s="55" t="s">
        <v>3656</v>
      </c>
      <c r="E73" s="55" t="s">
        <v>29</v>
      </c>
      <c r="F73" s="55">
        <v>1</v>
      </c>
      <c r="G73" s="55" t="s">
        <v>3657</v>
      </c>
      <c r="H73" s="55">
        <v>782800</v>
      </c>
      <c r="I73" s="55"/>
      <c r="J73" s="55"/>
      <c r="K73" s="55"/>
      <c r="L73" s="55">
        <v>782800</v>
      </c>
      <c r="M73" s="55"/>
      <c r="N73" s="55"/>
      <c r="O73" s="55" t="s">
        <v>2350</v>
      </c>
      <c r="P73" s="55">
        <v>7802806380</v>
      </c>
      <c r="Q73" s="55">
        <v>780201001</v>
      </c>
      <c r="R73" s="55" t="s">
        <v>2351</v>
      </c>
      <c r="S73" s="55" t="s">
        <v>41</v>
      </c>
      <c r="T73" s="55">
        <v>1</v>
      </c>
      <c r="U73" t="s">
        <v>3636</v>
      </c>
    </row>
    <row r="74" spans="1:21" x14ac:dyDescent="0.25">
      <c r="A74" s="55" t="s">
        <v>3658</v>
      </c>
      <c r="B74" s="55" t="s">
        <v>3936</v>
      </c>
      <c r="C74" s="55" t="s">
        <v>3655</v>
      </c>
      <c r="D74" s="55" t="s">
        <v>3656</v>
      </c>
      <c r="E74" s="55" t="s">
        <v>29</v>
      </c>
      <c r="F74" s="55">
        <v>1</v>
      </c>
      <c r="G74" s="55">
        <v>976934.40000000002</v>
      </c>
      <c r="H74" s="55">
        <v>814112</v>
      </c>
      <c r="I74" s="55"/>
      <c r="J74" s="55"/>
      <c r="K74" s="55"/>
      <c r="L74" s="55">
        <v>814112</v>
      </c>
      <c r="M74" s="55"/>
      <c r="N74" s="55"/>
      <c r="O74" s="55" t="s">
        <v>3559</v>
      </c>
      <c r="P74" s="55">
        <v>1230123</v>
      </c>
      <c r="Q74" s="55">
        <v>3210321</v>
      </c>
      <c r="R74" s="55" t="s">
        <v>3560</v>
      </c>
      <c r="S74" s="55" t="s">
        <v>3561</v>
      </c>
      <c r="T74" s="55">
        <v>2</v>
      </c>
      <c r="U74">
        <v>444</v>
      </c>
    </row>
    <row r="75" spans="1:21" x14ac:dyDescent="0.25">
      <c r="A75" s="55" t="s">
        <v>3659</v>
      </c>
      <c r="B75" s="55" t="s">
        <v>3937</v>
      </c>
      <c r="C75" s="55" t="s">
        <v>3655</v>
      </c>
      <c r="D75" s="55" t="s">
        <v>3656</v>
      </c>
      <c r="E75" s="55" t="s">
        <v>29</v>
      </c>
      <c r="F75" s="55">
        <v>1</v>
      </c>
      <c r="G75" s="55">
        <v>1005115.2</v>
      </c>
      <c r="H75" s="55">
        <v>837596</v>
      </c>
      <c r="I75" s="55"/>
      <c r="J75" s="55"/>
      <c r="K75" s="55"/>
      <c r="L75" s="55">
        <v>837596</v>
      </c>
      <c r="M75" s="55"/>
      <c r="N75" s="55"/>
      <c r="O75" s="55" t="s">
        <v>3562</v>
      </c>
      <c r="P75" s="55">
        <v>456456</v>
      </c>
      <c r="Q75" s="55">
        <v>789789</v>
      </c>
      <c r="R75" s="55" t="s">
        <v>3563</v>
      </c>
      <c r="S75" s="55" t="s">
        <v>3564</v>
      </c>
      <c r="T75" s="55">
        <v>2</v>
      </c>
      <c r="U75">
        <v>555</v>
      </c>
    </row>
    <row r="76" spans="1:21" x14ac:dyDescent="0.25">
      <c r="A76" s="55" t="s">
        <v>3660</v>
      </c>
      <c r="B76" s="55" t="s">
        <v>3955</v>
      </c>
      <c r="C76" s="55" t="s">
        <v>3661</v>
      </c>
      <c r="D76" s="55" t="s">
        <v>3662</v>
      </c>
      <c r="E76" s="55" t="s">
        <v>29</v>
      </c>
      <c r="F76" s="55">
        <v>17</v>
      </c>
      <c r="G76" s="55" t="s">
        <v>3663</v>
      </c>
      <c r="H76" s="55">
        <v>20247.5</v>
      </c>
      <c r="I76" s="55"/>
      <c r="J76" s="55"/>
      <c r="K76" s="55"/>
      <c r="L76" s="55">
        <v>20247.5</v>
      </c>
      <c r="M76" s="55"/>
      <c r="N76" s="55"/>
      <c r="O76" s="55" t="s">
        <v>39</v>
      </c>
      <c r="P76" s="55">
        <v>7806155468</v>
      </c>
      <c r="Q76" s="55">
        <v>780601001</v>
      </c>
      <c r="R76" s="55" t="s">
        <v>40</v>
      </c>
      <c r="S76" s="55" t="s">
        <v>41</v>
      </c>
      <c r="T76" s="55">
        <v>1</v>
      </c>
      <c r="U76" t="s">
        <v>3664</v>
      </c>
    </row>
    <row r="77" spans="1:21" x14ac:dyDescent="0.25">
      <c r="A77" s="55" t="s">
        <v>3665</v>
      </c>
      <c r="B77" s="55" t="s">
        <v>3956</v>
      </c>
      <c r="C77" s="55" t="s">
        <v>3661</v>
      </c>
      <c r="D77" s="55" t="s">
        <v>3662</v>
      </c>
      <c r="E77" s="55" t="s">
        <v>29</v>
      </c>
      <c r="F77" s="55">
        <v>17</v>
      </c>
      <c r="G77" s="55">
        <v>25268.880000000001</v>
      </c>
      <c r="H77" s="55">
        <v>21057.4</v>
      </c>
      <c r="I77" s="55"/>
      <c r="J77" s="55"/>
      <c r="K77" s="55"/>
      <c r="L77" s="55">
        <v>21057.4</v>
      </c>
      <c r="M77" s="55"/>
      <c r="N77" s="55"/>
      <c r="O77" s="55" t="s">
        <v>3559</v>
      </c>
      <c r="P77" s="55">
        <v>1230123</v>
      </c>
      <c r="Q77" s="55">
        <v>3210321</v>
      </c>
      <c r="R77" s="55" t="s">
        <v>3560</v>
      </c>
      <c r="S77" s="55" t="s">
        <v>3561</v>
      </c>
      <c r="T77" s="55">
        <v>2</v>
      </c>
      <c r="U77">
        <v>444</v>
      </c>
    </row>
    <row r="78" spans="1:21" x14ac:dyDescent="0.25">
      <c r="A78" s="55" t="s">
        <v>3666</v>
      </c>
      <c r="B78" s="55" t="s">
        <v>3957</v>
      </c>
      <c r="C78" s="55" t="s">
        <v>3661</v>
      </c>
      <c r="D78" s="55" t="s">
        <v>3662</v>
      </c>
      <c r="E78" s="55" t="s">
        <v>29</v>
      </c>
      <c r="F78" s="55">
        <v>17</v>
      </c>
      <c r="G78" s="55">
        <v>25997.79</v>
      </c>
      <c r="H78" s="55">
        <v>21664.825000000001</v>
      </c>
      <c r="I78" s="55"/>
      <c r="J78" s="55"/>
      <c r="K78" s="55"/>
      <c r="L78" s="55">
        <v>21664.825000000001</v>
      </c>
      <c r="M78" s="55"/>
      <c r="N78" s="55"/>
      <c r="O78" s="55" t="s">
        <v>3562</v>
      </c>
      <c r="P78" s="55">
        <v>456456</v>
      </c>
      <c r="Q78" s="55">
        <v>789789</v>
      </c>
      <c r="R78" s="55" t="s">
        <v>3563</v>
      </c>
      <c r="S78" s="55" t="s">
        <v>3564</v>
      </c>
      <c r="T78" s="55">
        <v>2</v>
      </c>
      <c r="U78">
        <v>555</v>
      </c>
    </row>
    <row r="79" spans="1:21" x14ac:dyDescent="0.25">
      <c r="A79" s="55" t="s">
        <v>3667</v>
      </c>
      <c r="B79" s="55" t="s">
        <v>3958</v>
      </c>
      <c r="C79" s="55" t="s">
        <v>3668</v>
      </c>
      <c r="D79" s="55" t="s">
        <v>3669</v>
      </c>
      <c r="E79" s="55" t="s">
        <v>29</v>
      </c>
      <c r="F79" s="55">
        <v>2</v>
      </c>
      <c r="G79" s="55" t="s">
        <v>3670</v>
      </c>
      <c r="H79" s="55">
        <v>24359.166666666668</v>
      </c>
      <c r="I79" s="55"/>
      <c r="J79" s="55"/>
      <c r="K79" s="55"/>
      <c r="L79" s="55">
        <v>24359.166666666668</v>
      </c>
      <c r="M79" s="55"/>
      <c r="N79" s="55"/>
      <c r="O79" s="55" t="s">
        <v>39</v>
      </c>
      <c r="P79" s="55">
        <v>7806155468</v>
      </c>
      <c r="Q79" s="55">
        <v>780601001</v>
      </c>
      <c r="R79" s="55" t="s">
        <v>40</v>
      </c>
      <c r="S79" s="55" t="s">
        <v>41</v>
      </c>
      <c r="T79" s="55">
        <v>1</v>
      </c>
      <c r="U79" t="s">
        <v>3671</v>
      </c>
    </row>
    <row r="80" spans="1:21" x14ac:dyDescent="0.25">
      <c r="A80" s="55" t="s">
        <v>3672</v>
      </c>
      <c r="B80" s="55" t="s">
        <v>3959</v>
      </c>
      <c r="C80" s="55" t="s">
        <v>3668</v>
      </c>
      <c r="D80" s="55" t="s">
        <v>3669</v>
      </c>
      <c r="E80" s="55" t="s">
        <v>29</v>
      </c>
      <c r="F80" s="55">
        <v>2</v>
      </c>
      <c r="G80" s="55">
        <v>30400.240000000002</v>
      </c>
      <c r="H80" s="55">
        <v>25333.533333333336</v>
      </c>
      <c r="I80" s="55"/>
      <c r="J80" s="55"/>
      <c r="K80" s="55"/>
      <c r="L80" s="55">
        <v>25333.533333333336</v>
      </c>
      <c r="M80" s="55"/>
      <c r="N80" s="55"/>
      <c r="O80" s="55" t="s">
        <v>3559</v>
      </c>
      <c r="P80" s="55">
        <v>1230123</v>
      </c>
      <c r="Q80" s="55">
        <v>3210321</v>
      </c>
      <c r="R80" s="55" t="s">
        <v>3560</v>
      </c>
      <c r="S80" s="55" t="s">
        <v>3561</v>
      </c>
      <c r="T80" s="55">
        <v>2</v>
      </c>
      <c r="U80">
        <v>444</v>
      </c>
    </row>
    <row r="81" spans="1:21" x14ac:dyDescent="0.25">
      <c r="A81" s="55" t="s">
        <v>3673</v>
      </c>
      <c r="B81" s="55" t="s">
        <v>3960</v>
      </c>
      <c r="C81" s="55" t="s">
        <v>3668</v>
      </c>
      <c r="D81" s="55" t="s">
        <v>3669</v>
      </c>
      <c r="E81" s="55" t="s">
        <v>29</v>
      </c>
      <c r="F81" s="55">
        <v>2</v>
      </c>
      <c r="G81" s="55">
        <v>31277.17</v>
      </c>
      <c r="H81" s="55">
        <v>26064.308333333334</v>
      </c>
      <c r="I81" s="55"/>
      <c r="J81" s="55"/>
      <c r="K81" s="55"/>
      <c r="L81" s="55">
        <v>26064.308333333334</v>
      </c>
      <c r="M81" s="55"/>
      <c r="N81" s="55"/>
      <c r="O81" s="55" t="s">
        <v>3562</v>
      </c>
      <c r="P81" s="55">
        <v>456456</v>
      </c>
      <c r="Q81" s="55">
        <v>789789</v>
      </c>
      <c r="R81" s="55" t="s">
        <v>3563</v>
      </c>
      <c r="S81" s="55" t="s">
        <v>3564</v>
      </c>
      <c r="T81" s="55">
        <v>2</v>
      </c>
      <c r="U81">
        <v>555</v>
      </c>
    </row>
    <row r="82" spans="1:21" x14ac:dyDescent="0.25">
      <c r="A82" s="55" t="s">
        <v>3674</v>
      </c>
      <c r="B82" s="55" t="s">
        <v>3958</v>
      </c>
      <c r="C82" s="55" t="s">
        <v>3668</v>
      </c>
      <c r="D82" s="55" t="s">
        <v>3675</v>
      </c>
      <c r="E82" s="55" t="s">
        <v>29</v>
      </c>
      <c r="F82" s="55">
        <v>7</v>
      </c>
      <c r="G82" s="55" t="s">
        <v>3676</v>
      </c>
      <c r="H82" s="55">
        <v>23071.666666666668</v>
      </c>
      <c r="I82" s="55"/>
      <c r="J82" s="55"/>
      <c r="K82" s="55"/>
      <c r="L82" s="55">
        <v>23071.666666666668</v>
      </c>
      <c r="M82" s="55"/>
      <c r="N82" s="55"/>
      <c r="O82" s="55" t="s">
        <v>39</v>
      </c>
      <c r="P82" s="55">
        <v>7806155468</v>
      </c>
      <c r="Q82" s="55">
        <v>780601001</v>
      </c>
      <c r="R82" s="55" t="s">
        <v>40</v>
      </c>
      <c r="S82" s="55" t="s">
        <v>41</v>
      </c>
      <c r="T82" s="55">
        <v>1</v>
      </c>
      <c r="U82" t="s">
        <v>3671</v>
      </c>
    </row>
    <row r="83" spans="1:21" x14ac:dyDescent="0.25">
      <c r="A83" s="55" t="s">
        <v>3677</v>
      </c>
      <c r="B83" s="55" t="s">
        <v>3959</v>
      </c>
      <c r="C83" s="55" t="s">
        <v>3668</v>
      </c>
      <c r="D83" s="55" t="s">
        <v>3675</v>
      </c>
      <c r="E83" s="55" t="s">
        <v>29</v>
      </c>
      <c r="F83" s="55">
        <v>7</v>
      </c>
      <c r="G83" s="55">
        <v>28793.439999999999</v>
      </c>
      <c r="H83" s="55">
        <v>23994.533333333333</v>
      </c>
      <c r="I83" s="55"/>
      <c r="J83" s="55"/>
      <c r="K83" s="55"/>
      <c r="L83" s="55">
        <v>23994.533333333333</v>
      </c>
      <c r="M83" s="55"/>
      <c r="N83" s="55"/>
      <c r="O83" s="55" t="s">
        <v>3559</v>
      </c>
      <c r="P83" s="55">
        <v>1230123</v>
      </c>
      <c r="Q83" s="55">
        <v>3210321</v>
      </c>
      <c r="R83" s="55" t="s">
        <v>3560</v>
      </c>
      <c r="S83" s="55" t="s">
        <v>3561</v>
      </c>
      <c r="T83" s="55">
        <v>2</v>
      </c>
      <c r="U83">
        <v>444</v>
      </c>
    </row>
    <row r="84" spans="1:21" x14ac:dyDescent="0.25">
      <c r="A84" s="55" t="s">
        <v>3678</v>
      </c>
      <c r="B84" s="55" t="s">
        <v>3960</v>
      </c>
      <c r="C84" s="55" t="s">
        <v>3668</v>
      </c>
      <c r="D84" s="55" t="s">
        <v>3675</v>
      </c>
      <c r="E84" s="55" t="s">
        <v>29</v>
      </c>
      <c r="F84" s="55">
        <v>7</v>
      </c>
      <c r="G84" s="55">
        <v>29624.02</v>
      </c>
      <c r="H84" s="55">
        <v>24686.683333333334</v>
      </c>
      <c r="I84" s="55"/>
      <c r="J84" s="55"/>
      <c r="K84" s="55"/>
      <c r="L84" s="55">
        <v>24686.683333333334</v>
      </c>
      <c r="M84" s="55"/>
      <c r="N84" s="55"/>
      <c r="O84" s="55" t="s">
        <v>3562</v>
      </c>
      <c r="P84" s="55">
        <v>456456</v>
      </c>
      <c r="Q84" s="55">
        <v>789789</v>
      </c>
      <c r="R84" s="55" t="s">
        <v>3563</v>
      </c>
      <c r="S84" s="55" t="s">
        <v>3564</v>
      </c>
      <c r="T84" s="55">
        <v>2</v>
      </c>
      <c r="U84">
        <v>555</v>
      </c>
    </row>
    <row r="85" spans="1:21" x14ac:dyDescent="0.25">
      <c r="A85" s="55" t="s">
        <v>3679</v>
      </c>
      <c r="B85" s="55" t="s">
        <v>3958</v>
      </c>
      <c r="C85" s="55" t="s">
        <v>3680</v>
      </c>
      <c r="D85" s="55" t="s">
        <v>3681</v>
      </c>
      <c r="E85" s="55" t="s">
        <v>29</v>
      </c>
      <c r="F85" s="55">
        <v>1</v>
      </c>
      <c r="G85" s="55" t="s">
        <v>3682</v>
      </c>
      <c r="H85" s="55">
        <v>41530</v>
      </c>
      <c r="I85" s="55"/>
      <c r="J85" s="55"/>
      <c r="K85" s="55"/>
      <c r="L85" s="55">
        <v>41530</v>
      </c>
      <c r="M85" s="55"/>
      <c r="N85" s="55"/>
      <c r="O85" s="55" t="s">
        <v>39</v>
      </c>
      <c r="P85" s="55">
        <v>7806155468</v>
      </c>
      <c r="Q85" s="55">
        <v>780601001</v>
      </c>
      <c r="R85" s="55" t="s">
        <v>40</v>
      </c>
      <c r="S85" s="55" t="s">
        <v>41</v>
      </c>
      <c r="T85" s="55">
        <v>1</v>
      </c>
      <c r="U85" t="s">
        <v>3671</v>
      </c>
    </row>
    <row r="86" spans="1:21" x14ac:dyDescent="0.25">
      <c r="A86" s="55" t="s">
        <v>3683</v>
      </c>
      <c r="B86" s="55" t="s">
        <v>3959</v>
      </c>
      <c r="C86" s="55" t="s">
        <v>3680</v>
      </c>
      <c r="D86" s="55" t="s">
        <v>3681</v>
      </c>
      <c r="E86" s="55" t="s">
        <v>29</v>
      </c>
      <c r="F86" s="55">
        <v>1</v>
      </c>
      <c r="G86" s="55">
        <v>52327.8</v>
      </c>
      <c r="H86" s="55">
        <v>43606.500000000007</v>
      </c>
      <c r="I86" s="55"/>
      <c r="J86" s="55"/>
      <c r="K86" s="55"/>
      <c r="L86" s="55">
        <v>43606.500000000007</v>
      </c>
      <c r="M86" s="55"/>
      <c r="N86" s="55"/>
      <c r="O86" s="55" t="s">
        <v>3559</v>
      </c>
      <c r="P86" s="55">
        <v>1230123</v>
      </c>
      <c r="Q86" s="55">
        <v>3210321</v>
      </c>
      <c r="R86" s="55" t="s">
        <v>3560</v>
      </c>
      <c r="S86" s="55" t="s">
        <v>3561</v>
      </c>
      <c r="T86" s="55">
        <v>2</v>
      </c>
      <c r="U86">
        <v>444</v>
      </c>
    </row>
    <row r="87" spans="1:21" x14ac:dyDescent="0.25">
      <c r="A87" s="55" t="s">
        <v>3684</v>
      </c>
      <c r="B87" s="55" t="s">
        <v>3960</v>
      </c>
      <c r="C87" s="55" t="s">
        <v>3680</v>
      </c>
      <c r="D87" s="55" t="s">
        <v>3681</v>
      </c>
      <c r="E87" s="55" t="s">
        <v>29</v>
      </c>
      <c r="F87" s="55">
        <v>1</v>
      </c>
      <c r="G87" s="55">
        <v>53324.52</v>
      </c>
      <c r="H87" s="55">
        <v>44437.1</v>
      </c>
      <c r="I87" s="55"/>
      <c r="J87" s="55"/>
      <c r="K87" s="55"/>
      <c r="L87" s="55">
        <v>44437.1</v>
      </c>
      <c r="M87" s="55"/>
      <c r="N87" s="55"/>
      <c r="O87" s="55" t="s">
        <v>3562</v>
      </c>
      <c r="P87" s="55">
        <v>456456</v>
      </c>
      <c r="Q87" s="55">
        <v>789789</v>
      </c>
      <c r="R87" s="55" t="s">
        <v>3563</v>
      </c>
      <c r="S87" s="55" t="s">
        <v>3564</v>
      </c>
      <c r="T87" s="55">
        <v>2</v>
      </c>
      <c r="U87">
        <v>555</v>
      </c>
    </row>
    <row r="88" spans="1:21" x14ac:dyDescent="0.25">
      <c r="A88" s="55" t="s">
        <v>3685</v>
      </c>
      <c r="B88" s="55" t="s">
        <v>3961</v>
      </c>
      <c r="C88" s="55" t="s">
        <v>3686</v>
      </c>
      <c r="D88" s="55" t="s">
        <v>3687</v>
      </c>
      <c r="E88" s="55" t="s">
        <v>29</v>
      </c>
      <c r="F88" s="55">
        <v>1</v>
      </c>
      <c r="G88" s="55" t="s">
        <v>3688</v>
      </c>
      <c r="H88" s="55">
        <v>11884.166666666668</v>
      </c>
      <c r="I88" s="55"/>
      <c r="J88" s="55"/>
      <c r="K88" s="55"/>
      <c r="L88" s="55">
        <v>11884.166666666668</v>
      </c>
      <c r="M88" s="55"/>
      <c r="N88" s="55"/>
      <c r="O88" s="55" t="s">
        <v>39</v>
      </c>
      <c r="P88" s="55">
        <v>7806155468</v>
      </c>
      <c r="Q88" s="55">
        <v>780601001</v>
      </c>
      <c r="R88" s="55" t="s">
        <v>40</v>
      </c>
      <c r="S88" s="55" t="s">
        <v>41</v>
      </c>
      <c r="T88" s="55">
        <v>1</v>
      </c>
      <c r="U88" t="s">
        <v>3664</v>
      </c>
    </row>
    <row r="89" spans="1:21" x14ac:dyDescent="0.25">
      <c r="A89" s="55" t="s">
        <v>3689</v>
      </c>
      <c r="B89" s="55" t="s">
        <v>3962</v>
      </c>
      <c r="C89" s="55" t="s">
        <v>3686</v>
      </c>
      <c r="D89" s="55" t="s">
        <v>3687</v>
      </c>
      <c r="E89" s="55" t="s">
        <v>29</v>
      </c>
      <c r="F89" s="55">
        <v>1</v>
      </c>
      <c r="G89" s="55">
        <v>14831.44</v>
      </c>
      <c r="H89" s="55">
        <v>12359.533333333335</v>
      </c>
      <c r="I89" s="55"/>
      <c r="J89" s="55"/>
      <c r="K89" s="55"/>
      <c r="L89" s="55">
        <v>12359.533333333335</v>
      </c>
      <c r="M89" s="55"/>
      <c r="N89" s="55"/>
      <c r="O89" s="55" t="s">
        <v>3559</v>
      </c>
      <c r="P89" s="55">
        <v>1230123</v>
      </c>
      <c r="Q89" s="55">
        <v>3210321</v>
      </c>
      <c r="R89" s="55" t="s">
        <v>3560</v>
      </c>
      <c r="S89" s="55" t="s">
        <v>3561</v>
      </c>
      <c r="T89" s="55">
        <v>2</v>
      </c>
      <c r="U89">
        <v>444</v>
      </c>
    </row>
    <row r="90" spans="1:21" x14ac:dyDescent="0.25">
      <c r="A90" s="55" t="s">
        <v>3690</v>
      </c>
      <c r="B90" s="55" t="s">
        <v>3963</v>
      </c>
      <c r="C90" s="55" t="s">
        <v>3686</v>
      </c>
      <c r="D90" s="55" t="s">
        <v>3687</v>
      </c>
      <c r="E90" s="55" t="s">
        <v>29</v>
      </c>
      <c r="F90" s="55">
        <v>1</v>
      </c>
      <c r="G90" s="55">
        <v>15401.880000000001</v>
      </c>
      <c r="H90" s="55">
        <v>12834.900000000001</v>
      </c>
      <c r="I90" s="55"/>
      <c r="J90" s="55"/>
      <c r="K90" s="55"/>
      <c r="L90" s="55">
        <v>12834.900000000001</v>
      </c>
      <c r="M90" s="55"/>
      <c r="N90" s="55"/>
      <c r="O90" s="55" t="s">
        <v>3562</v>
      </c>
      <c r="P90" s="55">
        <v>456456</v>
      </c>
      <c r="Q90" s="55">
        <v>789789</v>
      </c>
      <c r="R90" s="55" t="s">
        <v>3563</v>
      </c>
      <c r="S90" s="55" t="s">
        <v>3564</v>
      </c>
      <c r="T90" s="55">
        <v>2</v>
      </c>
      <c r="U90">
        <v>555</v>
      </c>
    </row>
    <row r="91" spans="1:21" x14ac:dyDescent="0.25">
      <c r="A91" s="55" t="s">
        <v>3691</v>
      </c>
      <c r="B91" s="55" t="s">
        <v>3961</v>
      </c>
      <c r="C91" s="55" t="s">
        <v>3686</v>
      </c>
      <c r="D91" s="55" t="s">
        <v>3692</v>
      </c>
      <c r="E91" s="55" t="s">
        <v>29</v>
      </c>
      <c r="F91" s="55">
        <v>1</v>
      </c>
      <c r="G91" s="55" t="s">
        <v>3688</v>
      </c>
      <c r="H91" s="55">
        <v>11884.166666666668</v>
      </c>
      <c r="I91" s="55"/>
      <c r="J91" s="55"/>
      <c r="K91" s="55"/>
      <c r="L91" s="55">
        <v>11884.166666666668</v>
      </c>
      <c r="M91" s="55"/>
      <c r="N91" s="55"/>
      <c r="O91" s="55" t="s">
        <v>39</v>
      </c>
      <c r="P91" s="55">
        <v>7806155468</v>
      </c>
      <c r="Q91" s="55">
        <v>780601001</v>
      </c>
      <c r="R91" s="55" t="s">
        <v>40</v>
      </c>
      <c r="S91" s="55" t="s">
        <v>41</v>
      </c>
      <c r="T91" s="55">
        <v>1</v>
      </c>
      <c r="U91" t="s">
        <v>3664</v>
      </c>
    </row>
    <row r="92" spans="1:21" x14ac:dyDescent="0.25">
      <c r="A92" s="55" t="s">
        <v>3693</v>
      </c>
      <c r="B92" s="55" t="s">
        <v>3962</v>
      </c>
      <c r="C92" s="55" t="s">
        <v>3686</v>
      </c>
      <c r="D92" s="55" t="s">
        <v>3692</v>
      </c>
      <c r="E92" s="55" t="s">
        <v>29</v>
      </c>
      <c r="F92" s="55">
        <v>1</v>
      </c>
      <c r="G92" s="55">
        <v>14974.05</v>
      </c>
      <c r="H92" s="55">
        <v>12478.375</v>
      </c>
      <c r="I92" s="55"/>
      <c r="J92" s="55"/>
      <c r="K92" s="55"/>
      <c r="L92" s="55">
        <v>12478.375</v>
      </c>
      <c r="M92" s="55"/>
      <c r="N92" s="55"/>
      <c r="O92" s="55" t="s">
        <v>3559</v>
      </c>
      <c r="P92" s="55">
        <v>1230123</v>
      </c>
      <c r="Q92" s="55">
        <v>3210321</v>
      </c>
      <c r="R92" s="55" t="s">
        <v>3560</v>
      </c>
      <c r="S92" s="55" t="s">
        <v>3561</v>
      </c>
      <c r="T92" s="55">
        <v>2</v>
      </c>
      <c r="U92">
        <v>444</v>
      </c>
    </row>
    <row r="93" spans="1:21" x14ac:dyDescent="0.25">
      <c r="A93" s="55" t="s">
        <v>3694</v>
      </c>
      <c r="B93" s="55" t="s">
        <v>3963</v>
      </c>
      <c r="C93" s="55" t="s">
        <v>3686</v>
      </c>
      <c r="D93" s="55" t="s">
        <v>3692</v>
      </c>
      <c r="E93" s="55" t="s">
        <v>29</v>
      </c>
      <c r="F93" s="55">
        <v>1</v>
      </c>
      <c r="G93" s="55">
        <v>15116.66</v>
      </c>
      <c r="H93" s="55">
        <v>12597.216666666667</v>
      </c>
      <c r="I93" s="55"/>
      <c r="J93" s="55"/>
      <c r="K93" s="55"/>
      <c r="L93" s="55">
        <v>12597.216666666667</v>
      </c>
      <c r="M93" s="55"/>
      <c r="N93" s="55"/>
      <c r="O93" s="55" t="s">
        <v>3562</v>
      </c>
      <c r="P93" s="55">
        <v>456456</v>
      </c>
      <c r="Q93" s="55">
        <v>789789</v>
      </c>
      <c r="R93" s="55" t="s">
        <v>3563</v>
      </c>
      <c r="S93" s="55" t="s">
        <v>3564</v>
      </c>
      <c r="T93" s="55">
        <v>2</v>
      </c>
      <c r="U93">
        <v>555</v>
      </c>
    </row>
    <row r="94" spans="1:21" x14ac:dyDescent="0.25">
      <c r="A94" s="55" t="s">
        <v>3695</v>
      </c>
      <c r="B94" s="55" t="s">
        <v>3964</v>
      </c>
      <c r="C94" s="55" t="s">
        <v>3696</v>
      </c>
      <c r="D94" s="55" t="s">
        <v>3697</v>
      </c>
      <c r="E94" s="55" t="s">
        <v>29</v>
      </c>
      <c r="F94" s="55">
        <v>1</v>
      </c>
      <c r="G94" s="55" t="s">
        <v>3698</v>
      </c>
      <c r="H94" s="55">
        <v>170057.5</v>
      </c>
      <c r="I94" s="55"/>
      <c r="J94" s="55"/>
      <c r="K94" s="55"/>
      <c r="L94" s="55">
        <v>170057.5</v>
      </c>
      <c r="M94" s="55"/>
      <c r="N94" s="55"/>
      <c r="O94" s="55" t="s">
        <v>39</v>
      </c>
      <c r="P94" s="55">
        <v>7806155468</v>
      </c>
      <c r="Q94" s="55">
        <v>780601001</v>
      </c>
      <c r="R94" s="55" t="s">
        <v>40</v>
      </c>
      <c r="S94" s="55" t="s">
        <v>41</v>
      </c>
      <c r="T94" s="55">
        <v>1</v>
      </c>
      <c r="U94" t="s">
        <v>3664</v>
      </c>
    </row>
    <row r="95" spans="1:21" x14ac:dyDescent="0.25">
      <c r="A95" s="55" t="s">
        <v>3699</v>
      </c>
      <c r="B95" s="55" t="s">
        <v>3965</v>
      </c>
      <c r="C95" s="55" t="s">
        <v>3696</v>
      </c>
      <c r="D95" s="55" t="s">
        <v>3697</v>
      </c>
      <c r="E95" s="55" t="s">
        <v>29</v>
      </c>
      <c r="F95" s="55">
        <v>1</v>
      </c>
      <c r="G95" s="55">
        <v>210191.07</v>
      </c>
      <c r="H95" s="55">
        <v>175159.22500000001</v>
      </c>
      <c r="I95" s="55"/>
      <c r="J95" s="55"/>
      <c r="K95" s="55"/>
      <c r="L95" s="55">
        <v>175159.22500000001</v>
      </c>
      <c r="M95" s="55"/>
      <c r="N95" s="55"/>
      <c r="O95" s="55" t="s">
        <v>3559</v>
      </c>
      <c r="P95" s="55">
        <v>1230123</v>
      </c>
      <c r="Q95" s="55">
        <v>3210321</v>
      </c>
      <c r="R95" s="55" t="s">
        <v>3560</v>
      </c>
      <c r="S95" s="55" t="s">
        <v>3561</v>
      </c>
      <c r="T95" s="55">
        <v>2</v>
      </c>
      <c r="U95">
        <v>444</v>
      </c>
    </row>
    <row r="96" spans="1:21" x14ac:dyDescent="0.25">
      <c r="A96" s="55" t="s">
        <v>3700</v>
      </c>
      <c r="B96" s="55" t="s">
        <v>3966</v>
      </c>
      <c r="C96" s="55" t="s">
        <v>3696</v>
      </c>
      <c r="D96" s="55" t="s">
        <v>3697</v>
      </c>
      <c r="E96" s="55" t="s">
        <v>29</v>
      </c>
      <c r="F96" s="55">
        <v>1</v>
      </c>
      <c r="G96" s="55">
        <v>218353.83</v>
      </c>
      <c r="H96" s="55">
        <v>181961.52499999999</v>
      </c>
      <c r="I96" s="55"/>
      <c r="J96" s="55"/>
      <c r="K96" s="55"/>
      <c r="L96" s="55">
        <v>181961.52499999999</v>
      </c>
      <c r="M96" s="55"/>
      <c r="N96" s="55"/>
      <c r="O96" s="55" t="s">
        <v>3562</v>
      </c>
      <c r="P96" s="55">
        <v>456456</v>
      </c>
      <c r="Q96" s="55">
        <v>789789</v>
      </c>
      <c r="R96" s="55" t="s">
        <v>3563</v>
      </c>
      <c r="S96" s="55" t="s">
        <v>3564</v>
      </c>
      <c r="T96" s="55">
        <v>2</v>
      </c>
      <c r="U96">
        <v>555</v>
      </c>
    </row>
    <row r="97" spans="1:21" x14ac:dyDescent="0.25">
      <c r="A97" s="55" t="s">
        <v>3701</v>
      </c>
      <c r="B97" s="55" t="s">
        <v>3967</v>
      </c>
      <c r="C97" s="55" t="s">
        <v>3702</v>
      </c>
      <c r="D97" s="55" t="s">
        <v>2359</v>
      </c>
      <c r="E97" s="55" t="s">
        <v>29</v>
      </c>
      <c r="F97" s="55">
        <v>1</v>
      </c>
      <c r="G97" s="55" t="s">
        <v>3703</v>
      </c>
      <c r="H97" s="55">
        <v>41990.833333333336</v>
      </c>
      <c r="I97" s="55"/>
      <c r="J97" s="55"/>
      <c r="K97" s="55"/>
      <c r="L97" s="55">
        <v>41990.833333333336</v>
      </c>
      <c r="M97" s="55"/>
      <c r="N97" s="55"/>
      <c r="O97" s="55" t="s">
        <v>39</v>
      </c>
      <c r="P97" s="55">
        <v>7806155468</v>
      </c>
      <c r="Q97" s="55">
        <v>780601001</v>
      </c>
      <c r="R97" s="55" t="s">
        <v>40</v>
      </c>
      <c r="S97" s="55" t="s">
        <v>41</v>
      </c>
      <c r="T97" s="55">
        <v>1</v>
      </c>
      <c r="U97" t="s">
        <v>3558</v>
      </c>
    </row>
    <row r="98" spans="1:21" x14ac:dyDescent="0.25">
      <c r="A98" s="55" t="s">
        <v>3704</v>
      </c>
      <c r="B98" s="55" t="s">
        <v>3956</v>
      </c>
      <c r="C98" s="55" t="s">
        <v>3702</v>
      </c>
      <c r="D98" s="55" t="s">
        <v>2359</v>
      </c>
      <c r="E98" s="55" t="s">
        <v>29</v>
      </c>
      <c r="F98" s="55">
        <v>1</v>
      </c>
      <c r="G98" s="55">
        <v>52908.45</v>
      </c>
      <c r="H98" s="55">
        <v>44090.375</v>
      </c>
      <c r="I98" s="55"/>
      <c r="J98" s="55"/>
      <c r="K98" s="55"/>
      <c r="L98" s="55">
        <v>44090.375</v>
      </c>
      <c r="M98" s="55"/>
      <c r="N98" s="55"/>
      <c r="O98" s="55" t="s">
        <v>3559</v>
      </c>
      <c r="P98" s="55">
        <v>1230123</v>
      </c>
      <c r="Q98" s="55">
        <v>3210321</v>
      </c>
      <c r="R98" s="55" t="s">
        <v>3560</v>
      </c>
      <c r="S98" s="55" t="s">
        <v>3561</v>
      </c>
      <c r="T98" s="55">
        <v>2</v>
      </c>
      <c r="U98">
        <v>444</v>
      </c>
    </row>
    <row r="99" spans="1:21" x14ac:dyDescent="0.25">
      <c r="A99" s="55" t="s">
        <v>3705</v>
      </c>
      <c r="B99" s="55" t="s">
        <v>3957</v>
      </c>
      <c r="C99" s="55" t="s">
        <v>3702</v>
      </c>
      <c r="D99" s="55" t="s">
        <v>2359</v>
      </c>
      <c r="E99" s="55" t="s">
        <v>29</v>
      </c>
      <c r="F99" s="55">
        <v>1</v>
      </c>
      <c r="G99" s="55">
        <v>53916.23</v>
      </c>
      <c r="H99" s="55">
        <v>44930.191666666673</v>
      </c>
      <c r="I99" s="55"/>
      <c r="J99" s="55"/>
      <c r="K99" s="55"/>
      <c r="L99" s="55">
        <v>44930.191666666673</v>
      </c>
      <c r="M99" s="55"/>
      <c r="N99" s="55"/>
      <c r="O99" s="55" t="s">
        <v>3562</v>
      </c>
      <c r="P99" s="55">
        <v>456456</v>
      </c>
      <c r="Q99" s="55">
        <v>789789</v>
      </c>
      <c r="R99" s="55" t="s">
        <v>3563</v>
      </c>
      <c r="S99" s="55" t="s">
        <v>3564</v>
      </c>
      <c r="T99" s="55">
        <v>2</v>
      </c>
      <c r="U99">
        <v>555</v>
      </c>
    </row>
    <row r="100" spans="1:21" x14ac:dyDescent="0.25">
      <c r="A100" s="55" t="s">
        <v>3706</v>
      </c>
      <c r="B100" s="55" t="s">
        <v>3967</v>
      </c>
      <c r="C100" s="55" t="s">
        <v>3662</v>
      </c>
      <c r="D100" s="55" t="s">
        <v>2360</v>
      </c>
      <c r="E100" s="55" t="s">
        <v>29</v>
      </c>
      <c r="F100" s="55">
        <v>3</v>
      </c>
      <c r="G100" s="55" t="s">
        <v>3707</v>
      </c>
      <c r="H100" s="55">
        <v>35209.166666666672</v>
      </c>
      <c r="I100" s="55"/>
      <c r="J100" s="55"/>
      <c r="K100" s="55"/>
      <c r="L100" s="55">
        <v>35209.166666666672</v>
      </c>
      <c r="M100" s="55"/>
      <c r="N100" s="55"/>
      <c r="O100" s="55" t="s">
        <v>39</v>
      </c>
      <c r="P100" s="55">
        <v>7806155468</v>
      </c>
      <c r="Q100" s="55">
        <v>780601001</v>
      </c>
      <c r="R100" s="55" t="s">
        <v>40</v>
      </c>
      <c r="S100" s="55" t="s">
        <v>41</v>
      </c>
      <c r="T100" s="55">
        <v>1</v>
      </c>
      <c r="U100" t="s">
        <v>3558</v>
      </c>
    </row>
    <row r="101" spans="1:21" x14ac:dyDescent="0.25">
      <c r="A101" s="55" t="s">
        <v>3708</v>
      </c>
      <c r="B101" s="55" t="s">
        <v>3956</v>
      </c>
      <c r="C101" s="55" t="s">
        <v>3662</v>
      </c>
      <c r="D101" s="55" t="s">
        <v>2360</v>
      </c>
      <c r="E101" s="55" t="s">
        <v>29</v>
      </c>
      <c r="F101" s="55">
        <v>3</v>
      </c>
      <c r="G101" s="55">
        <v>43941.04</v>
      </c>
      <c r="H101" s="55">
        <v>36617.533333333333</v>
      </c>
      <c r="I101" s="55"/>
      <c r="J101" s="55"/>
      <c r="K101" s="55"/>
      <c r="L101" s="55">
        <v>36617.533333333333</v>
      </c>
      <c r="M101" s="55"/>
      <c r="N101" s="55"/>
      <c r="O101" s="55" t="s">
        <v>3559</v>
      </c>
      <c r="P101" s="55">
        <v>1230123</v>
      </c>
      <c r="Q101" s="55">
        <v>3210321</v>
      </c>
      <c r="R101" s="55" t="s">
        <v>3560</v>
      </c>
      <c r="S101" s="55" t="s">
        <v>3561</v>
      </c>
      <c r="T101" s="55">
        <v>2</v>
      </c>
      <c r="U101">
        <v>444</v>
      </c>
    </row>
    <row r="102" spans="1:21" x14ac:dyDescent="0.25">
      <c r="A102" s="55" t="s">
        <v>3709</v>
      </c>
      <c r="B102" s="55" t="s">
        <v>3957</v>
      </c>
      <c r="C102" s="55" t="s">
        <v>3662</v>
      </c>
      <c r="D102" s="55" t="s">
        <v>2360</v>
      </c>
      <c r="E102" s="55" t="s">
        <v>29</v>
      </c>
      <c r="F102" s="55">
        <v>3</v>
      </c>
      <c r="G102" s="55">
        <v>45208.57</v>
      </c>
      <c r="H102" s="55">
        <v>37673.808333333334</v>
      </c>
      <c r="I102" s="55"/>
      <c r="J102" s="55"/>
      <c r="K102" s="55"/>
      <c r="L102" s="55">
        <v>37673.808333333334</v>
      </c>
      <c r="M102" s="55"/>
      <c r="N102" s="55"/>
      <c r="O102" s="55" t="s">
        <v>3562</v>
      </c>
      <c r="P102" s="55">
        <v>456456</v>
      </c>
      <c r="Q102" s="55">
        <v>789789</v>
      </c>
      <c r="R102" s="55" t="s">
        <v>3563</v>
      </c>
      <c r="S102" s="55" t="s">
        <v>3564</v>
      </c>
      <c r="T102" s="55">
        <v>2</v>
      </c>
      <c r="U102">
        <v>555</v>
      </c>
    </row>
    <row r="103" spans="1:21" x14ac:dyDescent="0.25">
      <c r="A103" s="55" t="s">
        <v>3710</v>
      </c>
      <c r="B103" s="55" t="s">
        <v>3967</v>
      </c>
      <c r="C103" s="55" t="s">
        <v>3662</v>
      </c>
      <c r="D103" s="55" t="s">
        <v>2361</v>
      </c>
      <c r="E103" s="55" t="s">
        <v>29</v>
      </c>
      <c r="F103" s="55">
        <v>1</v>
      </c>
      <c r="G103" s="55" t="s">
        <v>3711</v>
      </c>
      <c r="H103" s="55">
        <v>33488.333333333336</v>
      </c>
      <c r="I103" s="55"/>
      <c r="J103" s="55"/>
      <c r="K103" s="55"/>
      <c r="L103" s="55">
        <v>33488.333333333336</v>
      </c>
      <c r="M103" s="55"/>
      <c r="N103" s="55"/>
      <c r="O103" s="55" t="s">
        <v>39</v>
      </c>
      <c r="P103" s="55">
        <v>7806155468</v>
      </c>
      <c r="Q103" s="55">
        <v>780601001</v>
      </c>
      <c r="R103" s="55" t="s">
        <v>40</v>
      </c>
      <c r="S103" s="55" t="s">
        <v>41</v>
      </c>
      <c r="T103" s="55">
        <v>1</v>
      </c>
      <c r="U103" t="s">
        <v>3558</v>
      </c>
    </row>
    <row r="104" spans="1:21" x14ac:dyDescent="0.25">
      <c r="A104" s="55" t="s">
        <v>3712</v>
      </c>
      <c r="B104" s="55" t="s">
        <v>3956</v>
      </c>
      <c r="C104" s="55" t="s">
        <v>3662</v>
      </c>
      <c r="D104" s="55" t="s">
        <v>2361</v>
      </c>
      <c r="E104" s="55" t="s">
        <v>29</v>
      </c>
      <c r="F104" s="55">
        <v>1</v>
      </c>
      <c r="G104" s="55">
        <v>41793.440000000002</v>
      </c>
      <c r="H104" s="55">
        <v>34827.866666666669</v>
      </c>
      <c r="I104" s="55"/>
      <c r="J104" s="55"/>
      <c r="K104" s="55"/>
      <c r="L104" s="55">
        <v>34827.866666666669</v>
      </c>
      <c r="M104" s="55"/>
      <c r="N104" s="55"/>
      <c r="O104" s="55" t="s">
        <v>3559</v>
      </c>
      <c r="P104" s="55">
        <v>1230123</v>
      </c>
      <c r="Q104" s="55">
        <v>3210321</v>
      </c>
      <c r="R104" s="55" t="s">
        <v>3560</v>
      </c>
      <c r="S104" s="55" t="s">
        <v>3561</v>
      </c>
      <c r="T104" s="55">
        <v>2</v>
      </c>
      <c r="U104">
        <v>444</v>
      </c>
    </row>
    <row r="105" spans="1:21" x14ac:dyDescent="0.25">
      <c r="A105" s="55" t="s">
        <v>3713</v>
      </c>
      <c r="B105" s="55" t="s">
        <v>3957</v>
      </c>
      <c r="C105" s="55" t="s">
        <v>3662</v>
      </c>
      <c r="D105" s="55" t="s">
        <v>2361</v>
      </c>
      <c r="E105" s="55" t="s">
        <v>29</v>
      </c>
      <c r="F105" s="55">
        <v>1</v>
      </c>
      <c r="G105" s="55">
        <v>42999.02</v>
      </c>
      <c r="H105" s="55">
        <v>35832.516666666663</v>
      </c>
      <c r="I105" s="55"/>
      <c r="J105" s="55"/>
      <c r="K105" s="55"/>
      <c r="L105" s="55">
        <v>35832.516666666663</v>
      </c>
      <c r="M105" s="55"/>
      <c r="N105" s="55"/>
      <c r="O105" s="55" t="s">
        <v>3562</v>
      </c>
      <c r="P105" s="55">
        <v>456456</v>
      </c>
      <c r="Q105" s="55">
        <v>789789</v>
      </c>
      <c r="R105" s="55" t="s">
        <v>3563</v>
      </c>
      <c r="S105" s="55" t="s">
        <v>3564</v>
      </c>
      <c r="T105" s="55">
        <v>2</v>
      </c>
      <c r="U105">
        <v>555</v>
      </c>
    </row>
    <row r="106" spans="1:21" x14ac:dyDescent="0.25">
      <c r="A106" s="55" t="s">
        <v>3714</v>
      </c>
      <c r="B106" s="55" t="s">
        <v>3967</v>
      </c>
      <c r="C106" s="55" t="s">
        <v>3662</v>
      </c>
      <c r="D106" s="55" t="s">
        <v>2362</v>
      </c>
      <c r="E106" s="55" t="s">
        <v>29</v>
      </c>
      <c r="F106" s="55">
        <v>1</v>
      </c>
      <c r="G106" s="55" t="s">
        <v>3715</v>
      </c>
      <c r="H106" s="55">
        <v>40690.833333333336</v>
      </c>
      <c r="I106" s="55"/>
      <c r="J106" s="55"/>
      <c r="K106" s="55"/>
      <c r="L106" s="55">
        <v>40690.833333333336</v>
      </c>
      <c r="M106" s="55"/>
      <c r="N106" s="55"/>
      <c r="O106" s="55" t="s">
        <v>39</v>
      </c>
      <c r="P106" s="55">
        <v>7806155468</v>
      </c>
      <c r="Q106" s="55">
        <v>780601001</v>
      </c>
      <c r="R106" s="55" t="s">
        <v>40</v>
      </c>
      <c r="S106" s="55" t="s">
        <v>41</v>
      </c>
      <c r="T106" s="55">
        <v>1</v>
      </c>
      <c r="U106" t="s">
        <v>3558</v>
      </c>
    </row>
    <row r="107" spans="1:21" x14ac:dyDescent="0.25">
      <c r="A107" s="55" t="s">
        <v>3716</v>
      </c>
      <c r="B107" s="55" t="s">
        <v>3956</v>
      </c>
      <c r="C107" s="55" t="s">
        <v>3662</v>
      </c>
      <c r="D107" s="55" t="s">
        <v>2362</v>
      </c>
      <c r="E107" s="55" t="s">
        <v>29</v>
      </c>
      <c r="F107" s="55">
        <v>1</v>
      </c>
      <c r="G107" s="55">
        <v>51270.45</v>
      </c>
      <c r="H107" s="55">
        <v>42725.375</v>
      </c>
      <c r="I107" s="55"/>
      <c r="J107" s="55"/>
      <c r="K107" s="55"/>
      <c r="L107" s="55">
        <v>42725.375</v>
      </c>
      <c r="M107" s="55"/>
      <c r="N107" s="55"/>
      <c r="O107" s="55" t="s">
        <v>3559</v>
      </c>
      <c r="P107" s="55">
        <v>1230123</v>
      </c>
      <c r="Q107" s="55">
        <v>3210321</v>
      </c>
      <c r="R107" s="55" t="s">
        <v>3560</v>
      </c>
      <c r="S107" s="55" t="s">
        <v>3561</v>
      </c>
      <c r="T107" s="55">
        <v>2</v>
      </c>
      <c r="U107">
        <v>444</v>
      </c>
    </row>
    <row r="108" spans="1:21" x14ac:dyDescent="0.25">
      <c r="A108" s="55" t="s">
        <v>3717</v>
      </c>
      <c r="B108" s="55" t="s">
        <v>3957</v>
      </c>
      <c r="C108" s="55" t="s">
        <v>3662</v>
      </c>
      <c r="D108" s="55" t="s">
        <v>2362</v>
      </c>
      <c r="E108" s="55" t="s">
        <v>29</v>
      </c>
      <c r="F108" s="55">
        <v>1</v>
      </c>
      <c r="G108" s="55">
        <v>51758.74</v>
      </c>
      <c r="H108" s="55">
        <v>43132.283333333333</v>
      </c>
      <c r="I108" s="55"/>
      <c r="J108" s="55"/>
      <c r="K108" s="55"/>
      <c r="L108" s="55">
        <v>43132.283333333333</v>
      </c>
      <c r="M108" s="55"/>
      <c r="N108" s="55"/>
      <c r="O108" s="55" t="s">
        <v>3562</v>
      </c>
      <c r="P108" s="55">
        <v>456456</v>
      </c>
      <c r="Q108" s="55">
        <v>789789</v>
      </c>
      <c r="R108" s="55" t="s">
        <v>3563</v>
      </c>
      <c r="S108" s="55" t="s">
        <v>3564</v>
      </c>
      <c r="T108" s="55">
        <v>2</v>
      </c>
      <c r="U108">
        <v>555</v>
      </c>
    </row>
    <row r="109" spans="1:21" x14ac:dyDescent="0.25">
      <c r="A109" s="55" t="s">
        <v>3718</v>
      </c>
      <c r="B109" s="55" t="s">
        <v>3967</v>
      </c>
      <c r="C109" s="55" t="s">
        <v>3662</v>
      </c>
      <c r="D109" s="55" t="s">
        <v>3719</v>
      </c>
      <c r="E109" s="55" t="s">
        <v>29</v>
      </c>
      <c r="F109" s="55">
        <v>1</v>
      </c>
      <c r="G109" s="55" t="s">
        <v>3720</v>
      </c>
      <c r="H109" s="55">
        <v>24883.333333333336</v>
      </c>
      <c r="I109" s="55"/>
      <c r="J109" s="55"/>
      <c r="K109" s="55"/>
      <c r="L109" s="55">
        <v>24883.333333333336</v>
      </c>
      <c r="M109" s="55"/>
      <c r="N109" s="55"/>
      <c r="O109" s="55" t="s">
        <v>39</v>
      </c>
      <c r="P109" s="55">
        <v>7806155468</v>
      </c>
      <c r="Q109" s="55">
        <v>780601001</v>
      </c>
      <c r="R109" s="55" t="s">
        <v>40</v>
      </c>
      <c r="S109" s="55" t="s">
        <v>41</v>
      </c>
      <c r="T109" s="55">
        <v>1</v>
      </c>
      <c r="U109" t="s">
        <v>3558</v>
      </c>
    </row>
    <row r="110" spans="1:21" x14ac:dyDescent="0.25">
      <c r="A110" s="55" t="s">
        <v>3721</v>
      </c>
      <c r="B110" s="55" t="s">
        <v>3956</v>
      </c>
      <c r="C110" s="55" t="s">
        <v>3662</v>
      </c>
      <c r="D110" s="55" t="s">
        <v>3719</v>
      </c>
      <c r="E110" s="55" t="s">
        <v>29</v>
      </c>
      <c r="F110" s="55">
        <v>1</v>
      </c>
      <c r="G110" s="55">
        <v>30755.8</v>
      </c>
      <c r="H110" s="55">
        <v>25629.833333333332</v>
      </c>
      <c r="I110" s="55"/>
      <c r="J110" s="55"/>
      <c r="K110" s="55"/>
      <c r="L110" s="55">
        <v>25629.833333333332</v>
      </c>
      <c r="M110" s="55"/>
      <c r="N110" s="55"/>
      <c r="O110" s="55" t="s">
        <v>3559</v>
      </c>
      <c r="P110" s="55">
        <v>1230123</v>
      </c>
      <c r="Q110" s="55">
        <v>3210321</v>
      </c>
      <c r="R110" s="55" t="s">
        <v>3560</v>
      </c>
      <c r="S110" s="55" t="s">
        <v>3561</v>
      </c>
      <c r="T110" s="55">
        <v>2</v>
      </c>
      <c r="U110">
        <v>444</v>
      </c>
    </row>
    <row r="111" spans="1:21" x14ac:dyDescent="0.25">
      <c r="A111" s="55" t="s">
        <v>3722</v>
      </c>
      <c r="B111" s="55" t="s">
        <v>3957</v>
      </c>
      <c r="C111" s="55" t="s">
        <v>3662</v>
      </c>
      <c r="D111" s="55" t="s">
        <v>3719</v>
      </c>
      <c r="E111" s="55" t="s">
        <v>29</v>
      </c>
      <c r="F111" s="55">
        <v>1</v>
      </c>
      <c r="G111" s="55">
        <v>32248.799999999999</v>
      </c>
      <c r="H111" s="55">
        <v>26874</v>
      </c>
      <c r="I111" s="55"/>
      <c r="J111" s="55"/>
      <c r="K111" s="55"/>
      <c r="L111" s="55">
        <v>26874</v>
      </c>
      <c r="M111" s="55"/>
      <c r="N111" s="55"/>
      <c r="O111" s="55" t="s">
        <v>3562</v>
      </c>
      <c r="P111" s="55">
        <v>456456</v>
      </c>
      <c r="Q111" s="55">
        <v>789789</v>
      </c>
      <c r="R111" s="55" t="s">
        <v>3563</v>
      </c>
      <c r="S111" s="55" t="s">
        <v>3564</v>
      </c>
      <c r="T111" s="55">
        <v>2</v>
      </c>
      <c r="U111">
        <v>555</v>
      </c>
    </row>
    <row r="112" spans="1:21" x14ac:dyDescent="0.25">
      <c r="A112" s="55" t="s">
        <v>3723</v>
      </c>
      <c r="B112" s="55" t="s">
        <v>3968</v>
      </c>
      <c r="C112" s="55" t="s">
        <v>3724</v>
      </c>
      <c r="D112" s="55" t="s">
        <v>3725</v>
      </c>
      <c r="E112" s="55" t="s">
        <v>29</v>
      </c>
      <c r="F112" s="55">
        <v>21</v>
      </c>
      <c r="G112" s="55" t="s">
        <v>3726</v>
      </c>
      <c r="H112" s="55">
        <v>31740.833333333336</v>
      </c>
      <c r="I112" s="55"/>
      <c r="J112" s="55"/>
      <c r="K112" s="55"/>
      <c r="L112" s="55">
        <v>31740.833333333336</v>
      </c>
      <c r="M112" s="55"/>
      <c r="N112" s="55"/>
      <c r="O112" s="55" t="s">
        <v>39</v>
      </c>
      <c r="P112" s="55">
        <v>7806155468</v>
      </c>
      <c r="Q112" s="55">
        <v>780601001</v>
      </c>
      <c r="R112" s="55" t="s">
        <v>40</v>
      </c>
      <c r="S112" s="55" t="s">
        <v>41</v>
      </c>
      <c r="T112" s="55">
        <v>1</v>
      </c>
      <c r="U112" t="s">
        <v>3558</v>
      </c>
    </row>
    <row r="113" spans="1:21" x14ac:dyDescent="0.25">
      <c r="A113" s="55" t="s">
        <v>3727</v>
      </c>
      <c r="B113" s="55" t="s">
        <v>3962</v>
      </c>
      <c r="C113" s="55" t="s">
        <v>3724</v>
      </c>
      <c r="D113" s="55" t="s">
        <v>3725</v>
      </c>
      <c r="E113" s="55" t="s">
        <v>29</v>
      </c>
      <c r="F113" s="55">
        <v>21</v>
      </c>
      <c r="G113" s="55">
        <v>39993.449999999997</v>
      </c>
      <c r="H113" s="55">
        <v>33327.875</v>
      </c>
      <c r="I113" s="55"/>
      <c r="J113" s="55"/>
      <c r="K113" s="55"/>
      <c r="L113" s="55">
        <v>33327.875</v>
      </c>
      <c r="M113" s="55"/>
      <c r="N113" s="55"/>
      <c r="O113" s="55" t="s">
        <v>3559</v>
      </c>
      <c r="P113" s="55">
        <v>1230123</v>
      </c>
      <c r="Q113" s="55">
        <v>3210321</v>
      </c>
      <c r="R113" s="55" t="s">
        <v>3560</v>
      </c>
      <c r="S113" s="55" t="s">
        <v>3561</v>
      </c>
      <c r="T113" s="55">
        <v>2</v>
      </c>
      <c r="U113">
        <v>444</v>
      </c>
    </row>
    <row r="114" spans="1:21" x14ac:dyDescent="0.25">
      <c r="A114" s="55" t="s">
        <v>3728</v>
      </c>
      <c r="B114" s="55" t="s">
        <v>3963</v>
      </c>
      <c r="C114" s="55" t="s">
        <v>3724</v>
      </c>
      <c r="D114" s="55" t="s">
        <v>3725</v>
      </c>
      <c r="E114" s="55" t="s">
        <v>29</v>
      </c>
      <c r="F114" s="55">
        <v>21</v>
      </c>
      <c r="G114" s="55">
        <v>40374.339999999997</v>
      </c>
      <c r="H114" s="55">
        <v>33645.283333333333</v>
      </c>
      <c r="I114" s="55"/>
      <c r="J114" s="55"/>
      <c r="K114" s="55"/>
      <c r="L114" s="55">
        <v>33645.283333333333</v>
      </c>
      <c r="M114" s="55"/>
      <c r="N114" s="55"/>
      <c r="O114" s="55" t="s">
        <v>3562</v>
      </c>
      <c r="P114" s="55">
        <v>456456</v>
      </c>
      <c r="Q114" s="55">
        <v>789789</v>
      </c>
      <c r="R114" s="55" t="s">
        <v>3563</v>
      </c>
      <c r="S114" s="55" t="s">
        <v>3564</v>
      </c>
      <c r="T114" s="55">
        <v>2</v>
      </c>
      <c r="U114">
        <v>555</v>
      </c>
    </row>
    <row r="115" spans="1:21" x14ac:dyDescent="0.25">
      <c r="A115" s="55" t="s">
        <v>3729</v>
      </c>
      <c r="B115" s="55" t="s">
        <v>3968</v>
      </c>
      <c r="C115" s="55" t="s">
        <v>3730</v>
      </c>
      <c r="D115" s="55" t="s">
        <v>3731</v>
      </c>
      <c r="E115" s="55" t="s">
        <v>29</v>
      </c>
      <c r="F115" s="55">
        <v>1</v>
      </c>
      <c r="G115" s="55" t="s">
        <v>3726</v>
      </c>
      <c r="H115" s="55">
        <v>31740.833333333336</v>
      </c>
      <c r="I115" s="55"/>
      <c r="J115" s="55"/>
      <c r="K115" s="55"/>
      <c r="L115" s="55">
        <v>31740.833333333336</v>
      </c>
      <c r="M115" s="55"/>
      <c r="N115" s="55"/>
      <c r="O115" s="55" t="s">
        <v>39</v>
      </c>
      <c r="P115" s="55">
        <v>7806155468</v>
      </c>
      <c r="Q115" s="55">
        <v>780601001</v>
      </c>
      <c r="R115" s="55" t="s">
        <v>40</v>
      </c>
      <c r="S115" s="55" t="s">
        <v>41</v>
      </c>
      <c r="T115" s="55">
        <v>1</v>
      </c>
      <c r="U115" t="s">
        <v>3558</v>
      </c>
    </row>
    <row r="116" spans="1:21" x14ac:dyDescent="0.25">
      <c r="A116" s="55" t="s">
        <v>3732</v>
      </c>
      <c r="B116" s="55" t="s">
        <v>3962</v>
      </c>
      <c r="C116" s="55" t="s">
        <v>3730</v>
      </c>
      <c r="D116" s="55" t="s">
        <v>3731</v>
      </c>
      <c r="E116" s="55" t="s">
        <v>29</v>
      </c>
      <c r="F116" s="55">
        <v>1</v>
      </c>
      <c r="G116" s="55">
        <v>39231.67</v>
      </c>
      <c r="H116" s="55">
        <v>32693.058333333334</v>
      </c>
      <c r="I116" s="55"/>
      <c r="J116" s="55"/>
      <c r="K116" s="55"/>
      <c r="L116" s="55">
        <v>32693.058333333334</v>
      </c>
      <c r="M116" s="55"/>
      <c r="N116" s="55"/>
      <c r="O116" s="55" t="s">
        <v>3559</v>
      </c>
      <c r="P116" s="55">
        <v>1230123</v>
      </c>
      <c r="Q116" s="55">
        <v>3210321</v>
      </c>
      <c r="R116" s="55" t="s">
        <v>3560</v>
      </c>
      <c r="S116" s="55" t="s">
        <v>3561</v>
      </c>
      <c r="T116" s="55">
        <v>2</v>
      </c>
      <c r="U116">
        <v>444</v>
      </c>
    </row>
    <row r="117" spans="1:21" x14ac:dyDescent="0.25">
      <c r="A117" s="55" t="s">
        <v>3733</v>
      </c>
      <c r="B117" s="55" t="s">
        <v>3963</v>
      </c>
      <c r="C117" s="55" t="s">
        <v>3730</v>
      </c>
      <c r="D117" s="55" t="s">
        <v>3731</v>
      </c>
      <c r="E117" s="55" t="s">
        <v>29</v>
      </c>
      <c r="F117" s="55">
        <v>1</v>
      </c>
      <c r="G117" s="55">
        <v>40374.339999999997</v>
      </c>
      <c r="H117" s="55">
        <v>33645.283333333333</v>
      </c>
      <c r="I117" s="55"/>
      <c r="J117" s="55"/>
      <c r="K117" s="55"/>
      <c r="L117" s="55">
        <v>33645.283333333333</v>
      </c>
      <c r="M117" s="55"/>
      <c r="N117" s="55"/>
      <c r="O117" s="55" t="s">
        <v>3562</v>
      </c>
      <c r="P117" s="55">
        <v>456456</v>
      </c>
      <c r="Q117" s="55">
        <v>789789</v>
      </c>
      <c r="R117" s="55" t="s">
        <v>3563</v>
      </c>
      <c r="S117" s="55" t="s">
        <v>3564</v>
      </c>
      <c r="T117" s="55">
        <v>2</v>
      </c>
      <c r="U117">
        <v>555</v>
      </c>
    </row>
    <row r="118" spans="1:21" x14ac:dyDescent="0.25">
      <c r="A118" s="55" t="s">
        <v>3734</v>
      </c>
      <c r="B118" s="55" t="s">
        <v>3968</v>
      </c>
      <c r="C118" s="55" t="s">
        <v>3730</v>
      </c>
      <c r="D118" s="55" t="s">
        <v>3735</v>
      </c>
      <c r="E118" s="55" t="s">
        <v>29</v>
      </c>
      <c r="F118" s="55">
        <v>1</v>
      </c>
      <c r="G118" s="55" t="s">
        <v>3726</v>
      </c>
      <c r="H118" s="55">
        <v>31740.833333333336</v>
      </c>
      <c r="I118" s="55"/>
      <c r="J118" s="55"/>
      <c r="K118" s="55"/>
      <c r="L118" s="55">
        <v>31740.833333333336</v>
      </c>
      <c r="M118" s="55"/>
      <c r="N118" s="55"/>
      <c r="O118" s="55" t="s">
        <v>39</v>
      </c>
      <c r="P118" s="55">
        <v>7806155468</v>
      </c>
      <c r="Q118" s="55">
        <v>780601001</v>
      </c>
      <c r="R118" s="55" t="s">
        <v>40</v>
      </c>
      <c r="S118" s="55" t="s">
        <v>41</v>
      </c>
      <c r="T118" s="55">
        <v>1</v>
      </c>
      <c r="U118" t="s">
        <v>3558</v>
      </c>
    </row>
    <row r="119" spans="1:21" x14ac:dyDescent="0.25">
      <c r="A119" s="55" t="s">
        <v>3736</v>
      </c>
      <c r="B119" s="55" t="s">
        <v>3962</v>
      </c>
      <c r="C119" s="55" t="s">
        <v>3730</v>
      </c>
      <c r="D119" s="55" t="s">
        <v>3735</v>
      </c>
      <c r="E119" s="55" t="s">
        <v>29</v>
      </c>
      <c r="F119" s="55">
        <v>1</v>
      </c>
      <c r="G119" s="55">
        <v>39612.559999999998</v>
      </c>
      <c r="H119" s="55">
        <v>33010.466666666667</v>
      </c>
      <c r="I119" s="55"/>
      <c r="J119" s="55"/>
      <c r="K119" s="55"/>
      <c r="L119" s="55">
        <v>33010.466666666667</v>
      </c>
      <c r="M119" s="55"/>
      <c r="N119" s="55"/>
      <c r="O119" s="55" t="s">
        <v>3559</v>
      </c>
      <c r="P119" s="55">
        <v>1230123</v>
      </c>
      <c r="Q119" s="55">
        <v>3210321</v>
      </c>
      <c r="R119" s="55" t="s">
        <v>3560</v>
      </c>
      <c r="S119" s="55" t="s">
        <v>3561</v>
      </c>
      <c r="T119" s="55">
        <v>2</v>
      </c>
      <c r="U119">
        <v>444</v>
      </c>
    </row>
    <row r="120" spans="1:21" x14ac:dyDescent="0.25">
      <c r="A120" s="55" t="s">
        <v>3737</v>
      </c>
      <c r="B120" s="55" t="s">
        <v>3963</v>
      </c>
      <c r="C120" s="55" t="s">
        <v>3730</v>
      </c>
      <c r="D120" s="55" t="s">
        <v>3735</v>
      </c>
      <c r="E120" s="55" t="s">
        <v>29</v>
      </c>
      <c r="F120" s="55">
        <v>1</v>
      </c>
      <c r="G120" s="55">
        <v>41136.120000000003</v>
      </c>
      <c r="H120" s="55">
        <v>34280.100000000006</v>
      </c>
      <c r="I120" s="55"/>
      <c r="J120" s="55"/>
      <c r="K120" s="55"/>
      <c r="L120" s="55">
        <v>34280.100000000006</v>
      </c>
      <c r="M120" s="55"/>
      <c r="N120" s="55"/>
      <c r="O120" s="55" t="s">
        <v>3562</v>
      </c>
      <c r="P120" s="55">
        <v>456456</v>
      </c>
      <c r="Q120" s="55">
        <v>789789</v>
      </c>
      <c r="R120" s="55" t="s">
        <v>3563</v>
      </c>
      <c r="S120" s="55" t="s">
        <v>3564</v>
      </c>
      <c r="T120" s="55">
        <v>2</v>
      </c>
      <c r="U120">
        <v>555</v>
      </c>
    </row>
    <row r="121" spans="1:21" x14ac:dyDescent="0.25">
      <c r="A121" s="55" t="s">
        <v>3738</v>
      </c>
      <c r="B121" s="55" t="s">
        <v>3968</v>
      </c>
      <c r="C121" s="55" t="s">
        <v>3739</v>
      </c>
      <c r="D121" s="55" t="s">
        <v>3740</v>
      </c>
      <c r="E121" s="55" t="s">
        <v>29</v>
      </c>
      <c r="F121" s="55">
        <v>1</v>
      </c>
      <c r="G121" s="55" t="s">
        <v>3741</v>
      </c>
      <c r="H121" s="55">
        <v>26377.5</v>
      </c>
      <c r="I121" s="55"/>
      <c r="J121" s="55"/>
      <c r="K121" s="55"/>
      <c r="L121" s="55">
        <v>26377.5</v>
      </c>
      <c r="M121" s="55"/>
      <c r="N121" s="55"/>
      <c r="O121" s="55" t="s">
        <v>39</v>
      </c>
      <c r="P121" s="55">
        <v>7806155468</v>
      </c>
      <c r="Q121" s="55">
        <v>780601001</v>
      </c>
      <c r="R121" s="55" t="s">
        <v>40</v>
      </c>
      <c r="S121" s="55" t="s">
        <v>41</v>
      </c>
      <c r="T121" s="55">
        <v>1</v>
      </c>
      <c r="U121" t="s">
        <v>3558</v>
      </c>
    </row>
    <row r="122" spans="1:21" x14ac:dyDescent="0.25">
      <c r="A122" s="55" t="s">
        <v>3742</v>
      </c>
      <c r="B122" s="55" t="s">
        <v>3962</v>
      </c>
      <c r="C122" s="55" t="s">
        <v>3739</v>
      </c>
      <c r="D122" s="55" t="s">
        <v>3740</v>
      </c>
      <c r="E122" s="55" t="s">
        <v>29</v>
      </c>
      <c r="F122" s="55">
        <v>1</v>
      </c>
      <c r="G122" s="55">
        <v>33235.65</v>
      </c>
      <c r="H122" s="55">
        <v>27696.375000000004</v>
      </c>
      <c r="I122" s="55"/>
      <c r="J122" s="55"/>
      <c r="K122" s="55"/>
      <c r="L122" s="55">
        <v>27696.375000000004</v>
      </c>
      <c r="M122" s="55"/>
      <c r="N122" s="55"/>
      <c r="O122" s="55" t="s">
        <v>3559</v>
      </c>
      <c r="P122" s="55">
        <v>1230123</v>
      </c>
      <c r="Q122" s="55">
        <v>3210321</v>
      </c>
      <c r="R122" s="55" t="s">
        <v>3560</v>
      </c>
      <c r="S122" s="55" t="s">
        <v>3561</v>
      </c>
      <c r="T122" s="55">
        <v>2</v>
      </c>
      <c r="U122">
        <v>444</v>
      </c>
    </row>
    <row r="123" spans="1:21" x14ac:dyDescent="0.25">
      <c r="A123" s="55" t="s">
        <v>3743</v>
      </c>
      <c r="B123" s="55" t="s">
        <v>3963</v>
      </c>
      <c r="C123" s="55" t="s">
        <v>3739</v>
      </c>
      <c r="D123" s="55" t="s">
        <v>3740</v>
      </c>
      <c r="E123" s="55" t="s">
        <v>29</v>
      </c>
      <c r="F123" s="55">
        <v>1</v>
      </c>
      <c r="G123" s="55">
        <v>34185.24</v>
      </c>
      <c r="H123" s="55">
        <v>28487.7</v>
      </c>
      <c r="I123" s="55"/>
      <c r="J123" s="55"/>
      <c r="K123" s="55"/>
      <c r="L123" s="55">
        <v>28487.7</v>
      </c>
      <c r="M123" s="55"/>
      <c r="N123" s="55"/>
      <c r="O123" s="55" t="s">
        <v>3562</v>
      </c>
      <c r="P123" s="55">
        <v>456456</v>
      </c>
      <c r="Q123" s="55">
        <v>789789</v>
      </c>
      <c r="R123" s="55" t="s">
        <v>3563</v>
      </c>
      <c r="S123" s="55" t="s">
        <v>3564</v>
      </c>
      <c r="T123" s="55">
        <v>2</v>
      </c>
      <c r="U123">
        <v>555</v>
      </c>
    </row>
    <row r="124" spans="1:21" x14ac:dyDescent="0.25">
      <c r="A124" s="55" t="s">
        <v>3744</v>
      </c>
      <c r="B124" s="55" t="s">
        <v>3968</v>
      </c>
      <c r="C124" s="55" t="s">
        <v>3745</v>
      </c>
      <c r="D124" s="55" t="s">
        <v>3746</v>
      </c>
      <c r="E124" s="55" t="s">
        <v>29</v>
      </c>
      <c r="F124" s="55">
        <v>7</v>
      </c>
      <c r="G124" s="55" t="s">
        <v>3747</v>
      </c>
      <c r="H124" s="55">
        <v>5941.666666666667</v>
      </c>
      <c r="I124" s="55"/>
      <c r="J124" s="55"/>
      <c r="K124" s="55"/>
      <c r="L124" s="55">
        <v>5941.666666666667</v>
      </c>
      <c r="M124" s="55"/>
      <c r="N124" s="55"/>
      <c r="O124" s="55" t="s">
        <v>39</v>
      </c>
      <c r="P124" s="55">
        <v>7806155468</v>
      </c>
      <c r="Q124" s="55">
        <v>780601001</v>
      </c>
      <c r="R124" s="55" t="s">
        <v>40</v>
      </c>
      <c r="S124" s="55" t="s">
        <v>41</v>
      </c>
      <c r="T124" s="55">
        <v>1</v>
      </c>
      <c r="U124" t="s">
        <v>3558</v>
      </c>
    </row>
    <row r="125" spans="1:21" x14ac:dyDescent="0.25">
      <c r="A125" s="55" t="s">
        <v>3748</v>
      </c>
      <c r="B125" s="55" t="s">
        <v>3962</v>
      </c>
      <c r="C125" s="55" t="s">
        <v>3745</v>
      </c>
      <c r="D125" s="55" t="s">
        <v>3746</v>
      </c>
      <c r="E125" s="55" t="s">
        <v>29</v>
      </c>
      <c r="F125" s="55">
        <v>7</v>
      </c>
      <c r="G125" s="55">
        <v>7415.2</v>
      </c>
      <c r="H125" s="55">
        <v>6179.333333333333</v>
      </c>
      <c r="I125" s="55"/>
      <c r="J125" s="55"/>
      <c r="K125" s="55"/>
      <c r="L125" s="55">
        <v>6179.333333333333</v>
      </c>
      <c r="M125" s="55"/>
      <c r="N125" s="55"/>
      <c r="O125" s="55" t="s">
        <v>3559</v>
      </c>
      <c r="P125" s="55">
        <v>1230123</v>
      </c>
      <c r="Q125" s="55">
        <v>3210321</v>
      </c>
      <c r="R125" s="55" t="s">
        <v>3560</v>
      </c>
      <c r="S125" s="55" t="s">
        <v>3561</v>
      </c>
      <c r="T125" s="55">
        <v>2</v>
      </c>
      <c r="U125">
        <v>444</v>
      </c>
    </row>
    <row r="126" spans="1:21" x14ac:dyDescent="0.25">
      <c r="A126" s="55" t="s">
        <v>3749</v>
      </c>
      <c r="B126" s="55" t="s">
        <v>3963</v>
      </c>
      <c r="C126" s="55" t="s">
        <v>3745</v>
      </c>
      <c r="D126" s="55" t="s">
        <v>3746</v>
      </c>
      <c r="E126" s="55" t="s">
        <v>29</v>
      </c>
      <c r="F126" s="55">
        <v>7</v>
      </c>
      <c r="G126" s="55">
        <v>7629.1</v>
      </c>
      <c r="H126" s="55">
        <v>6357.5833333333339</v>
      </c>
      <c r="I126" s="55"/>
      <c r="J126" s="55"/>
      <c r="K126" s="55"/>
      <c r="L126" s="55">
        <v>6357.5833333333339</v>
      </c>
      <c r="M126" s="55"/>
      <c r="N126" s="55"/>
      <c r="O126" s="55" t="s">
        <v>3562</v>
      </c>
      <c r="P126" s="55">
        <v>456456</v>
      </c>
      <c r="Q126" s="55">
        <v>789789</v>
      </c>
      <c r="R126" s="55" t="s">
        <v>3563</v>
      </c>
      <c r="S126" s="55" t="s">
        <v>3564</v>
      </c>
      <c r="T126" s="55">
        <v>2</v>
      </c>
      <c r="U126">
        <v>555</v>
      </c>
    </row>
    <row r="127" spans="1:21" x14ac:dyDescent="0.25">
      <c r="A127" s="55" t="s">
        <v>3750</v>
      </c>
      <c r="B127" s="55" t="s">
        <v>3969</v>
      </c>
      <c r="C127" s="55" t="s">
        <v>3751</v>
      </c>
      <c r="D127" s="55" t="s">
        <v>3752</v>
      </c>
      <c r="E127" s="55" t="s">
        <v>29</v>
      </c>
      <c r="F127" s="55">
        <v>1</v>
      </c>
      <c r="G127" s="55">
        <v>1350000</v>
      </c>
      <c r="H127" s="55">
        <v>1125000</v>
      </c>
      <c r="I127" s="55"/>
      <c r="J127" s="55"/>
      <c r="K127" s="55"/>
      <c r="L127" s="55">
        <v>1125000</v>
      </c>
      <c r="M127" s="55"/>
      <c r="N127" s="55"/>
      <c r="O127" s="55" t="s">
        <v>42</v>
      </c>
      <c r="P127" s="55">
        <v>7839109650</v>
      </c>
      <c r="Q127" s="55">
        <v>783901001</v>
      </c>
      <c r="R127" s="55" t="s">
        <v>43</v>
      </c>
      <c r="S127" s="55" t="s">
        <v>41</v>
      </c>
      <c r="T127" s="55">
        <v>2</v>
      </c>
      <c r="U127" t="s">
        <v>3753</v>
      </c>
    </row>
    <row r="128" spans="1:21" x14ac:dyDescent="0.25">
      <c r="A128" s="55" t="s">
        <v>3754</v>
      </c>
      <c r="B128" s="55" t="s">
        <v>3970</v>
      </c>
      <c r="C128" s="55" t="s">
        <v>3751</v>
      </c>
      <c r="D128" s="55" t="s">
        <v>3752</v>
      </c>
      <c r="E128" s="55" t="s">
        <v>29</v>
      </c>
      <c r="F128" s="55">
        <v>1</v>
      </c>
      <c r="G128" s="55">
        <v>1404000</v>
      </c>
      <c r="H128" s="55">
        <v>1170000</v>
      </c>
      <c r="I128" s="55"/>
      <c r="J128" s="55"/>
      <c r="K128" s="55"/>
      <c r="L128" s="55">
        <v>1170000</v>
      </c>
      <c r="M128" s="55"/>
      <c r="N128" s="55"/>
      <c r="O128" s="55" t="s">
        <v>3559</v>
      </c>
      <c r="P128" s="55">
        <v>1230123</v>
      </c>
      <c r="Q128" s="55">
        <v>3210321</v>
      </c>
      <c r="R128" s="55" t="s">
        <v>3560</v>
      </c>
      <c r="S128" s="55" t="s">
        <v>3561</v>
      </c>
      <c r="T128" s="55">
        <v>2</v>
      </c>
      <c r="U128">
        <v>444</v>
      </c>
    </row>
    <row r="129" spans="1:21" x14ac:dyDescent="0.25">
      <c r="A129" s="55" t="s">
        <v>3755</v>
      </c>
      <c r="B129" s="55" t="s">
        <v>3971</v>
      </c>
      <c r="C129" s="55" t="s">
        <v>3751</v>
      </c>
      <c r="D129" s="55" t="s">
        <v>3752</v>
      </c>
      <c r="E129" s="55" t="s">
        <v>29</v>
      </c>
      <c r="F129" s="55">
        <v>1</v>
      </c>
      <c r="G129" s="55">
        <v>1444500</v>
      </c>
      <c r="H129" s="55">
        <v>1203750</v>
      </c>
      <c r="I129" s="55"/>
      <c r="J129" s="55"/>
      <c r="K129" s="55"/>
      <c r="L129" s="55">
        <v>1203750</v>
      </c>
      <c r="M129" s="55"/>
      <c r="N129" s="55"/>
      <c r="O129" s="55" t="s">
        <v>3562</v>
      </c>
      <c r="P129" s="55">
        <v>456456</v>
      </c>
      <c r="Q129" s="55">
        <v>789789</v>
      </c>
      <c r="R129" s="55" t="s">
        <v>3563</v>
      </c>
      <c r="S129" s="55" t="s">
        <v>3564</v>
      </c>
      <c r="T129" s="55">
        <v>2</v>
      </c>
      <c r="U129">
        <v>555</v>
      </c>
    </row>
    <row r="130" spans="1:21" x14ac:dyDescent="0.25">
      <c r="A130" s="55" t="s">
        <v>3756</v>
      </c>
      <c r="B130" s="55" t="s">
        <v>3969</v>
      </c>
      <c r="C130" s="55" t="s">
        <v>3757</v>
      </c>
      <c r="D130" s="55" t="s">
        <v>3758</v>
      </c>
      <c r="E130" s="55" t="s">
        <v>29</v>
      </c>
      <c r="F130" s="55">
        <v>1</v>
      </c>
      <c r="G130" s="55">
        <v>540000</v>
      </c>
      <c r="H130" s="55">
        <v>450000</v>
      </c>
      <c r="I130" s="55"/>
      <c r="J130" s="55"/>
      <c r="K130" s="55"/>
      <c r="L130" s="55">
        <v>450000</v>
      </c>
      <c r="M130" s="55"/>
      <c r="N130" s="55"/>
      <c r="O130" s="55" t="s">
        <v>42</v>
      </c>
      <c r="P130" s="55">
        <v>7839109650</v>
      </c>
      <c r="Q130" s="55">
        <v>783901001</v>
      </c>
      <c r="R130" s="55" t="s">
        <v>43</v>
      </c>
      <c r="S130" s="55" t="s">
        <v>41</v>
      </c>
      <c r="T130" s="55">
        <v>2</v>
      </c>
      <c r="U130" t="s">
        <v>3753</v>
      </c>
    </row>
    <row r="131" spans="1:21" x14ac:dyDescent="0.25">
      <c r="A131" s="55" t="s">
        <v>3759</v>
      </c>
      <c r="B131" s="55" t="s">
        <v>3970</v>
      </c>
      <c r="C131" s="55" t="s">
        <v>3757</v>
      </c>
      <c r="D131" s="55" t="s">
        <v>3758</v>
      </c>
      <c r="E131" s="55" t="s">
        <v>29</v>
      </c>
      <c r="F131" s="55">
        <v>1</v>
      </c>
      <c r="G131" s="55">
        <v>567000</v>
      </c>
      <c r="H131" s="55">
        <v>472500</v>
      </c>
      <c r="I131" s="55"/>
      <c r="J131" s="55"/>
      <c r="K131" s="55"/>
      <c r="L131" s="55">
        <v>472500</v>
      </c>
      <c r="M131" s="55"/>
      <c r="N131" s="55"/>
      <c r="O131" s="55" t="s">
        <v>3559</v>
      </c>
      <c r="P131" s="55">
        <v>1230123</v>
      </c>
      <c r="Q131" s="55">
        <v>3210321</v>
      </c>
      <c r="R131" s="55" t="s">
        <v>3560</v>
      </c>
      <c r="S131" s="55" t="s">
        <v>3561</v>
      </c>
      <c r="T131" s="55">
        <v>2</v>
      </c>
      <c r="U131">
        <v>444</v>
      </c>
    </row>
    <row r="132" spans="1:21" x14ac:dyDescent="0.25">
      <c r="A132" s="55" t="s">
        <v>3760</v>
      </c>
      <c r="B132" s="55" t="s">
        <v>3971</v>
      </c>
      <c r="C132" s="55" t="s">
        <v>3757</v>
      </c>
      <c r="D132" s="55" t="s">
        <v>3758</v>
      </c>
      <c r="E132" s="55" t="s">
        <v>29</v>
      </c>
      <c r="F132" s="55">
        <v>1</v>
      </c>
      <c r="G132" s="55">
        <v>577800</v>
      </c>
      <c r="H132" s="55">
        <v>481500</v>
      </c>
      <c r="I132" s="55"/>
      <c r="J132" s="55"/>
      <c r="K132" s="55"/>
      <c r="L132" s="55">
        <v>481500</v>
      </c>
      <c r="M132" s="55"/>
      <c r="N132" s="55"/>
      <c r="O132" s="55" t="s">
        <v>3562</v>
      </c>
      <c r="P132" s="55">
        <v>456456</v>
      </c>
      <c r="Q132" s="55">
        <v>789789</v>
      </c>
      <c r="R132" s="55" t="s">
        <v>3563</v>
      </c>
      <c r="S132" s="55" t="s">
        <v>3564</v>
      </c>
      <c r="T132" s="55">
        <v>2</v>
      </c>
      <c r="U132">
        <v>555</v>
      </c>
    </row>
    <row r="133" spans="1:21" x14ac:dyDescent="0.25">
      <c r="A133" s="55" t="s">
        <v>3761</v>
      </c>
      <c r="B133" s="55" t="s">
        <v>3969</v>
      </c>
      <c r="C133" s="55" t="s">
        <v>3762</v>
      </c>
      <c r="D133" s="55" t="s">
        <v>3763</v>
      </c>
      <c r="E133" s="55" t="s">
        <v>29</v>
      </c>
      <c r="F133" s="55">
        <v>1</v>
      </c>
      <c r="G133" s="55">
        <v>522000</v>
      </c>
      <c r="H133" s="55">
        <v>435000</v>
      </c>
      <c r="I133" s="55"/>
      <c r="J133" s="55"/>
      <c r="K133" s="55"/>
      <c r="L133" s="55">
        <v>435000</v>
      </c>
      <c r="M133" s="55"/>
      <c r="N133" s="55"/>
      <c r="O133" s="55" t="s">
        <v>42</v>
      </c>
      <c r="P133" s="55">
        <v>7839109650</v>
      </c>
      <c r="Q133" s="55">
        <v>783901001</v>
      </c>
      <c r="R133" s="55" t="s">
        <v>43</v>
      </c>
      <c r="S133" s="55" t="s">
        <v>41</v>
      </c>
      <c r="T133" s="55">
        <v>2</v>
      </c>
      <c r="U133" t="s">
        <v>3753</v>
      </c>
    </row>
    <row r="134" spans="1:21" x14ac:dyDescent="0.25">
      <c r="A134" s="55" t="s">
        <v>3764</v>
      </c>
      <c r="B134" s="55" t="s">
        <v>3970</v>
      </c>
      <c r="C134" s="55" t="s">
        <v>3762</v>
      </c>
      <c r="D134" s="55" t="s">
        <v>3763</v>
      </c>
      <c r="E134" s="55" t="s">
        <v>29</v>
      </c>
      <c r="F134" s="55">
        <v>1</v>
      </c>
      <c r="G134" s="55">
        <v>542880</v>
      </c>
      <c r="H134" s="55">
        <v>452400</v>
      </c>
      <c r="I134" s="55"/>
      <c r="J134" s="55"/>
      <c r="K134" s="55"/>
      <c r="L134" s="55">
        <v>452400</v>
      </c>
      <c r="M134" s="55"/>
      <c r="N134" s="55"/>
      <c r="O134" s="55" t="s">
        <v>3559</v>
      </c>
      <c r="P134" s="55">
        <v>1230123</v>
      </c>
      <c r="Q134" s="55">
        <v>3210321</v>
      </c>
      <c r="R134" s="55" t="s">
        <v>3560</v>
      </c>
      <c r="S134" s="55" t="s">
        <v>3561</v>
      </c>
      <c r="T134" s="55">
        <v>2</v>
      </c>
      <c r="U134">
        <v>444</v>
      </c>
    </row>
    <row r="135" spans="1:21" x14ac:dyDescent="0.25">
      <c r="A135" s="55" t="s">
        <v>3765</v>
      </c>
      <c r="B135" s="55" t="s">
        <v>3971</v>
      </c>
      <c r="C135" s="55" t="s">
        <v>3762</v>
      </c>
      <c r="D135" s="55" t="s">
        <v>3763</v>
      </c>
      <c r="E135" s="55" t="s">
        <v>29</v>
      </c>
      <c r="F135" s="55">
        <v>1</v>
      </c>
      <c r="G135" s="55">
        <v>558540</v>
      </c>
      <c r="H135" s="55">
        <v>465450</v>
      </c>
      <c r="I135" s="55"/>
      <c r="J135" s="55"/>
      <c r="K135" s="55"/>
      <c r="L135" s="55">
        <v>465450</v>
      </c>
      <c r="M135" s="55"/>
      <c r="N135" s="55"/>
      <c r="O135" s="55" t="s">
        <v>3562</v>
      </c>
      <c r="P135" s="55">
        <v>456456</v>
      </c>
      <c r="Q135" s="55">
        <v>789789</v>
      </c>
      <c r="R135" s="55" t="s">
        <v>3563</v>
      </c>
      <c r="S135" s="55" t="s">
        <v>3564</v>
      </c>
      <c r="T135" s="55">
        <v>2</v>
      </c>
      <c r="U135">
        <v>555</v>
      </c>
    </row>
    <row r="136" spans="1:21" x14ac:dyDescent="0.25">
      <c r="A136" s="55" t="s">
        <v>3766</v>
      </c>
      <c r="B136" s="55" t="s">
        <v>3972</v>
      </c>
      <c r="C136" s="55" t="s">
        <v>3767</v>
      </c>
      <c r="D136" s="55" t="s">
        <v>2372</v>
      </c>
      <c r="E136" s="55" t="s">
        <v>3768</v>
      </c>
      <c r="F136" s="55">
        <v>1</v>
      </c>
      <c r="G136" s="55">
        <v>9000</v>
      </c>
      <c r="H136" s="55">
        <v>7500</v>
      </c>
      <c r="I136" s="55"/>
      <c r="J136" s="55"/>
      <c r="K136" s="55"/>
      <c r="L136" s="55">
        <v>7500</v>
      </c>
      <c r="M136" s="55"/>
      <c r="N136" s="55"/>
      <c r="O136" s="55" t="s">
        <v>42</v>
      </c>
      <c r="P136" s="55">
        <v>7839109650</v>
      </c>
      <c r="Q136" s="55">
        <v>783901001</v>
      </c>
      <c r="R136" s="55" t="s">
        <v>43</v>
      </c>
      <c r="S136" s="55" t="s">
        <v>41</v>
      </c>
      <c r="T136" s="55">
        <v>2</v>
      </c>
      <c r="U136" t="s">
        <v>3753</v>
      </c>
    </row>
    <row r="137" spans="1:21" x14ac:dyDescent="0.25">
      <c r="A137" s="55" t="s">
        <v>3769</v>
      </c>
      <c r="B137" s="55" t="s">
        <v>3973</v>
      </c>
      <c r="C137" s="55" t="s">
        <v>3767</v>
      </c>
      <c r="D137" s="55" t="s">
        <v>2372</v>
      </c>
      <c r="E137" s="55" t="s">
        <v>3768</v>
      </c>
      <c r="F137" s="55">
        <v>1</v>
      </c>
      <c r="G137" s="55">
        <v>9450</v>
      </c>
      <c r="H137" s="55">
        <v>7875</v>
      </c>
      <c r="I137" s="55"/>
      <c r="J137" s="55"/>
      <c r="K137" s="55"/>
      <c r="L137" s="55">
        <v>7875</v>
      </c>
      <c r="M137" s="55"/>
      <c r="N137" s="55"/>
      <c r="O137" s="55" t="s">
        <v>3559</v>
      </c>
      <c r="P137" s="55">
        <v>1230123</v>
      </c>
      <c r="Q137" s="55">
        <v>3210321</v>
      </c>
      <c r="R137" s="55" t="s">
        <v>3560</v>
      </c>
      <c r="S137" s="55" t="s">
        <v>3561</v>
      </c>
      <c r="T137" s="55">
        <v>2</v>
      </c>
      <c r="U137">
        <v>444</v>
      </c>
    </row>
    <row r="138" spans="1:21" x14ac:dyDescent="0.25">
      <c r="A138" s="55" t="s">
        <v>3770</v>
      </c>
      <c r="B138" s="55" t="s">
        <v>3974</v>
      </c>
      <c r="C138" s="55" t="s">
        <v>3767</v>
      </c>
      <c r="D138" s="55" t="s">
        <v>2372</v>
      </c>
      <c r="E138" s="55" t="s">
        <v>3768</v>
      </c>
      <c r="F138" s="55">
        <v>1</v>
      </c>
      <c r="G138" s="55">
        <v>9630</v>
      </c>
      <c r="H138" s="55">
        <v>8025</v>
      </c>
      <c r="I138" s="55"/>
      <c r="J138" s="55"/>
      <c r="K138" s="55"/>
      <c r="L138" s="55">
        <v>8025</v>
      </c>
      <c r="M138" s="55"/>
      <c r="N138" s="55"/>
      <c r="O138" s="55" t="s">
        <v>3562</v>
      </c>
      <c r="P138" s="55">
        <v>456456</v>
      </c>
      <c r="Q138" s="55">
        <v>789789</v>
      </c>
      <c r="R138" s="55" t="s">
        <v>3563</v>
      </c>
      <c r="S138" s="55" t="s">
        <v>3564</v>
      </c>
      <c r="T138" s="55">
        <v>2</v>
      </c>
      <c r="U138">
        <v>555</v>
      </c>
    </row>
    <row r="139" spans="1:21" x14ac:dyDescent="0.25">
      <c r="A139" s="55" t="s">
        <v>3771</v>
      </c>
      <c r="B139" s="55" t="s">
        <v>3972</v>
      </c>
      <c r="C139" s="55" t="s">
        <v>3772</v>
      </c>
      <c r="D139" s="55" t="s">
        <v>2373</v>
      </c>
      <c r="E139" s="55" t="s">
        <v>3768</v>
      </c>
      <c r="F139" s="55">
        <v>1</v>
      </c>
      <c r="G139" s="55">
        <v>9000</v>
      </c>
      <c r="H139" s="55">
        <v>7500</v>
      </c>
      <c r="I139" s="55"/>
      <c r="J139" s="55"/>
      <c r="K139" s="55"/>
      <c r="L139" s="55">
        <v>7500</v>
      </c>
      <c r="M139" s="55"/>
      <c r="N139" s="55"/>
      <c r="O139" s="55" t="s">
        <v>42</v>
      </c>
      <c r="P139" s="55">
        <v>7839109650</v>
      </c>
      <c r="Q139" s="55">
        <v>783901001</v>
      </c>
      <c r="R139" s="55" t="s">
        <v>43</v>
      </c>
      <c r="S139" s="55" t="s">
        <v>41</v>
      </c>
      <c r="T139" s="55">
        <v>2</v>
      </c>
      <c r="U139" t="s">
        <v>3753</v>
      </c>
    </row>
    <row r="140" spans="1:21" x14ac:dyDescent="0.25">
      <c r="A140" s="55" t="s">
        <v>3773</v>
      </c>
      <c r="B140" s="55" t="s">
        <v>3973</v>
      </c>
      <c r="C140" s="55" t="s">
        <v>3772</v>
      </c>
      <c r="D140" s="55" t="s">
        <v>2373</v>
      </c>
      <c r="E140" s="55" t="s">
        <v>3768</v>
      </c>
      <c r="F140" s="55">
        <v>1</v>
      </c>
      <c r="G140" s="55">
        <v>9450</v>
      </c>
      <c r="H140" s="55">
        <v>7875</v>
      </c>
      <c r="I140" s="55"/>
      <c r="J140" s="55"/>
      <c r="K140" s="55"/>
      <c r="L140" s="55">
        <v>7875</v>
      </c>
      <c r="M140" s="55"/>
      <c r="N140" s="55"/>
      <c r="O140" s="55" t="s">
        <v>3559</v>
      </c>
      <c r="P140" s="55">
        <v>1230123</v>
      </c>
      <c r="Q140" s="55">
        <v>3210321</v>
      </c>
      <c r="R140" s="55" t="s">
        <v>3560</v>
      </c>
      <c r="S140" s="55" t="s">
        <v>3561</v>
      </c>
      <c r="T140" s="55">
        <v>2</v>
      </c>
      <c r="U140">
        <v>444</v>
      </c>
    </row>
    <row r="141" spans="1:21" x14ac:dyDescent="0.25">
      <c r="A141" s="55" t="s">
        <v>3774</v>
      </c>
      <c r="B141" s="55" t="s">
        <v>3974</v>
      </c>
      <c r="C141" s="55" t="s">
        <v>3772</v>
      </c>
      <c r="D141" s="55" t="s">
        <v>2373</v>
      </c>
      <c r="E141" s="55" t="s">
        <v>3768</v>
      </c>
      <c r="F141" s="55">
        <v>1</v>
      </c>
      <c r="G141" s="55">
        <v>9540</v>
      </c>
      <c r="H141" s="55">
        <v>7950</v>
      </c>
      <c r="I141" s="55"/>
      <c r="J141" s="55"/>
      <c r="K141" s="55"/>
      <c r="L141" s="55">
        <v>7950</v>
      </c>
      <c r="M141" s="55"/>
      <c r="N141" s="55"/>
      <c r="O141" s="55" t="s">
        <v>3562</v>
      </c>
      <c r="P141" s="55">
        <v>456456</v>
      </c>
      <c r="Q141" s="55">
        <v>789789</v>
      </c>
      <c r="R141" s="55" t="s">
        <v>3563</v>
      </c>
      <c r="S141" s="55" t="s">
        <v>3564</v>
      </c>
      <c r="T141" s="55">
        <v>2</v>
      </c>
      <c r="U141">
        <v>555</v>
      </c>
    </row>
    <row r="142" spans="1:21" x14ac:dyDescent="0.25">
      <c r="A142" s="55" t="s">
        <v>3775</v>
      </c>
      <c r="B142" s="55" t="s">
        <v>3975</v>
      </c>
      <c r="C142" s="55" t="s">
        <v>3776</v>
      </c>
      <c r="D142" s="55" t="s">
        <v>3777</v>
      </c>
      <c r="E142" s="55" t="s">
        <v>33</v>
      </c>
      <c r="F142" s="55">
        <v>2373</v>
      </c>
      <c r="G142" s="55" t="s">
        <v>3778</v>
      </c>
      <c r="H142" s="55">
        <v>160890</v>
      </c>
      <c r="I142" s="55"/>
      <c r="J142" s="55"/>
      <c r="K142" s="55"/>
      <c r="L142" s="55">
        <v>160890</v>
      </c>
      <c r="M142" s="55"/>
      <c r="N142" s="55"/>
      <c r="O142" s="55" t="s">
        <v>48</v>
      </c>
      <c r="P142" s="55">
        <v>5036002480</v>
      </c>
      <c r="Q142" s="55">
        <v>503601001</v>
      </c>
      <c r="R142" s="55" t="s">
        <v>49</v>
      </c>
      <c r="S142" s="55" t="s">
        <v>50</v>
      </c>
      <c r="T142" s="55">
        <v>2</v>
      </c>
      <c r="U142" t="s">
        <v>3753</v>
      </c>
    </row>
    <row r="143" spans="1:21" x14ac:dyDescent="0.25">
      <c r="A143" s="55" t="s">
        <v>3779</v>
      </c>
      <c r="B143" s="55" t="s">
        <v>3976</v>
      </c>
      <c r="C143" s="55" t="s">
        <v>3776</v>
      </c>
      <c r="D143" s="55" t="s">
        <v>3777</v>
      </c>
      <c r="E143" s="55" t="s">
        <v>33</v>
      </c>
      <c r="F143" s="55">
        <v>2373</v>
      </c>
      <c r="G143" s="55">
        <v>202721.4</v>
      </c>
      <c r="H143" s="55">
        <v>168934.5</v>
      </c>
      <c r="I143" s="55"/>
      <c r="J143" s="55"/>
      <c r="K143" s="55"/>
      <c r="L143" s="55">
        <v>168934.5</v>
      </c>
      <c r="M143" s="55"/>
      <c r="N143" s="55"/>
      <c r="O143" s="55" t="s">
        <v>3559</v>
      </c>
      <c r="P143" s="55">
        <v>1230123</v>
      </c>
      <c r="Q143" s="55">
        <v>3210321</v>
      </c>
      <c r="R143" s="55" t="s">
        <v>3560</v>
      </c>
      <c r="S143" s="55" t="s">
        <v>3561</v>
      </c>
      <c r="T143" s="55">
        <v>2</v>
      </c>
      <c r="U143">
        <v>444</v>
      </c>
    </row>
    <row r="144" spans="1:21" x14ac:dyDescent="0.25">
      <c r="A144" s="55" t="s">
        <v>3780</v>
      </c>
      <c r="B144" s="55" t="s">
        <v>3977</v>
      </c>
      <c r="C144" s="55" t="s">
        <v>3776</v>
      </c>
      <c r="D144" s="55" t="s">
        <v>3777</v>
      </c>
      <c r="E144" s="55" t="s">
        <v>33</v>
      </c>
      <c r="F144" s="55">
        <v>2373</v>
      </c>
      <c r="G144" s="55">
        <v>204652.08</v>
      </c>
      <c r="H144" s="55">
        <v>170543.4</v>
      </c>
      <c r="I144" s="55"/>
      <c r="J144" s="55"/>
      <c r="K144" s="55"/>
      <c r="L144" s="55">
        <v>170543.4</v>
      </c>
      <c r="M144" s="55"/>
      <c r="N144" s="55"/>
      <c r="O144" s="55" t="s">
        <v>3562</v>
      </c>
      <c r="P144" s="55">
        <v>456456</v>
      </c>
      <c r="Q144" s="55">
        <v>789789</v>
      </c>
      <c r="R144" s="55" t="s">
        <v>3563</v>
      </c>
      <c r="S144" s="55" t="s">
        <v>3564</v>
      </c>
      <c r="T144" s="55">
        <v>2</v>
      </c>
      <c r="U144">
        <v>555</v>
      </c>
    </row>
    <row r="145" spans="1:21" x14ac:dyDescent="0.25">
      <c r="A145" s="55" t="s">
        <v>3781</v>
      </c>
      <c r="B145" s="55" t="s">
        <v>3975</v>
      </c>
      <c r="C145" s="55" t="s">
        <v>3782</v>
      </c>
      <c r="D145" s="55" t="s">
        <v>3783</v>
      </c>
      <c r="E145" s="55" t="s">
        <v>33</v>
      </c>
      <c r="F145" s="55">
        <v>1096</v>
      </c>
      <c r="G145" s="55" t="s">
        <v>3784</v>
      </c>
      <c r="H145" s="55">
        <v>50010</v>
      </c>
      <c r="I145" s="55"/>
      <c r="J145" s="55"/>
      <c r="K145" s="55"/>
      <c r="L145" s="55">
        <v>50010</v>
      </c>
      <c r="M145" s="55"/>
      <c r="N145" s="55"/>
      <c r="O145" s="55" t="s">
        <v>48</v>
      </c>
      <c r="P145" s="55">
        <v>5036002480</v>
      </c>
      <c r="Q145" s="55">
        <v>503601001</v>
      </c>
      <c r="R145" s="55" t="s">
        <v>49</v>
      </c>
      <c r="S145" s="55" t="s">
        <v>50</v>
      </c>
      <c r="T145" s="55">
        <v>2</v>
      </c>
      <c r="U145" t="s">
        <v>3753</v>
      </c>
    </row>
    <row r="146" spans="1:21" x14ac:dyDescent="0.25">
      <c r="A146" s="55" t="s">
        <v>3785</v>
      </c>
      <c r="B146" s="55" t="s">
        <v>3976</v>
      </c>
      <c r="C146" s="55" t="s">
        <v>3782</v>
      </c>
      <c r="D146" s="55" t="s">
        <v>3783</v>
      </c>
      <c r="E146" s="55" t="s">
        <v>33</v>
      </c>
      <c r="F146" s="55">
        <v>1096</v>
      </c>
      <c r="G146" s="55">
        <v>61812.36</v>
      </c>
      <c r="H146" s="55">
        <v>51510.3</v>
      </c>
      <c r="I146" s="55"/>
      <c r="J146" s="55"/>
      <c r="K146" s="55"/>
      <c r="L146" s="55">
        <v>51510.3</v>
      </c>
      <c r="M146" s="55"/>
      <c r="N146" s="55"/>
      <c r="O146" s="55" t="s">
        <v>3559</v>
      </c>
      <c r="P146" s="55">
        <v>1230123</v>
      </c>
      <c r="Q146" s="55">
        <v>3210321</v>
      </c>
      <c r="R146" s="55" t="s">
        <v>3560</v>
      </c>
      <c r="S146" s="55" t="s">
        <v>3561</v>
      </c>
      <c r="T146" s="55">
        <v>2</v>
      </c>
      <c r="U146">
        <v>444</v>
      </c>
    </row>
    <row r="147" spans="1:21" x14ac:dyDescent="0.25">
      <c r="A147" s="55" t="s">
        <v>3786</v>
      </c>
      <c r="B147" s="55" t="s">
        <v>3977</v>
      </c>
      <c r="C147" s="55" t="s">
        <v>3782</v>
      </c>
      <c r="D147" s="55" t="s">
        <v>3783</v>
      </c>
      <c r="E147" s="55" t="s">
        <v>33</v>
      </c>
      <c r="F147" s="55">
        <v>1096</v>
      </c>
      <c r="G147" s="55">
        <v>63612.72</v>
      </c>
      <c r="H147" s="55">
        <v>53010.600000000006</v>
      </c>
      <c r="I147" s="55"/>
      <c r="J147" s="55"/>
      <c r="K147" s="55"/>
      <c r="L147" s="55">
        <v>53010.600000000006</v>
      </c>
      <c r="M147" s="55"/>
      <c r="N147" s="55"/>
      <c r="O147" s="55" t="s">
        <v>3562</v>
      </c>
      <c r="P147" s="55">
        <v>456456</v>
      </c>
      <c r="Q147" s="55">
        <v>789789</v>
      </c>
      <c r="R147" s="55" t="s">
        <v>3563</v>
      </c>
      <c r="S147" s="55" t="s">
        <v>3564</v>
      </c>
      <c r="T147" s="55">
        <v>2</v>
      </c>
      <c r="U147">
        <v>555</v>
      </c>
    </row>
    <row r="148" spans="1:21" x14ac:dyDescent="0.25">
      <c r="A148" s="55" t="s">
        <v>3787</v>
      </c>
      <c r="B148" s="55" t="s">
        <v>3975</v>
      </c>
      <c r="C148" s="55" t="s">
        <v>3788</v>
      </c>
      <c r="D148" s="55" t="s">
        <v>3789</v>
      </c>
      <c r="E148" s="55" t="s">
        <v>33</v>
      </c>
      <c r="F148" s="55" t="s">
        <v>3790</v>
      </c>
      <c r="G148" s="55" t="s">
        <v>3791</v>
      </c>
      <c r="H148" s="55">
        <v>255300</v>
      </c>
      <c r="I148" s="55"/>
      <c r="J148" s="55"/>
      <c r="K148" s="55"/>
      <c r="L148" s="55">
        <v>255300</v>
      </c>
      <c r="M148" s="55"/>
      <c r="N148" s="55"/>
      <c r="O148" s="55" t="s">
        <v>48</v>
      </c>
      <c r="P148" s="55">
        <v>5036002480</v>
      </c>
      <c r="Q148" s="55">
        <v>503601001</v>
      </c>
      <c r="R148" s="55" t="s">
        <v>49</v>
      </c>
      <c r="S148" s="55" t="s">
        <v>50</v>
      </c>
      <c r="T148" s="55">
        <v>2</v>
      </c>
      <c r="U148" t="s">
        <v>3753</v>
      </c>
    </row>
    <row r="149" spans="1:21" x14ac:dyDescent="0.25">
      <c r="A149" s="55" t="s">
        <v>3792</v>
      </c>
      <c r="B149" s="55" t="s">
        <v>3976</v>
      </c>
      <c r="C149" s="55" t="s">
        <v>3788</v>
      </c>
      <c r="D149" s="55" t="s">
        <v>3789</v>
      </c>
      <c r="E149" s="55" t="s">
        <v>33</v>
      </c>
      <c r="F149" s="55" t="s">
        <v>3790</v>
      </c>
      <c r="G149" s="55">
        <v>318614.40000000002</v>
      </c>
      <c r="H149" s="55">
        <v>265512.00000000006</v>
      </c>
      <c r="I149" s="55"/>
      <c r="J149" s="55"/>
      <c r="K149" s="55"/>
      <c r="L149" s="55">
        <v>265512.00000000006</v>
      </c>
      <c r="M149" s="55"/>
      <c r="N149" s="55"/>
      <c r="O149" s="55" t="s">
        <v>3559</v>
      </c>
      <c r="P149" s="55">
        <v>1230123</v>
      </c>
      <c r="Q149" s="55">
        <v>3210321</v>
      </c>
      <c r="R149" s="55" t="s">
        <v>3560</v>
      </c>
      <c r="S149" s="55" t="s">
        <v>3561</v>
      </c>
      <c r="T149" s="55">
        <v>2</v>
      </c>
      <c r="U149">
        <v>444</v>
      </c>
    </row>
    <row r="150" spans="1:21" x14ac:dyDescent="0.25">
      <c r="A150" s="55" t="s">
        <v>3793</v>
      </c>
      <c r="B150" s="55" t="s">
        <v>3977</v>
      </c>
      <c r="C150" s="55" t="s">
        <v>3788</v>
      </c>
      <c r="D150" s="55" t="s">
        <v>3789</v>
      </c>
      <c r="E150" s="55" t="s">
        <v>33</v>
      </c>
      <c r="F150" s="55" t="s">
        <v>3790</v>
      </c>
      <c r="G150" s="55">
        <v>324741.59999999998</v>
      </c>
      <c r="H150" s="55">
        <v>270618</v>
      </c>
      <c r="I150" s="55"/>
      <c r="J150" s="55"/>
      <c r="K150" s="55"/>
      <c r="L150" s="55">
        <v>270618</v>
      </c>
      <c r="M150" s="55"/>
      <c r="N150" s="55"/>
      <c r="O150" s="55" t="s">
        <v>3562</v>
      </c>
      <c r="P150" s="55">
        <v>456456</v>
      </c>
      <c r="Q150" s="55">
        <v>789789</v>
      </c>
      <c r="R150" s="55" t="s">
        <v>3563</v>
      </c>
      <c r="S150" s="55" t="s">
        <v>3564</v>
      </c>
      <c r="T150" s="55">
        <v>2</v>
      </c>
      <c r="U150">
        <v>555</v>
      </c>
    </row>
    <row r="151" spans="1:21" x14ac:dyDescent="0.25">
      <c r="A151" s="55" t="s">
        <v>3794</v>
      </c>
      <c r="B151" s="55" t="s">
        <v>3975</v>
      </c>
      <c r="C151" s="55" t="s">
        <v>3788</v>
      </c>
      <c r="D151" s="55" t="s">
        <v>3795</v>
      </c>
      <c r="E151" s="55" t="s">
        <v>33</v>
      </c>
      <c r="F151" s="55" t="s">
        <v>3796</v>
      </c>
      <c r="G151" s="55" t="s">
        <v>3797</v>
      </c>
      <c r="H151" s="55">
        <v>173330</v>
      </c>
      <c r="I151" s="55"/>
      <c r="J151" s="55"/>
      <c r="K151" s="55"/>
      <c r="L151" s="55">
        <v>173330</v>
      </c>
      <c r="M151" s="55"/>
      <c r="N151" s="55"/>
      <c r="O151" s="55" t="s">
        <v>48</v>
      </c>
      <c r="P151" s="55">
        <v>5036002480</v>
      </c>
      <c r="Q151" s="55">
        <v>503601001</v>
      </c>
      <c r="R151" s="55" t="s">
        <v>49</v>
      </c>
      <c r="S151" s="55" t="s">
        <v>50</v>
      </c>
      <c r="T151" s="55">
        <v>2</v>
      </c>
      <c r="U151" t="s">
        <v>3753</v>
      </c>
    </row>
    <row r="152" spans="1:21" x14ac:dyDescent="0.25">
      <c r="A152" s="55" t="s">
        <v>3798</v>
      </c>
      <c r="B152" s="55" t="s">
        <v>3976</v>
      </c>
      <c r="C152" s="55" t="s">
        <v>3788</v>
      </c>
      <c r="D152" s="55" t="s">
        <v>3795</v>
      </c>
      <c r="E152" s="55" t="s">
        <v>33</v>
      </c>
      <c r="F152" s="55" t="s">
        <v>3796</v>
      </c>
      <c r="G152" s="55">
        <v>218395.8</v>
      </c>
      <c r="H152" s="55">
        <v>181996.5</v>
      </c>
      <c r="I152" s="55"/>
      <c r="J152" s="55"/>
      <c r="K152" s="55"/>
      <c r="L152" s="55">
        <v>181996.5</v>
      </c>
      <c r="M152" s="55"/>
      <c r="N152" s="55"/>
      <c r="O152" s="55" t="s">
        <v>3559</v>
      </c>
      <c r="P152" s="55">
        <v>1230123</v>
      </c>
      <c r="Q152" s="55">
        <v>3210321</v>
      </c>
      <c r="R152" s="55" t="s">
        <v>3560</v>
      </c>
      <c r="S152" s="55" t="s">
        <v>3561</v>
      </c>
      <c r="T152" s="55">
        <v>2</v>
      </c>
      <c r="U152">
        <v>444</v>
      </c>
    </row>
    <row r="153" spans="1:21" x14ac:dyDescent="0.25">
      <c r="A153" s="55" t="s">
        <v>3799</v>
      </c>
      <c r="B153" s="55" t="s">
        <v>3977</v>
      </c>
      <c r="C153" s="55" t="s">
        <v>3788</v>
      </c>
      <c r="D153" s="55" t="s">
        <v>3795</v>
      </c>
      <c r="E153" s="55" t="s">
        <v>33</v>
      </c>
      <c r="F153" s="55" t="s">
        <v>3796</v>
      </c>
      <c r="G153" s="55">
        <v>224635.68</v>
      </c>
      <c r="H153" s="55">
        <v>187196.4</v>
      </c>
      <c r="I153" s="55"/>
      <c r="J153" s="55"/>
      <c r="K153" s="55"/>
      <c r="L153" s="55">
        <v>187196.4</v>
      </c>
      <c r="M153" s="55"/>
      <c r="N153" s="55"/>
      <c r="O153" s="55" t="s">
        <v>3562</v>
      </c>
      <c r="P153" s="55">
        <v>456456</v>
      </c>
      <c r="Q153" s="55">
        <v>789789</v>
      </c>
      <c r="R153" s="55" t="s">
        <v>3563</v>
      </c>
      <c r="S153" s="55" t="s">
        <v>3564</v>
      </c>
      <c r="T153" s="55">
        <v>2</v>
      </c>
      <c r="U153">
        <v>555</v>
      </c>
    </row>
    <row r="154" spans="1:21" x14ac:dyDescent="0.25">
      <c r="A154" s="55" t="s">
        <v>3800</v>
      </c>
      <c r="B154" s="55" t="s">
        <v>3978</v>
      </c>
      <c r="C154" s="55" t="s">
        <v>3801</v>
      </c>
      <c r="D154" s="55" t="s">
        <v>3802</v>
      </c>
      <c r="E154" s="55" t="s">
        <v>33</v>
      </c>
      <c r="F154" s="55" t="s">
        <v>3803</v>
      </c>
      <c r="G154" s="55" t="s">
        <v>3804</v>
      </c>
      <c r="H154" s="55">
        <v>89640</v>
      </c>
      <c r="I154" s="55"/>
      <c r="J154" s="55"/>
      <c r="K154" s="55"/>
      <c r="L154" s="55">
        <v>89640</v>
      </c>
      <c r="M154" s="55"/>
      <c r="N154" s="55"/>
      <c r="O154" s="55" t="s">
        <v>48</v>
      </c>
      <c r="P154" s="55">
        <v>5036002480</v>
      </c>
      <c r="Q154" s="55">
        <v>503601001</v>
      </c>
      <c r="R154" s="55" t="s">
        <v>49</v>
      </c>
      <c r="S154" s="55" t="s">
        <v>50</v>
      </c>
      <c r="T154" s="55">
        <v>2</v>
      </c>
      <c r="U154" t="s">
        <v>3753</v>
      </c>
    </row>
    <row r="155" spans="1:21" x14ac:dyDescent="0.25">
      <c r="A155" s="55" t="s">
        <v>3805</v>
      </c>
      <c r="B155" s="55" t="s">
        <v>3979</v>
      </c>
      <c r="C155" s="55" t="s">
        <v>3801</v>
      </c>
      <c r="D155" s="55" t="s">
        <v>3802</v>
      </c>
      <c r="E155" s="55" t="s">
        <v>33</v>
      </c>
      <c r="F155" s="55" t="s">
        <v>3803</v>
      </c>
      <c r="G155" s="55">
        <v>111870.72</v>
      </c>
      <c r="H155" s="55">
        <v>93225.600000000006</v>
      </c>
      <c r="I155" s="55"/>
      <c r="J155" s="55"/>
      <c r="K155" s="55"/>
      <c r="L155" s="55">
        <v>93225.600000000006</v>
      </c>
      <c r="M155" s="55"/>
      <c r="N155" s="55"/>
      <c r="O155" s="55" t="s">
        <v>3559</v>
      </c>
      <c r="P155" s="55">
        <v>1230123</v>
      </c>
      <c r="Q155" s="55">
        <v>3210321</v>
      </c>
      <c r="R155" s="55" t="s">
        <v>3560</v>
      </c>
      <c r="S155" s="55" t="s">
        <v>3561</v>
      </c>
      <c r="T155" s="55">
        <v>2</v>
      </c>
      <c r="U155">
        <v>444</v>
      </c>
    </row>
    <row r="156" spans="1:21" x14ac:dyDescent="0.25">
      <c r="A156" s="55" t="s">
        <v>3806</v>
      </c>
      <c r="B156" s="55" t="s">
        <v>3980</v>
      </c>
      <c r="C156" s="55" t="s">
        <v>3801</v>
      </c>
      <c r="D156" s="55" t="s">
        <v>3802</v>
      </c>
      <c r="E156" s="55" t="s">
        <v>33</v>
      </c>
      <c r="F156" s="55" t="s">
        <v>3803</v>
      </c>
      <c r="G156" s="55">
        <v>116173.44</v>
      </c>
      <c r="H156" s="55">
        <v>96811.200000000012</v>
      </c>
      <c r="I156" s="55"/>
      <c r="J156" s="55"/>
      <c r="K156" s="55"/>
      <c r="L156" s="55">
        <v>96811.200000000012</v>
      </c>
      <c r="M156" s="55"/>
      <c r="N156" s="55"/>
      <c r="O156" s="55" t="s">
        <v>3562</v>
      </c>
      <c r="P156" s="55">
        <v>456456</v>
      </c>
      <c r="Q156" s="55">
        <v>789789</v>
      </c>
      <c r="R156" s="55" t="s">
        <v>3563</v>
      </c>
      <c r="S156" s="55" t="s">
        <v>3564</v>
      </c>
      <c r="T156" s="55">
        <v>2</v>
      </c>
      <c r="U156">
        <v>555</v>
      </c>
    </row>
    <row r="157" spans="1:21" x14ac:dyDescent="0.25">
      <c r="A157" s="55" t="s">
        <v>3807</v>
      </c>
      <c r="B157" s="55" t="s">
        <v>3981</v>
      </c>
      <c r="C157" s="55" t="s">
        <v>3808</v>
      </c>
      <c r="D157" s="55" t="s">
        <v>3809</v>
      </c>
      <c r="E157" s="55" t="s">
        <v>33</v>
      </c>
      <c r="F157" s="55" t="s">
        <v>3790</v>
      </c>
      <c r="G157" s="55" t="s">
        <v>3810</v>
      </c>
      <c r="H157" s="55">
        <v>73690</v>
      </c>
      <c r="I157" s="55"/>
      <c r="J157" s="55"/>
      <c r="K157" s="55"/>
      <c r="L157" s="55">
        <v>73690</v>
      </c>
      <c r="M157" s="55"/>
      <c r="N157" s="55"/>
      <c r="O157" s="55" t="s">
        <v>48</v>
      </c>
      <c r="P157" s="55">
        <v>5036002480</v>
      </c>
      <c r="Q157" s="55">
        <v>503601001</v>
      </c>
      <c r="R157" s="55" t="s">
        <v>49</v>
      </c>
      <c r="S157" s="55" t="s">
        <v>50</v>
      </c>
      <c r="T157" s="55">
        <v>2</v>
      </c>
      <c r="U157" t="s">
        <v>3753</v>
      </c>
    </row>
    <row r="158" spans="1:21" x14ac:dyDescent="0.25">
      <c r="A158" s="55" t="s">
        <v>3811</v>
      </c>
      <c r="B158" s="55" t="s">
        <v>3982</v>
      </c>
      <c r="C158" s="55" t="s">
        <v>3808</v>
      </c>
      <c r="D158" s="55" t="s">
        <v>3809</v>
      </c>
      <c r="E158" s="55" t="s">
        <v>33</v>
      </c>
      <c r="F158" s="55" t="s">
        <v>3790</v>
      </c>
      <c r="G158" s="55">
        <v>91965.119999999995</v>
      </c>
      <c r="H158" s="55">
        <v>76637.600000000006</v>
      </c>
      <c r="I158" s="55"/>
      <c r="J158" s="55"/>
      <c r="K158" s="55"/>
      <c r="L158" s="55">
        <v>76637.600000000006</v>
      </c>
      <c r="M158" s="55"/>
      <c r="N158" s="55"/>
      <c r="O158" s="55" t="s">
        <v>3559</v>
      </c>
      <c r="P158" s="55">
        <v>1230123</v>
      </c>
      <c r="Q158" s="55">
        <v>3210321</v>
      </c>
      <c r="R158" s="55" t="s">
        <v>3560</v>
      </c>
      <c r="S158" s="55" t="s">
        <v>3561</v>
      </c>
      <c r="T158" s="55">
        <v>2</v>
      </c>
      <c r="U158">
        <v>444</v>
      </c>
    </row>
    <row r="159" spans="1:21" x14ac:dyDescent="0.25">
      <c r="A159" s="55" t="s">
        <v>3812</v>
      </c>
      <c r="B159" s="55" t="s">
        <v>3983</v>
      </c>
      <c r="C159" s="55" t="s">
        <v>3808</v>
      </c>
      <c r="D159" s="55" t="s">
        <v>3809</v>
      </c>
      <c r="E159" s="55" t="s">
        <v>33</v>
      </c>
      <c r="F159" s="55" t="s">
        <v>3790</v>
      </c>
      <c r="G159" s="55">
        <v>93733.68</v>
      </c>
      <c r="H159" s="55">
        <v>78111.399999999994</v>
      </c>
      <c r="I159" s="55"/>
      <c r="J159" s="55"/>
      <c r="K159" s="55"/>
      <c r="L159" s="55">
        <v>78111.399999999994</v>
      </c>
      <c r="M159" s="55"/>
      <c r="N159" s="55"/>
      <c r="O159" s="55" t="s">
        <v>3562</v>
      </c>
      <c r="P159" s="55">
        <v>456456</v>
      </c>
      <c r="Q159" s="55">
        <v>789789</v>
      </c>
      <c r="R159" s="55" t="s">
        <v>3563</v>
      </c>
      <c r="S159" s="55" t="s">
        <v>3564</v>
      </c>
      <c r="T159" s="55">
        <v>2</v>
      </c>
      <c r="U159">
        <v>555</v>
      </c>
    </row>
    <row r="160" spans="1:21" x14ac:dyDescent="0.25">
      <c r="A160" s="55" t="s">
        <v>3813</v>
      </c>
      <c r="B160" s="55" t="s">
        <v>3984</v>
      </c>
      <c r="C160" s="55" t="s">
        <v>3814</v>
      </c>
      <c r="D160" s="55" t="s">
        <v>3815</v>
      </c>
      <c r="E160" s="55" t="s">
        <v>31</v>
      </c>
      <c r="F160" s="55">
        <v>28</v>
      </c>
      <c r="G160" s="55">
        <v>94.51</v>
      </c>
      <c r="H160" s="55">
        <v>78.75833333333334</v>
      </c>
      <c r="I160" s="55"/>
      <c r="J160" s="55"/>
      <c r="K160" s="55"/>
      <c r="L160" s="55">
        <v>78.75833333333334</v>
      </c>
      <c r="M160" s="55"/>
      <c r="N160" s="55"/>
      <c r="O160" s="55" t="s">
        <v>46</v>
      </c>
      <c r="P160" s="55">
        <v>7804274156</v>
      </c>
      <c r="Q160" s="55">
        <v>780401001</v>
      </c>
      <c r="R160" s="55" t="s">
        <v>47</v>
      </c>
      <c r="S160" s="55" t="s">
        <v>41</v>
      </c>
      <c r="T160" s="55">
        <v>2</v>
      </c>
      <c r="U160" t="s">
        <v>2317</v>
      </c>
    </row>
    <row r="161" spans="1:21" x14ac:dyDescent="0.25">
      <c r="A161" s="55" t="s">
        <v>3816</v>
      </c>
      <c r="B161" s="55" t="s">
        <v>3985</v>
      </c>
      <c r="C161" s="55" t="s">
        <v>3814</v>
      </c>
      <c r="D161" s="55" t="s">
        <v>3815</v>
      </c>
      <c r="E161" s="55" t="s">
        <v>31</v>
      </c>
      <c r="F161" s="55">
        <v>28</v>
      </c>
      <c r="G161" s="55">
        <v>99.235500000000002</v>
      </c>
      <c r="H161" s="55">
        <v>82.696250000000006</v>
      </c>
      <c r="I161" s="55"/>
      <c r="J161" s="55"/>
      <c r="K161" s="55"/>
      <c r="L161" s="55">
        <v>82.696250000000006</v>
      </c>
      <c r="M161" s="55"/>
      <c r="N161" s="55"/>
      <c r="O161" s="55" t="s">
        <v>3559</v>
      </c>
      <c r="P161" s="55">
        <v>1230123</v>
      </c>
      <c r="Q161" s="55">
        <v>3210321</v>
      </c>
      <c r="R161" s="55" t="s">
        <v>3560</v>
      </c>
      <c r="S161" s="55" t="s">
        <v>3561</v>
      </c>
      <c r="T161" s="55">
        <v>2</v>
      </c>
      <c r="U161">
        <v>444</v>
      </c>
    </row>
    <row r="162" spans="1:21" x14ac:dyDescent="0.25">
      <c r="A162" s="55" t="s">
        <v>3817</v>
      </c>
      <c r="B162" s="55" t="s">
        <v>3986</v>
      </c>
      <c r="C162" s="55" t="s">
        <v>3814</v>
      </c>
      <c r="D162" s="55" t="s">
        <v>3815</v>
      </c>
      <c r="E162" s="55" t="s">
        <v>31</v>
      </c>
      <c r="F162" s="55">
        <v>28</v>
      </c>
      <c r="G162" s="55">
        <v>100.1806</v>
      </c>
      <c r="H162" s="55">
        <v>83.483833333333337</v>
      </c>
      <c r="I162" s="55"/>
      <c r="J162" s="55"/>
      <c r="K162" s="55"/>
      <c r="L162" s="55">
        <v>83.483833333333337</v>
      </c>
      <c r="M162" s="55"/>
      <c r="N162" s="55"/>
      <c r="O162" s="55" t="s">
        <v>3562</v>
      </c>
      <c r="P162" s="55">
        <v>456456</v>
      </c>
      <c r="Q162" s="55">
        <v>789789</v>
      </c>
      <c r="R162" s="55" t="s">
        <v>3563</v>
      </c>
      <c r="S162" s="55" t="s">
        <v>3564</v>
      </c>
      <c r="T162" s="55">
        <v>2</v>
      </c>
      <c r="U162">
        <v>555</v>
      </c>
    </row>
    <row r="163" spans="1:21" x14ac:dyDescent="0.25">
      <c r="A163" s="55" t="s">
        <v>3818</v>
      </c>
      <c r="B163" s="55" t="s">
        <v>3987</v>
      </c>
      <c r="C163" s="55" t="s">
        <v>3819</v>
      </c>
      <c r="D163" s="55" t="s">
        <v>3820</v>
      </c>
      <c r="E163" s="55" t="s">
        <v>31</v>
      </c>
      <c r="F163" s="55">
        <v>50</v>
      </c>
      <c r="G163" s="55">
        <v>60.23</v>
      </c>
      <c r="H163" s="55">
        <v>50.191666666666663</v>
      </c>
      <c r="I163" s="55"/>
      <c r="J163" s="55"/>
      <c r="K163" s="55"/>
      <c r="L163" s="55">
        <v>50.191666666666663</v>
      </c>
      <c r="M163" s="55"/>
      <c r="N163" s="55"/>
      <c r="O163" s="55" t="s">
        <v>46</v>
      </c>
      <c r="P163" s="55">
        <v>7804274156</v>
      </c>
      <c r="Q163" s="55">
        <v>780401001</v>
      </c>
      <c r="R163" s="55" t="s">
        <v>47</v>
      </c>
      <c r="S163" s="55" t="s">
        <v>41</v>
      </c>
      <c r="T163" s="55">
        <v>2</v>
      </c>
      <c r="U163" t="s">
        <v>2317</v>
      </c>
    </row>
    <row r="164" spans="1:21" x14ac:dyDescent="0.25">
      <c r="A164" s="55" t="s">
        <v>3821</v>
      </c>
      <c r="B164" s="55" t="s">
        <v>3988</v>
      </c>
      <c r="C164" s="55" t="s">
        <v>3819</v>
      </c>
      <c r="D164" s="55" t="s">
        <v>3820</v>
      </c>
      <c r="E164" s="55" t="s">
        <v>31</v>
      </c>
      <c r="F164" s="55">
        <v>50</v>
      </c>
      <c r="G164" s="55">
        <v>62.036899999999996</v>
      </c>
      <c r="H164" s="55">
        <v>51.697416666666662</v>
      </c>
      <c r="I164" s="55"/>
      <c r="J164" s="55"/>
      <c r="K164" s="55"/>
      <c r="L164" s="55">
        <v>51.697416666666662</v>
      </c>
      <c r="M164" s="55"/>
      <c r="N164" s="55"/>
      <c r="O164" s="55" t="s">
        <v>3559</v>
      </c>
      <c r="P164" s="55">
        <v>1230123</v>
      </c>
      <c r="Q164" s="55">
        <v>3210321</v>
      </c>
      <c r="R164" s="55" t="s">
        <v>3560</v>
      </c>
      <c r="S164" s="55" t="s">
        <v>3561</v>
      </c>
      <c r="T164" s="55">
        <v>2</v>
      </c>
      <c r="U164">
        <v>444</v>
      </c>
    </row>
    <row r="165" spans="1:21" x14ac:dyDescent="0.25">
      <c r="A165" s="55" t="s">
        <v>3822</v>
      </c>
      <c r="B165" s="55" t="s">
        <v>3989</v>
      </c>
      <c r="C165" s="55" t="s">
        <v>3819</v>
      </c>
      <c r="D165" s="55" t="s">
        <v>3820</v>
      </c>
      <c r="E165" s="55" t="s">
        <v>31</v>
      </c>
      <c r="F165" s="55">
        <v>50</v>
      </c>
      <c r="G165" s="55">
        <v>65.048400000000001</v>
      </c>
      <c r="H165" s="55">
        <v>54.207000000000001</v>
      </c>
      <c r="I165" s="55"/>
      <c r="J165" s="55"/>
      <c r="K165" s="55"/>
      <c r="L165" s="55">
        <v>54.207000000000001</v>
      </c>
      <c r="M165" s="55"/>
      <c r="N165" s="55"/>
      <c r="O165" s="55" t="s">
        <v>3562</v>
      </c>
      <c r="P165" s="55">
        <v>456456</v>
      </c>
      <c r="Q165" s="55">
        <v>789789</v>
      </c>
      <c r="R165" s="55" t="s">
        <v>3563</v>
      </c>
      <c r="S165" s="55" t="s">
        <v>3564</v>
      </c>
      <c r="T165" s="55">
        <v>2</v>
      </c>
      <c r="U165">
        <v>555</v>
      </c>
    </row>
    <row r="166" spans="1:21" x14ac:dyDescent="0.25">
      <c r="A166" s="55" t="s">
        <v>3823</v>
      </c>
      <c r="B166" s="55" t="s">
        <v>3987</v>
      </c>
      <c r="C166" s="55" t="s">
        <v>3824</v>
      </c>
      <c r="D166" s="55" t="s">
        <v>3825</v>
      </c>
      <c r="E166" s="55" t="s">
        <v>31</v>
      </c>
      <c r="F166" s="55">
        <v>50</v>
      </c>
      <c r="G166" s="55">
        <v>74.72</v>
      </c>
      <c r="H166" s="55">
        <v>62.266666666666666</v>
      </c>
      <c r="I166" s="55"/>
      <c r="J166" s="55"/>
      <c r="K166" s="55"/>
      <c r="L166" s="55">
        <v>62.266666666666666</v>
      </c>
      <c r="M166" s="55"/>
      <c r="N166" s="55"/>
      <c r="O166" s="55" t="s">
        <v>46</v>
      </c>
      <c r="P166" s="55">
        <v>7804274156</v>
      </c>
      <c r="Q166" s="55">
        <v>780401001</v>
      </c>
      <c r="R166" s="55" t="s">
        <v>47</v>
      </c>
      <c r="S166" s="55" t="s">
        <v>41</v>
      </c>
      <c r="T166" s="55">
        <v>2</v>
      </c>
      <c r="U166" t="s">
        <v>2317</v>
      </c>
    </row>
    <row r="167" spans="1:21" x14ac:dyDescent="0.25">
      <c r="A167" s="55" t="s">
        <v>3826</v>
      </c>
      <c r="B167" s="55" t="s">
        <v>3988</v>
      </c>
      <c r="C167" s="55" t="s">
        <v>3824</v>
      </c>
      <c r="D167" s="55" t="s">
        <v>3825</v>
      </c>
      <c r="E167" s="55" t="s">
        <v>31</v>
      </c>
      <c r="F167" s="55">
        <v>50</v>
      </c>
      <c r="G167" s="55">
        <v>78.456000000000003</v>
      </c>
      <c r="H167" s="55">
        <v>65.38000000000001</v>
      </c>
      <c r="I167" s="55"/>
      <c r="J167" s="55"/>
      <c r="K167" s="55"/>
      <c r="L167" s="55">
        <v>65.38000000000001</v>
      </c>
      <c r="M167" s="55"/>
      <c r="N167" s="55"/>
      <c r="O167" s="55" t="s">
        <v>3559</v>
      </c>
      <c r="P167" s="55">
        <v>1230123</v>
      </c>
      <c r="Q167" s="55">
        <v>3210321</v>
      </c>
      <c r="R167" s="55" t="s">
        <v>3560</v>
      </c>
      <c r="S167" s="55" t="s">
        <v>3561</v>
      </c>
      <c r="T167" s="55">
        <v>2</v>
      </c>
      <c r="U167">
        <v>444</v>
      </c>
    </row>
    <row r="168" spans="1:21" x14ac:dyDescent="0.25">
      <c r="A168" s="55" t="s">
        <v>3827</v>
      </c>
      <c r="B168" s="55" t="s">
        <v>3989</v>
      </c>
      <c r="C168" s="55" t="s">
        <v>3824</v>
      </c>
      <c r="D168" s="55" t="s">
        <v>3825</v>
      </c>
      <c r="E168" s="55" t="s">
        <v>31</v>
      </c>
      <c r="F168" s="55">
        <v>50</v>
      </c>
      <c r="G168" s="55">
        <v>79.950400000000002</v>
      </c>
      <c r="H168" s="55">
        <v>66.625333333333344</v>
      </c>
      <c r="I168" s="55"/>
      <c r="J168" s="55"/>
      <c r="K168" s="55"/>
      <c r="L168" s="55">
        <v>66.625333333333344</v>
      </c>
      <c r="M168" s="55"/>
      <c r="N168" s="55"/>
      <c r="O168" s="55" t="s">
        <v>3562</v>
      </c>
      <c r="P168" s="55">
        <v>456456</v>
      </c>
      <c r="Q168" s="55">
        <v>789789</v>
      </c>
      <c r="R168" s="55" t="s">
        <v>3563</v>
      </c>
      <c r="S168" s="55" t="s">
        <v>3564</v>
      </c>
      <c r="T168" s="55">
        <v>2</v>
      </c>
      <c r="U168">
        <v>555</v>
      </c>
    </row>
    <row r="169" spans="1:21" x14ac:dyDescent="0.25">
      <c r="A169" s="55" t="s">
        <v>3828</v>
      </c>
      <c r="B169" s="55" t="s">
        <v>3990</v>
      </c>
      <c r="C169" s="55" t="s">
        <v>3829</v>
      </c>
      <c r="D169" s="55" t="s">
        <v>3829</v>
      </c>
      <c r="E169" s="55" t="s">
        <v>29</v>
      </c>
      <c r="F169" s="55">
        <v>100</v>
      </c>
      <c r="G169" s="55">
        <v>2.23</v>
      </c>
      <c r="H169" s="55">
        <v>1.8583333333333334</v>
      </c>
      <c r="I169" s="55"/>
      <c r="J169" s="55"/>
      <c r="K169" s="55"/>
      <c r="L169" s="55">
        <v>1.8583333333333334</v>
      </c>
      <c r="M169" s="55"/>
      <c r="N169" s="55"/>
      <c r="O169" s="55" t="s">
        <v>46</v>
      </c>
      <c r="P169" s="55">
        <v>7804274156</v>
      </c>
      <c r="Q169" s="55">
        <v>780401001</v>
      </c>
      <c r="R169" s="55" t="s">
        <v>47</v>
      </c>
      <c r="S169" s="55" t="s">
        <v>41</v>
      </c>
      <c r="T169" s="55">
        <v>2</v>
      </c>
      <c r="U169" t="s">
        <v>2317</v>
      </c>
    </row>
    <row r="170" spans="1:21" x14ac:dyDescent="0.25">
      <c r="A170" s="55" t="s">
        <v>3830</v>
      </c>
      <c r="B170" s="55" t="s">
        <v>3991</v>
      </c>
      <c r="C170" s="55" t="s">
        <v>3829</v>
      </c>
      <c r="D170" s="55" t="s">
        <v>3829</v>
      </c>
      <c r="E170" s="55" t="s">
        <v>29</v>
      </c>
      <c r="F170" s="55">
        <v>100</v>
      </c>
      <c r="G170" s="55">
        <v>2.3191999999999999</v>
      </c>
      <c r="H170" s="55">
        <v>1.9326666666666668</v>
      </c>
      <c r="I170" s="55"/>
      <c r="J170" s="55"/>
      <c r="K170" s="55"/>
      <c r="L170" s="55">
        <v>1.9326666666666668</v>
      </c>
      <c r="M170" s="55"/>
      <c r="N170" s="55"/>
      <c r="O170" s="55" t="s">
        <v>3559</v>
      </c>
      <c r="P170" s="55">
        <v>1230123</v>
      </c>
      <c r="Q170" s="55">
        <v>3210321</v>
      </c>
      <c r="R170" s="55" t="s">
        <v>3560</v>
      </c>
      <c r="S170" s="55" t="s">
        <v>3561</v>
      </c>
      <c r="T170" s="55">
        <v>2</v>
      </c>
      <c r="U170">
        <v>444</v>
      </c>
    </row>
    <row r="171" spans="1:21" x14ac:dyDescent="0.25">
      <c r="A171" s="55" t="s">
        <v>3831</v>
      </c>
      <c r="B171" s="55" t="s">
        <v>3992</v>
      </c>
      <c r="C171" s="55" t="s">
        <v>3829</v>
      </c>
      <c r="D171" s="55" t="s">
        <v>3829</v>
      </c>
      <c r="E171" s="55" t="s">
        <v>29</v>
      </c>
      <c r="F171" s="55">
        <v>100</v>
      </c>
      <c r="G171" s="55">
        <v>2.3637999999999999</v>
      </c>
      <c r="H171" s="55">
        <v>1.9698333333333333</v>
      </c>
      <c r="I171" s="55"/>
      <c r="J171" s="55"/>
      <c r="K171" s="55"/>
      <c r="L171" s="55">
        <v>1.9698333333333333</v>
      </c>
      <c r="M171" s="55"/>
      <c r="N171" s="55"/>
      <c r="O171" s="55" t="s">
        <v>3562</v>
      </c>
      <c r="P171" s="55">
        <v>456456</v>
      </c>
      <c r="Q171" s="55">
        <v>789789</v>
      </c>
      <c r="R171" s="55" t="s">
        <v>3563</v>
      </c>
      <c r="S171" s="55" t="s">
        <v>3564</v>
      </c>
      <c r="T171" s="55">
        <v>2</v>
      </c>
      <c r="U171">
        <v>555</v>
      </c>
    </row>
    <row r="172" spans="1:21" x14ac:dyDescent="0.25">
      <c r="A172" s="55" t="s">
        <v>3832</v>
      </c>
      <c r="B172" s="55" t="s">
        <v>3990</v>
      </c>
      <c r="C172" s="55" t="s">
        <v>3833</v>
      </c>
      <c r="D172" s="55" t="s">
        <v>3833</v>
      </c>
      <c r="E172" s="55" t="s">
        <v>29</v>
      </c>
      <c r="F172" s="55">
        <v>100</v>
      </c>
      <c r="G172" s="55">
        <v>3.83</v>
      </c>
      <c r="H172" s="55">
        <v>3.1916666666666669</v>
      </c>
      <c r="I172" s="55"/>
      <c r="J172" s="55"/>
      <c r="K172" s="55"/>
      <c r="L172" s="55">
        <v>3.1916666666666669</v>
      </c>
      <c r="M172" s="55"/>
      <c r="N172" s="55"/>
      <c r="O172" s="55" t="s">
        <v>46</v>
      </c>
      <c r="P172" s="55">
        <v>7804274156</v>
      </c>
      <c r="Q172" s="55">
        <v>780401001</v>
      </c>
      <c r="R172" s="55" t="s">
        <v>47</v>
      </c>
      <c r="S172" s="55" t="s">
        <v>41</v>
      </c>
      <c r="T172" s="55">
        <v>2</v>
      </c>
      <c r="U172" t="s">
        <v>2317</v>
      </c>
    </row>
    <row r="173" spans="1:21" x14ac:dyDescent="0.25">
      <c r="A173" s="55" t="s">
        <v>3834</v>
      </c>
      <c r="B173" s="55" t="s">
        <v>3991</v>
      </c>
      <c r="C173" s="55" t="s">
        <v>3833</v>
      </c>
      <c r="D173" s="55" t="s">
        <v>3833</v>
      </c>
      <c r="E173" s="55" t="s">
        <v>29</v>
      </c>
      <c r="F173" s="55">
        <v>100</v>
      </c>
      <c r="G173" s="55">
        <v>3.9832000000000001</v>
      </c>
      <c r="H173" s="55">
        <v>3.3193333333333337</v>
      </c>
      <c r="I173" s="55"/>
      <c r="J173" s="55"/>
      <c r="K173" s="55"/>
      <c r="L173" s="55">
        <v>3.3193333333333337</v>
      </c>
      <c r="M173" s="55"/>
      <c r="N173" s="55"/>
      <c r="O173" s="55" t="s">
        <v>3559</v>
      </c>
      <c r="P173" s="55">
        <v>1230123</v>
      </c>
      <c r="Q173" s="55">
        <v>3210321</v>
      </c>
      <c r="R173" s="55" t="s">
        <v>3560</v>
      </c>
      <c r="S173" s="55" t="s">
        <v>3561</v>
      </c>
      <c r="T173" s="55">
        <v>2</v>
      </c>
      <c r="U173">
        <v>444</v>
      </c>
    </row>
    <row r="174" spans="1:21" x14ac:dyDescent="0.25">
      <c r="A174" s="55" t="s">
        <v>3835</v>
      </c>
      <c r="B174" s="55" t="s">
        <v>3992</v>
      </c>
      <c r="C174" s="55" t="s">
        <v>3833</v>
      </c>
      <c r="D174" s="55" t="s">
        <v>3833</v>
      </c>
      <c r="E174" s="55" t="s">
        <v>29</v>
      </c>
      <c r="F174" s="55">
        <v>100</v>
      </c>
      <c r="G174" s="55">
        <v>4.1364000000000001</v>
      </c>
      <c r="H174" s="55">
        <v>3.4470000000000001</v>
      </c>
      <c r="I174" s="55"/>
      <c r="J174" s="55"/>
      <c r="K174" s="55"/>
      <c r="L174" s="55">
        <v>3.4470000000000001</v>
      </c>
      <c r="M174" s="55"/>
      <c r="N174" s="55"/>
      <c r="O174" s="55" t="s">
        <v>3562</v>
      </c>
      <c r="P174" s="55">
        <v>456456</v>
      </c>
      <c r="Q174" s="55">
        <v>789789</v>
      </c>
      <c r="R174" s="55" t="s">
        <v>3563</v>
      </c>
      <c r="S174" s="55" t="s">
        <v>3564</v>
      </c>
      <c r="T174" s="55">
        <v>2</v>
      </c>
      <c r="U174">
        <v>555</v>
      </c>
    </row>
    <row r="175" spans="1:21" x14ac:dyDescent="0.25">
      <c r="A175" s="55" t="s">
        <v>3836</v>
      </c>
      <c r="B175" s="55" t="s">
        <v>3993</v>
      </c>
      <c r="C175" s="55" t="s">
        <v>3837</v>
      </c>
      <c r="D175" s="55" t="s">
        <v>3837</v>
      </c>
      <c r="E175" s="55" t="s">
        <v>3768</v>
      </c>
      <c r="F175" s="55">
        <v>3</v>
      </c>
      <c r="G175" s="55">
        <v>238.42</v>
      </c>
      <c r="H175" s="55">
        <v>198.68333333333334</v>
      </c>
      <c r="I175" s="55"/>
      <c r="J175" s="55"/>
      <c r="K175" s="55"/>
      <c r="L175" s="55">
        <v>198.68333333333334</v>
      </c>
      <c r="M175" s="55"/>
      <c r="N175" s="55"/>
      <c r="O175" s="55" t="s">
        <v>46</v>
      </c>
      <c r="P175" s="55">
        <v>7804274156</v>
      </c>
      <c r="Q175" s="55">
        <v>780401001</v>
      </c>
      <c r="R175" s="55" t="s">
        <v>47</v>
      </c>
      <c r="S175" s="55" t="s">
        <v>41</v>
      </c>
      <c r="T175" s="55">
        <v>2</v>
      </c>
      <c r="U175" t="s">
        <v>2317</v>
      </c>
    </row>
    <row r="176" spans="1:21" x14ac:dyDescent="0.25">
      <c r="A176" s="55" t="s">
        <v>3838</v>
      </c>
      <c r="B176" s="55" t="s">
        <v>3994</v>
      </c>
      <c r="C176" s="55" t="s">
        <v>3837</v>
      </c>
      <c r="D176" s="55" t="s">
        <v>3837</v>
      </c>
      <c r="E176" s="55" t="s">
        <v>3768</v>
      </c>
      <c r="F176" s="55">
        <v>3</v>
      </c>
      <c r="G176" s="55">
        <v>245.57259999999999</v>
      </c>
      <c r="H176" s="55">
        <v>204.64383333333333</v>
      </c>
      <c r="I176" s="55"/>
      <c r="J176" s="55"/>
      <c r="K176" s="55"/>
      <c r="L176" s="55">
        <v>204.64383333333333</v>
      </c>
      <c r="M176" s="55"/>
      <c r="N176" s="55"/>
      <c r="O176" s="55" t="s">
        <v>3559</v>
      </c>
      <c r="P176" s="55">
        <v>1230123</v>
      </c>
      <c r="Q176" s="55">
        <v>3210321</v>
      </c>
      <c r="R176" s="55" t="s">
        <v>3560</v>
      </c>
      <c r="S176" s="55" t="s">
        <v>3561</v>
      </c>
      <c r="T176" s="55">
        <v>2</v>
      </c>
      <c r="U176">
        <v>444</v>
      </c>
    </row>
    <row r="177" spans="1:21" x14ac:dyDescent="0.25">
      <c r="A177" s="55" t="s">
        <v>3839</v>
      </c>
      <c r="B177" s="55" t="s">
        <v>3995</v>
      </c>
      <c r="C177" s="55" t="s">
        <v>3837</v>
      </c>
      <c r="D177" s="55" t="s">
        <v>3837</v>
      </c>
      <c r="E177" s="55" t="s">
        <v>3768</v>
      </c>
      <c r="F177" s="55">
        <v>3</v>
      </c>
      <c r="G177" s="55">
        <v>255.10939999999999</v>
      </c>
      <c r="H177" s="55">
        <v>212.59116666666668</v>
      </c>
      <c r="I177" s="55"/>
      <c r="J177" s="55"/>
      <c r="K177" s="55"/>
      <c r="L177" s="55">
        <v>212.59116666666668</v>
      </c>
      <c r="M177" s="55"/>
      <c r="N177" s="55"/>
      <c r="O177" s="55" t="s">
        <v>3562</v>
      </c>
      <c r="P177" s="55">
        <v>456456</v>
      </c>
      <c r="Q177" s="55">
        <v>789789</v>
      </c>
      <c r="R177" s="55" t="s">
        <v>3563</v>
      </c>
      <c r="S177" s="55" t="s">
        <v>3564</v>
      </c>
      <c r="T177" s="55">
        <v>2</v>
      </c>
      <c r="U177">
        <v>555</v>
      </c>
    </row>
    <row r="178" spans="1:21" x14ac:dyDescent="0.25">
      <c r="A178" s="55" t="s">
        <v>3840</v>
      </c>
      <c r="B178" s="55" t="s">
        <v>3993</v>
      </c>
      <c r="C178" s="55" t="s">
        <v>3841</v>
      </c>
      <c r="D178" s="55" t="s">
        <v>3842</v>
      </c>
      <c r="E178" s="55" t="s">
        <v>3768</v>
      </c>
      <c r="F178" s="55">
        <v>3</v>
      </c>
      <c r="G178" s="55">
        <v>550.1</v>
      </c>
      <c r="H178" s="55">
        <v>458.41666666666669</v>
      </c>
      <c r="I178" s="55"/>
      <c r="J178" s="55"/>
      <c r="K178" s="55"/>
      <c r="L178" s="55">
        <v>458.41666666666669</v>
      </c>
      <c r="M178" s="55"/>
      <c r="N178" s="55"/>
      <c r="O178" s="55" t="s">
        <v>46</v>
      </c>
      <c r="P178" s="55">
        <v>7804274156</v>
      </c>
      <c r="Q178" s="55">
        <v>780401001</v>
      </c>
      <c r="R178" s="55" t="s">
        <v>47</v>
      </c>
      <c r="S178" s="55" t="s">
        <v>41</v>
      </c>
      <c r="T178" s="55">
        <v>2</v>
      </c>
      <c r="U178" t="s">
        <v>2317</v>
      </c>
    </row>
    <row r="179" spans="1:21" x14ac:dyDescent="0.25">
      <c r="A179" s="55" t="s">
        <v>3843</v>
      </c>
      <c r="B179" s="55" t="s">
        <v>3994</v>
      </c>
      <c r="C179" s="55" t="s">
        <v>3841</v>
      </c>
      <c r="D179" s="55" t="s">
        <v>3842</v>
      </c>
      <c r="E179" s="55" t="s">
        <v>3768</v>
      </c>
      <c r="F179" s="55">
        <v>3</v>
      </c>
      <c r="G179" s="55">
        <v>572.10400000000004</v>
      </c>
      <c r="H179" s="55">
        <v>476.75333333333339</v>
      </c>
      <c r="I179" s="55"/>
      <c r="J179" s="55"/>
      <c r="K179" s="55"/>
      <c r="L179" s="55">
        <v>476.75333333333339</v>
      </c>
      <c r="M179" s="55"/>
      <c r="N179" s="55"/>
      <c r="O179" s="55" t="s">
        <v>3559</v>
      </c>
      <c r="P179" s="55">
        <v>1230123</v>
      </c>
      <c r="Q179" s="55">
        <v>3210321</v>
      </c>
      <c r="R179" s="55" t="s">
        <v>3560</v>
      </c>
      <c r="S179" s="55" t="s">
        <v>3561</v>
      </c>
      <c r="T179" s="55">
        <v>2</v>
      </c>
      <c r="U179">
        <v>444</v>
      </c>
    </row>
    <row r="180" spans="1:21" x14ac:dyDescent="0.25">
      <c r="A180" s="55" t="s">
        <v>3844</v>
      </c>
      <c r="B180" s="55" t="s">
        <v>3995</v>
      </c>
      <c r="C180" s="55" t="s">
        <v>3841</v>
      </c>
      <c r="D180" s="55" t="s">
        <v>3842</v>
      </c>
      <c r="E180" s="55" t="s">
        <v>3768</v>
      </c>
      <c r="F180" s="55">
        <v>3</v>
      </c>
      <c r="G180" s="55">
        <v>594.10800000000006</v>
      </c>
      <c r="H180" s="55">
        <v>495.09000000000009</v>
      </c>
      <c r="I180" s="55"/>
      <c r="J180" s="55"/>
      <c r="K180" s="55"/>
      <c r="L180" s="55">
        <v>495.09000000000009</v>
      </c>
      <c r="M180" s="55"/>
      <c r="N180" s="55"/>
      <c r="O180" s="55" t="s">
        <v>3562</v>
      </c>
      <c r="P180" s="55">
        <v>456456</v>
      </c>
      <c r="Q180" s="55">
        <v>789789</v>
      </c>
      <c r="R180" s="55" t="s">
        <v>3563</v>
      </c>
      <c r="S180" s="55" t="s">
        <v>3564</v>
      </c>
      <c r="T180" s="55">
        <v>2</v>
      </c>
      <c r="U180">
        <v>555</v>
      </c>
    </row>
    <row r="181" spans="1:21" x14ac:dyDescent="0.25">
      <c r="A181" s="55" t="s">
        <v>3845</v>
      </c>
      <c r="B181" s="55" t="s">
        <v>3993</v>
      </c>
      <c r="C181" s="55" t="s">
        <v>3846</v>
      </c>
      <c r="D181" s="55" t="s">
        <v>3846</v>
      </c>
      <c r="E181" s="55" t="s">
        <v>29</v>
      </c>
      <c r="F181" s="55">
        <v>100</v>
      </c>
      <c r="G181" s="55">
        <v>11.51</v>
      </c>
      <c r="H181" s="55">
        <v>9.5916666666666668</v>
      </c>
      <c r="I181" s="55"/>
      <c r="J181" s="55"/>
      <c r="K181" s="55"/>
      <c r="L181" s="55">
        <v>9.5916666666666668</v>
      </c>
      <c r="M181" s="55"/>
      <c r="N181" s="55"/>
      <c r="O181" s="55" t="s">
        <v>46</v>
      </c>
      <c r="P181" s="55">
        <v>7804274156</v>
      </c>
      <c r="Q181" s="55">
        <v>780401001</v>
      </c>
      <c r="R181" s="55" t="s">
        <v>47</v>
      </c>
      <c r="S181" s="55" t="s">
        <v>41</v>
      </c>
      <c r="T181" s="55">
        <v>2</v>
      </c>
      <c r="U181" t="s">
        <v>2317</v>
      </c>
    </row>
    <row r="182" spans="1:21" x14ac:dyDescent="0.25">
      <c r="A182" s="55" t="s">
        <v>3847</v>
      </c>
      <c r="B182" s="55" t="s">
        <v>3994</v>
      </c>
      <c r="C182" s="55" t="s">
        <v>3846</v>
      </c>
      <c r="D182" s="55" t="s">
        <v>3846</v>
      </c>
      <c r="E182" s="55" t="s">
        <v>29</v>
      </c>
      <c r="F182" s="55">
        <v>100</v>
      </c>
      <c r="G182" s="55">
        <v>11.9704</v>
      </c>
      <c r="H182" s="55">
        <v>9.9753333333333334</v>
      </c>
      <c r="I182" s="55"/>
      <c r="J182" s="55"/>
      <c r="K182" s="55"/>
      <c r="L182" s="55">
        <v>9.9753333333333334</v>
      </c>
      <c r="M182" s="55"/>
      <c r="N182" s="55"/>
      <c r="O182" s="55" t="s">
        <v>3559</v>
      </c>
      <c r="P182" s="55">
        <v>1230123</v>
      </c>
      <c r="Q182" s="55">
        <v>3210321</v>
      </c>
      <c r="R182" s="55" t="s">
        <v>3560</v>
      </c>
      <c r="S182" s="55" t="s">
        <v>3561</v>
      </c>
      <c r="T182" s="55">
        <v>2</v>
      </c>
      <c r="U182">
        <v>444</v>
      </c>
    </row>
    <row r="183" spans="1:21" x14ac:dyDescent="0.25">
      <c r="A183" s="55" t="s">
        <v>3848</v>
      </c>
      <c r="B183" s="55" t="s">
        <v>3995</v>
      </c>
      <c r="C183" s="55" t="s">
        <v>3846</v>
      </c>
      <c r="D183" s="55" t="s">
        <v>3846</v>
      </c>
      <c r="E183" s="55" t="s">
        <v>29</v>
      </c>
      <c r="F183" s="55">
        <v>100</v>
      </c>
      <c r="G183" s="55">
        <v>12.3157</v>
      </c>
      <c r="H183" s="55">
        <v>10.263083333333334</v>
      </c>
      <c r="I183" s="55"/>
      <c r="J183" s="55"/>
      <c r="K183" s="55"/>
      <c r="L183" s="55">
        <v>10.263083333333334</v>
      </c>
      <c r="M183" s="55"/>
      <c r="N183" s="55"/>
      <c r="O183" s="55" t="s">
        <v>3562</v>
      </c>
      <c r="P183" s="55">
        <v>456456</v>
      </c>
      <c r="Q183" s="55">
        <v>789789</v>
      </c>
      <c r="R183" s="55" t="s">
        <v>3563</v>
      </c>
      <c r="S183" s="55" t="s">
        <v>3564</v>
      </c>
      <c r="T183" s="55">
        <v>2</v>
      </c>
      <c r="U183">
        <v>555</v>
      </c>
    </row>
    <row r="184" spans="1:21" x14ac:dyDescent="0.25">
      <c r="A184" s="55" t="s">
        <v>3849</v>
      </c>
      <c r="B184" s="55" t="s">
        <v>3996</v>
      </c>
      <c r="C184" s="55" t="s">
        <v>3850</v>
      </c>
      <c r="D184" s="55" t="s">
        <v>3851</v>
      </c>
      <c r="E184" s="55" t="s">
        <v>29</v>
      </c>
      <c r="F184" s="55">
        <v>350</v>
      </c>
      <c r="G184" s="55">
        <v>0.71</v>
      </c>
      <c r="H184" s="55">
        <v>0.59166666666666667</v>
      </c>
      <c r="I184" s="55"/>
      <c r="J184" s="55"/>
      <c r="K184" s="55"/>
      <c r="L184" s="55">
        <v>0.59166666666666667</v>
      </c>
      <c r="M184" s="55"/>
      <c r="N184" s="55"/>
      <c r="O184" s="55" t="s">
        <v>46</v>
      </c>
      <c r="P184" s="55">
        <v>7804274156</v>
      </c>
      <c r="Q184" s="55">
        <v>780401001</v>
      </c>
      <c r="R184" s="55" t="s">
        <v>47</v>
      </c>
      <c r="S184" s="55" t="s">
        <v>41</v>
      </c>
      <c r="T184" s="55">
        <v>2</v>
      </c>
      <c r="U184" t="s">
        <v>2317</v>
      </c>
    </row>
    <row r="185" spans="1:21" x14ac:dyDescent="0.25">
      <c r="A185" s="55" t="s">
        <v>3852</v>
      </c>
      <c r="B185" s="55" t="s">
        <v>3997</v>
      </c>
      <c r="C185" s="55" t="s">
        <v>3850</v>
      </c>
      <c r="D185" s="55" t="s">
        <v>3851</v>
      </c>
      <c r="E185" s="55" t="s">
        <v>29</v>
      </c>
      <c r="F185" s="55">
        <v>350</v>
      </c>
      <c r="G185" s="55">
        <v>0.74549999999999994</v>
      </c>
      <c r="H185" s="55">
        <v>0.62124999999999997</v>
      </c>
      <c r="I185" s="55"/>
      <c r="J185" s="55"/>
      <c r="K185" s="55"/>
      <c r="L185" s="55">
        <v>0.62124999999999997</v>
      </c>
      <c r="M185" s="55"/>
      <c r="N185" s="55"/>
      <c r="O185" s="55" t="s">
        <v>3559</v>
      </c>
      <c r="P185" s="55">
        <v>1230123</v>
      </c>
      <c r="Q185" s="55">
        <v>3210321</v>
      </c>
      <c r="R185" s="55" t="s">
        <v>3560</v>
      </c>
      <c r="S185" s="55" t="s">
        <v>3561</v>
      </c>
      <c r="T185" s="55">
        <v>2</v>
      </c>
      <c r="U185">
        <v>444</v>
      </c>
    </row>
    <row r="186" spans="1:21" x14ac:dyDescent="0.25">
      <c r="A186" s="55" t="s">
        <v>3853</v>
      </c>
      <c r="B186" s="55" t="s">
        <v>3998</v>
      </c>
      <c r="C186" s="55" t="s">
        <v>3850</v>
      </c>
      <c r="D186" s="55" t="s">
        <v>3851</v>
      </c>
      <c r="E186" s="55" t="s">
        <v>29</v>
      </c>
      <c r="F186" s="55">
        <v>350</v>
      </c>
      <c r="G186" s="55">
        <v>0.76679999999999993</v>
      </c>
      <c r="H186" s="55">
        <v>0.63900000000000001</v>
      </c>
      <c r="I186" s="55"/>
      <c r="J186" s="55"/>
      <c r="K186" s="55"/>
      <c r="L186" s="55">
        <v>0.63900000000000001</v>
      </c>
      <c r="M186" s="55"/>
      <c r="N186" s="55"/>
      <c r="O186" s="55" t="s">
        <v>3562</v>
      </c>
      <c r="P186" s="55">
        <v>456456</v>
      </c>
      <c r="Q186" s="55">
        <v>789789</v>
      </c>
      <c r="R186" s="55" t="s">
        <v>3563</v>
      </c>
      <c r="S186" s="55" t="s">
        <v>3564</v>
      </c>
      <c r="T186" s="55">
        <v>2</v>
      </c>
      <c r="U186">
        <v>555</v>
      </c>
    </row>
    <row r="187" spans="1:21" x14ac:dyDescent="0.25">
      <c r="A187" s="55" t="s">
        <v>3854</v>
      </c>
      <c r="B187" s="55" t="s">
        <v>3996</v>
      </c>
      <c r="C187" s="55" t="s">
        <v>3855</v>
      </c>
      <c r="D187" s="55" t="s">
        <v>3855</v>
      </c>
      <c r="E187" s="55" t="s">
        <v>29</v>
      </c>
      <c r="F187" s="55">
        <v>70</v>
      </c>
      <c r="G187" s="55">
        <v>30.98</v>
      </c>
      <c r="H187" s="55">
        <v>25.816666666666666</v>
      </c>
      <c r="I187" s="55"/>
      <c r="J187" s="55"/>
      <c r="K187" s="55"/>
      <c r="L187" s="55">
        <v>25.816666666666666</v>
      </c>
      <c r="M187" s="55"/>
      <c r="N187" s="55"/>
      <c r="O187" s="55" t="s">
        <v>46</v>
      </c>
      <c r="P187" s="55">
        <v>7804274156</v>
      </c>
      <c r="Q187" s="55">
        <v>780401001</v>
      </c>
      <c r="R187" s="55" t="s">
        <v>47</v>
      </c>
      <c r="S187" s="55" t="s">
        <v>41</v>
      </c>
      <c r="T187" s="55">
        <v>2</v>
      </c>
      <c r="U187" t="s">
        <v>2317</v>
      </c>
    </row>
    <row r="188" spans="1:21" x14ac:dyDescent="0.25">
      <c r="A188" s="55" t="s">
        <v>3856</v>
      </c>
      <c r="B188" s="55" t="s">
        <v>3997</v>
      </c>
      <c r="C188" s="55" t="s">
        <v>3855</v>
      </c>
      <c r="D188" s="55" t="s">
        <v>3855</v>
      </c>
      <c r="E188" s="55" t="s">
        <v>29</v>
      </c>
      <c r="F188" s="55">
        <v>70</v>
      </c>
      <c r="G188" s="55">
        <v>32.219200000000001</v>
      </c>
      <c r="H188" s="55">
        <v>26.849333333333334</v>
      </c>
      <c r="I188" s="55"/>
      <c r="J188" s="55"/>
      <c r="K188" s="55"/>
      <c r="L188" s="55">
        <v>26.849333333333334</v>
      </c>
      <c r="M188" s="55"/>
      <c r="N188" s="55"/>
      <c r="O188" s="55" t="s">
        <v>3559</v>
      </c>
      <c r="P188" s="55">
        <v>1230123</v>
      </c>
      <c r="Q188" s="55">
        <v>3210321</v>
      </c>
      <c r="R188" s="55" t="s">
        <v>3560</v>
      </c>
      <c r="S188" s="55" t="s">
        <v>3561</v>
      </c>
      <c r="T188" s="55">
        <v>2</v>
      </c>
      <c r="U188">
        <v>444</v>
      </c>
    </row>
    <row r="189" spans="1:21" x14ac:dyDescent="0.25">
      <c r="A189" s="55" t="s">
        <v>3857</v>
      </c>
      <c r="B189" s="55" t="s">
        <v>3998</v>
      </c>
      <c r="C189" s="55" t="s">
        <v>3855</v>
      </c>
      <c r="D189" s="55" t="s">
        <v>3855</v>
      </c>
      <c r="E189" s="55" t="s">
        <v>29</v>
      </c>
      <c r="F189" s="55">
        <v>70</v>
      </c>
      <c r="G189" s="55">
        <v>32.838799999999999</v>
      </c>
      <c r="H189" s="55">
        <v>27.365666666666666</v>
      </c>
      <c r="I189" s="55"/>
      <c r="J189" s="55"/>
      <c r="K189" s="55"/>
      <c r="L189" s="55">
        <v>27.365666666666666</v>
      </c>
      <c r="M189" s="55"/>
      <c r="N189" s="55"/>
      <c r="O189" s="55" t="s">
        <v>3562</v>
      </c>
      <c r="P189" s="55">
        <v>456456</v>
      </c>
      <c r="Q189" s="55">
        <v>789789</v>
      </c>
      <c r="R189" s="55" t="s">
        <v>3563</v>
      </c>
      <c r="S189" s="55" t="s">
        <v>3564</v>
      </c>
      <c r="T189" s="55">
        <v>2</v>
      </c>
      <c r="U189">
        <v>555</v>
      </c>
    </row>
    <row r="190" spans="1:21" x14ac:dyDescent="0.25">
      <c r="A190" s="55" t="s">
        <v>3858</v>
      </c>
      <c r="B190" s="55" t="s">
        <v>3999</v>
      </c>
      <c r="C190" s="55" t="s">
        <v>3859</v>
      </c>
      <c r="D190" s="55" t="s">
        <v>3859</v>
      </c>
      <c r="E190" s="55" t="s">
        <v>31</v>
      </c>
      <c r="F190" s="55">
        <v>5</v>
      </c>
      <c r="G190" s="55">
        <v>105.59</v>
      </c>
      <c r="H190" s="55">
        <v>87.991666666666674</v>
      </c>
      <c r="I190" s="55"/>
      <c r="J190" s="55"/>
      <c r="K190" s="55"/>
      <c r="L190" s="55">
        <v>87.991666666666674</v>
      </c>
      <c r="M190" s="55"/>
      <c r="N190" s="55"/>
      <c r="O190" s="55" t="s">
        <v>46</v>
      </c>
      <c r="P190" s="55">
        <v>7804274156</v>
      </c>
      <c r="Q190" s="55">
        <v>780401001</v>
      </c>
      <c r="R190" s="55" t="s">
        <v>47</v>
      </c>
      <c r="S190" s="55" t="s">
        <v>41</v>
      </c>
      <c r="T190" s="55">
        <v>2</v>
      </c>
      <c r="U190" t="s">
        <v>2317</v>
      </c>
    </row>
    <row r="191" spans="1:21" x14ac:dyDescent="0.25">
      <c r="A191" s="55" t="s">
        <v>3860</v>
      </c>
      <c r="B191" s="55" t="s">
        <v>4000</v>
      </c>
      <c r="C191" s="55" t="s">
        <v>3859</v>
      </c>
      <c r="D191" s="55" t="s">
        <v>3859</v>
      </c>
      <c r="E191" s="55" t="s">
        <v>31</v>
      </c>
      <c r="F191" s="55">
        <v>5</v>
      </c>
      <c r="G191" s="55">
        <v>109.81360000000001</v>
      </c>
      <c r="H191" s="55">
        <v>91.51133333333334</v>
      </c>
      <c r="I191" s="55"/>
      <c r="J191" s="55"/>
      <c r="K191" s="55"/>
      <c r="L191" s="55">
        <v>91.51133333333334</v>
      </c>
      <c r="M191" s="55"/>
      <c r="N191" s="55"/>
      <c r="O191" s="55" t="s">
        <v>3559</v>
      </c>
      <c r="P191" s="55">
        <v>1230123</v>
      </c>
      <c r="Q191" s="55">
        <v>3210321</v>
      </c>
      <c r="R191" s="55" t="s">
        <v>3560</v>
      </c>
      <c r="S191" s="55" t="s">
        <v>3561</v>
      </c>
      <c r="T191" s="55">
        <v>2</v>
      </c>
      <c r="U191">
        <v>444</v>
      </c>
    </row>
    <row r="192" spans="1:21" x14ac:dyDescent="0.25">
      <c r="A192" s="55" t="s">
        <v>3861</v>
      </c>
      <c r="B192" s="55" t="s">
        <v>4001</v>
      </c>
      <c r="C192" s="55" t="s">
        <v>3859</v>
      </c>
      <c r="D192" s="55" t="s">
        <v>3859</v>
      </c>
      <c r="E192" s="55" t="s">
        <v>31</v>
      </c>
      <c r="F192" s="55">
        <v>5</v>
      </c>
      <c r="G192" s="55">
        <v>111.9254</v>
      </c>
      <c r="H192" s="55">
        <v>93.271166666666673</v>
      </c>
      <c r="I192" s="55"/>
      <c r="J192" s="55"/>
      <c r="K192" s="55"/>
      <c r="L192" s="55">
        <v>93.271166666666673</v>
      </c>
      <c r="M192" s="55"/>
      <c r="N192" s="55"/>
      <c r="O192" s="55" t="s">
        <v>3562</v>
      </c>
      <c r="P192" s="55">
        <v>456456</v>
      </c>
      <c r="Q192" s="55">
        <v>789789</v>
      </c>
      <c r="R192" s="55" t="s">
        <v>3563</v>
      </c>
      <c r="S192" s="55" t="s">
        <v>3564</v>
      </c>
      <c r="T192" s="55">
        <v>2</v>
      </c>
      <c r="U192">
        <v>555</v>
      </c>
    </row>
    <row r="193" spans="1:21" x14ac:dyDescent="0.25">
      <c r="A193" s="55" t="s">
        <v>3862</v>
      </c>
      <c r="B193" s="55" t="s">
        <v>4002</v>
      </c>
      <c r="C193" s="55" t="s">
        <v>3863</v>
      </c>
      <c r="D193" s="55" t="s">
        <v>3863</v>
      </c>
      <c r="E193" s="55" t="s">
        <v>29</v>
      </c>
      <c r="F193" s="55">
        <v>100</v>
      </c>
      <c r="G193" s="55">
        <v>25.22</v>
      </c>
      <c r="H193" s="55">
        <v>21.016666666666666</v>
      </c>
      <c r="I193" s="55"/>
      <c r="J193" s="55"/>
      <c r="K193" s="55"/>
      <c r="L193" s="55">
        <v>21.016666666666666</v>
      </c>
      <c r="M193" s="55"/>
      <c r="N193" s="55"/>
      <c r="O193" s="55" t="s">
        <v>46</v>
      </c>
      <c r="P193" s="55">
        <v>7804274156</v>
      </c>
      <c r="Q193" s="55">
        <v>780401001</v>
      </c>
      <c r="R193" s="55" t="s">
        <v>47</v>
      </c>
      <c r="S193" s="55" t="s">
        <v>41</v>
      </c>
      <c r="T193" s="55">
        <v>2</v>
      </c>
      <c r="U193" t="s">
        <v>2317</v>
      </c>
    </row>
    <row r="194" spans="1:21" x14ac:dyDescent="0.25">
      <c r="A194" s="55" t="s">
        <v>3864</v>
      </c>
      <c r="B194" s="55" t="s">
        <v>4003</v>
      </c>
      <c r="C194" s="55" t="s">
        <v>3863</v>
      </c>
      <c r="D194" s="55" t="s">
        <v>3863</v>
      </c>
      <c r="E194" s="55" t="s">
        <v>29</v>
      </c>
      <c r="F194" s="55">
        <v>100</v>
      </c>
      <c r="G194" s="55">
        <v>26.480999999999998</v>
      </c>
      <c r="H194" s="55">
        <v>22.067499999999999</v>
      </c>
      <c r="I194" s="55"/>
      <c r="J194" s="55"/>
      <c r="K194" s="55"/>
      <c r="L194" s="55">
        <v>22.067499999999999</v>
      </c>
      <c r="M194" s="55"/>
      <c r="N194" s="55"/>
      <c r="O194" s="55" t="s">
        <v>3559</v>
      </c>
      <c r="P194" s="55">
        <v>1230123</v>
      </c>
      <c r="Q194" s="55">
        <v>3210321</v>
      </c>
      <c r="R194" s="55" t="s">
        <v>3560</v>
      </c>
      <c r="S194" s="55" t="s">
        <v>3561</v>
      </c>
      <c r="T194" s="55">
        <v>2</v>
      </c>
      <c r="U194">
        <v>444</v>
      </c>
    </row>
    <row r="195" spans="1:21" x14ac:dyDescent="0.25">
      <c r="A195" s="55" t="s">
        <v>3865</v>
      </c>
      <c r="B195" s="55" t="s">
        <v>4004</v>
      </c>
      <c r="C195" s="55" t="s">
        <v>3863</v>
      </c>
      <c r="D195" s="55" t="s">
        <v>3863</v>
      </c>
      <c r="E195" s="55" t="s">
        <v>29</v>
      </c>
      <c r="F195" s="55">
        <v>100</v>
      </c>
      <c r="G195" s="55">
        <v>26.7332</v>
      </c>
      <c r="H195" s="55">
        <v>22.277666666666669</v>
      </c>
      <c r="I195" s="55"/>
      <c r="J195" s="55"/>
      <c r="K195" s="55"/>
      <c r="L195" s="55">
        <v>22.277666666666669</v>
      </c>
      <c r="M195" s="55"/>
      <c r="N195" s="55"/>
      <c r="O195" s="55" t="s">
        <v>3562</v>
      </c>
      <c r="P195" s="55">
        <v>456456</v>
      </c>
      <c r="Q195" s="55">
        <v>789789</v>
      </c>
      <c r="R195" s="55" t="s">
        <v>3563</v>
      </c>
      <c r="S195" s="55" t="s">
        <v>3564</v>
      </c>
      <c r="T195" s="55">
        <v>2</v>
      </c>
      <c r="U195">
        <v>555</v>
      </c>
    </row>
    <row r="196" spans="1:21" x14ac:dyDescent="0.25">
      <c r="A196" s="55" t="s">
        <v>3866</v>
      </c>
      <c r="B196" s="55" t="s">
        <v>4005</v>
      </c>
      <c r="C196" s="55" t="s">
        <v>3867</v>
      </c>
      <c r="D196" s="55" t="s">
        <v>3867</v>
      </c>
      <c r="E196" s="55" t="s">
        <v>3768</v>
      </c>
      <c r="F196" s="55">
        <v>150</v>
      </c>
      <c r="G196" s="55">
        <v>412.39</v>
      </c>
      <c r="H196" s="55">
        <v>343.65833333333336</v>
      </c>
      <c r="I196" s="55"/>
      <c r="J196" s="55"/>
      <c r="K196" s="55"/>
      <c r="L196" s="55">
        <v>343.65833333333336</v>
      </c>
      <c r="M196" s="55"/>
      <c r="N196" s="55"/>
      <c r="O196" s="55" t="s">
        <v>46</v>
      </c>
      <c r="P196" s="55">
        <v>7804274156</v>
      </c>
      <c r="Q196" s="55">
        <v>780401001</v>
      </c>
      <c r="R196" s="55" t="s">
        <v>47</v>
      </c>
      <c r="S196" s="55" t="s">
        <v>41</v>
      </c>
      <c r="T196" s="55">
        <v>2</v>
      </c>
      <c r="U196" t="s">
        <v>2317</v>
      </c>
    </row>
    <row r="197" spans="1:21" x14ac:dyDescent="0.25">
      <c r="A197" s="55" t="s">
        <v>3868</v>
      </c>
      <c r="B197" s="55" t="s">
        <v>4006</v>
      </c>
      <c r="C197" s="55" t="s">
        <v>3867</v>
      </c>
      <c r="D197" s="55" t="s">
        <v>3867</v>
      </c>
      <c r="E197" s="55" t="s">
        <v>3768</v>
      </c>
      <c r="F197" s="55">
        <v>150</v>
      </c>
      <c r="G197" s="55">
        <v>424.76169999999996</v>
      </c>
      <c r="H197" s="55">
        <v>353.96808333333331</v>
      </c>
      <c r="I197" s="55"/>
      <c r="J197" s="55"/>
      <c r="K197" s="55"/>
      <c r="L197" s="55">
        <v>353.96808333333331</v>
      </c>
      <c r="M197" s="55"/>
      <c r="N197" s="55"/>
      <c r="O197" s="55" t="s">
        <v>3559</v>
      </c>
      <c r="P197" s="55">
        <v>1230123</v>
      </c>
      <c r="Q197" s="55">
        <v>3210321</v>
      </c>
      <c r="R197" s="55" t="s">
        <v>3560</v>
      </c>
      <c r="S197" s="55" t="s">
        <v>3561</v>
      </c>
      <c r="T197" s="55">
        <v>2</v>
      </c>
      <c r="U197">
        <v>444</v>
      </c>
    </row>
    <row r="198" spans="1:21" x14ac:dyDescent="0.25">
      <c r="A198" s="55" t="s">
        <v>3869</v>
      </c>
      <c r="B198" s="55" t="s">
        <v>4007</v>
      </c>
      <c r="C198" s="55" t="s">
        <v>3867</v>
      </c>
      <c r="D198" s="55" t="s">
        <v>3867</v>
      </c>
      <c r="E198" s="55" t="s">
        <v>3768</v>
      </c>
      <c r="F198" s="55">
        <v>150</v>
      </c>
      <c r="G198" s="55">
        <v>437.13339999999999</v>
      </c>
      <c r="H198" s="55">
        <v>364.27783333333332</v>
      </c>
      <c r="I198" s="55"/>
      <c r="J198" s="55"/>
      <c r="K198" s="55"/>
      <c r="L198" s="55">
        <v>364.27783333333332</v>
      </c>
      <c r="M198" s="55"/>
      <c r="N198" s="55"/>
      <c r="O198" s="55" t="s">
        <v>3562</v>
      </c>
      <c r="P198" s="55">
        <v>456456</v>
      </c>
      <c r="Q198" s="55">
        <v>789789</v>
      </c>
      <c r="R198" s="55" t="s">
        <v>3563</v>
      </c>
      <c r="S198" s="55" t="s">
        <v>3564</v>
      </c>
      <c r="T198" s="55">
        <v>2</v>
      </c>
      <c r="U198">
        <v>555</v>
      </c>
    </row>
    <row r="199" spans="1:21" x14ac:dyDescent="0.25">
      <c r="A199" s="55" t="s">
        <v>3870</v>
      </c>
      <c r="B199" s="55" t="s">
        <v>4008</v>
      </c>
      <c r="C199" s="55" t="s">
        <v>3871</v>
      </c>
      <c r="D199" s="55" t="s">
        <v>3871</v>
      </c>
      <c r="E199" s="55" t="s">
        <v>29</v>
      </c>
      <c r="F199" s="55">
        <v>48</v>
      </c>
      <c r="G199" s="55">
        <v>95.32</v>
      </c>
      <c r="H199" s="55">
        <v>79.433333333333337</v>
      </c>
      <c r="I199" s="55"/>
      <c r="J199" s="55"/>
      <c r="K199" s="55"/>
      <c r="L199" s="55">
        <v>79.433333333333337</v>
      </c>
      <c r="M199" s="55"/>
      <c r="N199" s="55"/>
      <c r="O199" s="55" t="s">
        <v>46</v>
      </c>
      <c r="P199" s="55">
        <v>7804274156</v>
      </c>
      <c r="Q199" s="55">
        <v>780401001</v>
      </c>
      <c r="R199" s="55" t="s">
        <v>47</v>
      </c>
      <c r="S199" s="55" t="s">
        <v>41</v>
      </c>
      <c r="T199" s="55">
        <v>2</v>
      </c>
      <c r="U199" t="s">
        <v>2317</v>
      </c>
    </row>
    <row r="200" spans="1:21" x14ac:dyDescent="0.25">
      <c r="A200" s="55" t="s">
        <v>3872</v>
      </c>
      <c r="B200" s="55" t="s">
        <v>4009</v>
      </c>
      <c r="C200" s="55" t="s">
        <v>3871</v>
      </c>
      <c r="D200" s="55" t="s">
        <v>3871</v>
      </c>
      <c r="E200" s="55" t="s">
        <v>29</v>
      </c>
      <c r="F200" s="55">
        <v>48</v>
      </c>
      <c r="G200" s="55">
        <v>98.179599999999994</v>
      </c>
      <c r="H200" s="55">
        <v>81.816333333333333</v>
      </c>
      <c r="I200" s="55"/>
      <c r="J200" s="55"/>
      <c r="K200" s="55"/>
      <c r="L200" s="55">
        <v>81.816333333333333</v>
      </c>
      <c r="M200" s="55"/>
      <c r="N200" s="55"/>
      <c r="O200" s="55" t="s">
        <v>3559</v>
      </c>
      <c r="P200" s="55">
        <v>1230123</v>
      </c>
      <c r="Q200" s="55">
        <v>3210321</v>
      </c>
      <c r="R200" s="55" t="s">
        <v>3560</v>
      </c>
      <c r="S200" s="55" t="s">
        <v>3561</v>
      </c>
      <c r="T200" s="55">
        <v>2</v>
      </c>
      <c r="U200">
        <v>444</v>
      </c>
    </row>
    <row r="201" spans="1:21" x14ac:dyDescent="0.25">
      <c r="A201" s="55" t="s">
        <v>3873</v>
      </c>
      <c r="B201" s="55" t="s">
        <v>4010</v>
      </c>
      <c r="C201" s="55" t="s">
        <v>3871</v>
      </c>
      <c r="D201" s="55" t="s">
        <v>3871</v>
      </c>
      <c r="E201" s="55" t="s">
        <v>29</v>
      </c>
      <c r="F201" s="55">
        <v>48</v>
      </c>
      <c r="G201" s="55">
        <v>101.03919999999999</v>
      </c>
      <c r="H201" s="55">
        <v>84.199333333333328</v>
      </c>
      <c r="I201" s="55"/>
      <c r="J201" s="55"/>
      <c r="K201" s="55"/>
      <c r="L201" s="55">
        <v>84.199333333333328</v>
      </c>
      <c r="M201" s="55"/>
      <c r="N201" s="55"/>
      <c r="O201" s="55" t="s">
        <v>3562</v>
      </c>
      <c r="P201" s="55">
        <v>456456</v>
      </c>
      <c r="Q201" s="55">
        <v>789789</v>
      </c>
      <c r="R201" s="55" t="s">
        <v>3563</v>
      </c>
      <c r="S201" s="55" t="s">
        <v>3564</v>
      </c>
      <c r="T201" s="55">
        <v>2</v>
      </c>
      <c r="U201">
        <v>555</v>
      </c>
    </row>
    <row r="202" spans="1:21" x14ac:dyDescent="0.25">
      <c r="A202" s="55" t="s">
        <v>3874</v>
      </c>
      <c r="B202" s="55" t="s">
        <v>4011</v>
      </c>
      <c r="C202" s="55" t="s">
        <v>2391</v>
      </c>
      <c r="D202" s="55" t="s">
        <v>2391</v>
      </c>
      <c r="E202" s="55" t="s">
        <v>29</v>
      </c>
      <c r="F202" s="55">
        <v>24</v>
      </c>
      <c r="G202" s="55">
        <v>105.35</v>
      </c>
      <c r="H202" s="55">
        <v>87.791666666666671</v>
      </c>
      <c r="I202" s="55"/>
      <c r="J202" s="55"/>
      <c r="K202" s="55"/>
      <c r="L202" s="55">
        <v>87.791666666666671</v>
      </c>
      <c r="M202" s="55"/>
      <c r="N202" s="55"/>
      <c r="O202" s="55" t="s">
        <v>46</v>
      </c>
      <c r="P202" s="55">
        <v>7804274156</v>
      </c>
      <c r="Q202" s="55">
        <v>780401001</v>
      </c>
      <c r="R202" s="55" t="s">
        <v>47</v>
      </c>
      <c r="S202" s="55" t="s">
        <v>41</v>
      </c>
      <c r="T202" s="55">
        <v>2</v>
      </c>
      <c r="U202" t="s">
        <v>2317</v>
      </c>
    </row>
    <row r="203" spans="1:21" x14ac:dyDescent="0.25">
      <c r="A203" s="55" t="s">
        <v>3875</v>
      </c>
      <c r="B203" s="55" t="s">
        <v>4012</v>
      </c>
      <c r="C203" s="55" t="s">
        <v>2391</v>
      </c>
      <c r="D203" s="55" t="s">
        <v>2391</v>
      </c>
      <c r="E203" s="55" t="s">
        <v>29</v>
      </c>
      <c r="F203" s="55">
        <v>24</v>
      </c>
      <c r="G203" s="55">
        <v>110.61749999999999</v>
      </c>
      <c r="H203" s="55">
        <v>92.181249999999991</v>
      </c>
      <c r="I203" s="55"/>
      <c r="J203" s="55"/>
      <c r="K203" s="55"/>
      <c r="L203" s="55">
        <v>92.181249999999991</v>
      </c>
      <c r="M203" s="55"/>
      <c r="N203" s="55"/>
      <c r="O203" s="55" t="s">
        <v>3559</v>
      </c>
      <c r="P203" s="55">
        <v>1230123</v>
      </c>
      <c r="Q203" s="55">
        <v>3210321</v>
      </c>
      <c r="R203" s="55" t="s">
        <v>3560</v>
      </c>
      <c r="S203" s="55" t="s">
        <v>3561</v>
      </c>
      <c r="T203" s="55">
        <v>2</v>
      </c>
      <c r="U203">
        <v>444</v>
      </c>
    </row>
    <row r="204" spans="1:21" x14ac:dyDescent="0.25">
      <c r="A204" s="55" t="s">
        <v>3876</v>
      </c>
      <c r="B204" s="55" t="s">
        <v>4013</v>
      </c>
      <c r="C204" s="55" t="s">
        <v>2391</v>
      </c>
      <c r="D204" s="55" t="s">
        <v>2391</v>
      </c>
      <c r="E204" s="55" t="s">
        <v>29</v>
      </c>
      <c r="F204" s="55">
        <v>24</v>
      </c>
      <c r="G204" s="55">
        <v>111.67099999999999</v>
      </c>
      <c r="H204" s="55">
        <v>93.05916666666667</v>
      </c>
      <c r="I204" s="55"/>
      <c r="J204" s="55"/>
      <c r="K204" s="55"/>
      <c r="L204" s="55">
        <v>93.05916666666667</v>
      </c>
      <c r="M204" s="55"/>
      <c r="N204" s="55"/>
      <c r="O204" s="55" t="s">
        <v>3562</v>
      </c>
      <c r="P204" s="55">
        <v>456456</v>
      </c>
      <c r="Q204" s="55">
        <v>789789</v>
      </c>
      <c r="R204" s="55" t="s">
        <v>3563</v>
      </c>
      <c r="S204" s="55" t="s">
        <v>3564</v>
      </c>
      <c r="T204" s="55">
        <v>2</v>
      </c>
      <c r="U204">
        <v>555</v>
      </c>
    </row>
    <row r="205" spans="1:21" x14ac:dyDescent="0.25">
      <c r="A205" s="55" t="s">
        <v>3877</v>
      </c>
      <c r="B205" s="55" t="s">
        <v>4014</v>
      </c>
      <c r="C205" s="55" t="s">
        <v>3878</v>
      </c>
      <c r="D205" s="55" t="s">
        <v>3878</v>
      </c>
      <c r="E205" s="55" t="s">
        <v>29</v>
      </c>
      <c r="F205" s="55">
        <v>12</v>
      </c>
      <c r="G205" s="55">
        <v>40.01</v>
      </c>
      <c r="H205" s="55">
        <v>33.341666666666669</v>
      </c>
      <c r="I205" s="55"/>
      <c r="J205" s="55"/>
      <c r="K205" s="55"/>
      <c r="L205" s="55">
        <v>33.341666666666669</v>
      </c>
      <c r="M205" s="55"/>
      <c r="N205" s="55"/>
      <c r="O205" s="55" t="s">
        <v>46</v>
      </c>
      <c r="P205" s="55">
        <v>7804274156</v>
      </c>
      <c r="Q205" s="55">
        <v>780401001</v>
      </c>
      <c r="R205" s="55" t="s">
        <v>47</v>
      </c>
      <c r="S205" s="55" t="s">
        <v>41</v>
      </c>
      <c r="T205" s="55">
        <v>2</v>
      </c>
      <c r="U205" t="s">
        <v>2317</v>
      </c>
    </row>
    <row r="206" spans="1:21" x14ac:dyDescent="0.25">
      <c r="A206" s="55" t="s">
        <v>3879</v>
      </c>
      <c r="B206" s="55" t="s">
        <v>4015</v>
      </c>
      <c r="C206" s="55" t="s">
        <v>3878</v>
      </c>
      <c r="D206" s="55" t="s">
        <v>3878</v>
      </c>
      <c r="E206" s="55" t="s">
        <v>29</v>
      </c>
      <c r="F206" s="55">
        <v>12</v>
      </c>
      <c r="G206" s="55">
        <v>41.610399999999998</v>
      </c>
      <c r="H206" s="55">
        <v>34.675333333333334</v>
      </c>
      <c r="I206" s="55"/>
      <c r="J206" s="55"/>
      <c r="K206" s="55"/>
      <c r="L206" s="55">
        <v>34.675333333333334</v>
      </c>
      <c r="M206" s="55"/>
      <c r="N206" s="55"/>
      <c r="O206" s="55" t="s">
        <v>3559</v>
      </c>
      <c r="P206" s="55">
        <v>1230123</v>
      </c>
      <c r="Q206" s="55">
        <v>3210321</v>
      </c>
      <c r="R206" s="55" t="s">
        <v>3560</v>
      </c>
      <c r="S206" s="55" t="s">
        <v>3561</v>
      </c>
      <c r="T206" s="55">
        <v>2</v>
      </c>
      <c r="U206">
        <v>444</v>
      </c>
    </row>
    <row r="207" spans="1:21" x14ac:dyDescent="0.25">
      <c r="A207" s="55" t="s">
        <v>3880</v>
      </c>
      <c r="B207" s="55" t="s">
        <v>4016</v>
      </c>
      <c r="C207" s="55" t="s">
        <v>3878</v>
      </c>
      <c r="D207" s="55" t="s">
        <v>3878</v>
      </c>
      <c r="E207" s="55" t="s">
        <v>29</v>
      </c>
      <c r="F207" s="55">
        <v>12</v>
      </c>
      <c r="G207" s="55">
        <v>43.210799999999999</v>
      </c>
      <c r="H207" s="55">
        <v>36.009</v>
      </c>
      <c r="I207" s="55"/>
      <c r="J207" s="55"/>
      <c r="K207" s="55"/>
      <c r="L207" s="55">
        <v>36.009</v>
      </c>
      <c r="M207" s="55"/>
      <c r="N207" s="55"/>
      <c r="O207" s="55" t="s">
        <v>3562</v>
      </c>
      <c r="P207" s="55">
        <v>456456</v>
      </c>
      <c r="Q207" s="55">
        <v>789789</v>
      </c>
      <c r="R207" s="55" t="s">
        <v>3563</v>
      </c>
      <c r="S207" s="55" t="s">
        <v>3564</v>
      </c>
      <c r="T207" s="55">
        <v>2</v>
      </c>
      <c r="U207">
        <v>555</v>
      </c>
    </row>
    <row r="208" spans="1:21" x14ac:dyDescent="0.25">
      <c r="A208" s="55" t="s">
        <v>3881</v>
      </c>
      <c r="B208" s="55" t="s">
        <v>4017</v>
      </c>
      <c r="C208" s="55" t="s">
        <v>3882</v>
      </c>
      <c r="D208" s="55" t="s">
        <v>3882</v>
      </c>
      <c r="E208" s="55" t="s">
        <v>29</v>
      </c>
      <c r="F208" s="55">
        <v>2</v>
      </c>
      <c r="G208" s="55">
        <v>44.29</v>
      </c>
      <c r="H208" s="55">
        <v>36.908333333333331</v>
      </c>
      <c r="I208" s="55"/>
      <c r="J208" s="55"/>
      <c r="K208" s="55"/>
      <c r="L208" s="55">
        <v>36.908333333333331</v>
      </c>
      <c r="M208" s="55"/>
      <c r="N208" s="55"/>
      <c r="O208" s="55" t="s">
        <v>46</v>
      </c>
      <c r="P208" s="55">
        <v>7804274156</v>
      </c>
      <c r="Q208" s="55">
        <v>780401001</v>
      </c>
      <c r="R208" s="55" t="s">
        <v>47</v>
      </c>
      <c r="S208" s="55" t="s">
        <v>41</v>
      </c>
      <c r="T208" s="55">
        <v>2</v>
      </c>
      <c r="U208" t="s">
        <v>2317</v>
      </c>
    </row>
    <row r="209" spans="1:21" x14ac:dyDescent="0.25">
      <c r="A209" s="55" t="s">
        <v>3883</v>
      </c>
      <c r="B209" s="55" t="s">
        <v>4018</v>
      </c>
      <c r="C209" s="55" t="s">
        <v>3882</v>
      </c>
      <c r="D209" s="55" t="s">
        <v>3882</v>
      </c>
      <c r="E209" s="55" t="s">
        <v>29</v>
      </c>
      <c r="F209" s="55">
        <v>2</v>
      </c>
      <c r="G209" s="55">
        <v>46.061599999999999</v>
      </c>
      <c r="H209" s="55">
        <v>38.384666666666668</v>
      </c>
      <c r="I209" s="55"/>
      <c r="J209" s="55"/>
      <c r="K209" s="55"/>
      <c r="L209" s="55">
        <v>38.384666666666668</v>
      </c>
      <c r="M209" s="55"/>
      <c r="N209" s="55"/>
      <c r="O209" s="55" t="s">
        <v>3559</v>
      </c>
      <c r="P209" s="55">
        <v>1230123</v>
      </c>
      <c r="Q209" s="55">
        <v>3210321</v>
      </c>
      <c r="R209" s="55" t="s">
        <v>3560</v>
      </c>
      <c r="S209" s="55" t="s">
        <v>3561</v>
      </c>
      <c r="T209" s="55">
        <v>2</v>
      </c>
      <c r="U209">
        <v>444</v>
      </c>
    </row>
    <row r="210" spans="1:21" x14ac:dyDescent="0.25">
      <c r="A210" s="55" t="s">
        <v>3884</v>
      </c>
      <c r="B210" s="55" t="s">
        <v>4019</v>
      </c>
      <c r="C210" s="55" t="s">
        <v>3882</v>
      </c>
      <c r="D210" s="55" t="s">
        <v>3882</v>
      </c>
      <c r="E210" s="55" t="s">
        <v>29</v>
      </c>
      <c r="F210" s="55">
        <v>2</v>
      </c>
      <c r="G210" s="55">
        <v>47.390299999999996</v>
      </c>
      <c r="H210" s="55">
        <v>39.491916666666668</v>
      </c>
      <c r="I210" s="55"/>
      <c r="J210" s="55"/>
      <c r="K210" s="55"/>
      <c r="L210" s="55">
        <v>39.491916666666668</v>
      </c>
      <c r="M210" s="55"/>
      <c r="N210" s="55"/>
      <c r="O210" s="55" t="s">
        <v>3562</v>
      </c>
      <c r="P210" s="55">
        <v>456456</v>
      </c>
      <c r="Q210" s="55">
        <v>789789</v>
      </c>
      <c r="R210" s="55" t="s">
        <v>3563</v>
      </c>
      <c r="S210" s="55" t="s">
        <v>3564</v>
      </c>
      <c r="T210" s="55">
        <v>2</v>
      </c>
      <c r="U210">
        <v>555</v>
      </c>
    </row>
    <row r="211" spans="1:21" x14ac:dyDescent="0.25">
      <c r="A211" s="55" t="s">
        <v>3885</v>
      </c>
      <c r="B211" s="55" t="s">
        <v>4020</v>
      </c>
      <c r="C211" s="55" t="s">
        <v>3886</v>
      </c>
      <c r="D211" s="55" t="s">
        <v>3886</v>
      </c>
      <c r="E211" s="55" t="s">
        <v>29</v>
      </c>
      <c r="F211" s="55">
        <v>4</v>
      </c>
      <c r="G211" s="55">
        <v>89.4</v>
      </c>
      <c r="H211" s="55">
        <v>74.500000000000014</v>
      </c>
      <c r="I211" s="55"/>
      <c r="J211" s="55"/>
      <c r="K211" s="55"/>
      <c r="L211" s="55">
        <v>74.500000000000014</v>
      </c>
      <c r="M211" s="55"/>
      <c r="N211" s="55"/>
      <c r="O211" s="55" t="s">
        <v>46</v>
      </c>
      <c r="P211" s="55">
        <v>7804274156</v>
      </c>
      <c r="Q211" s="55">
        <v>780401001</v>
      </c>
      <c r="R211" s="55" t="s">
        <v>47</v>
      </c>
      <c r="S211" s="55" t="s">
        <v>41</v>
      </c>
      <c r="T211" s="55">
        <v>2</v>
      </c>
      <c r="U211" t="s">
        <v>2317</v>
      </c>
    </row>
    <row r="212" spans="1:21" x14ac:dyDescent="0.25">
      <c r="A212" s="55" t="s">
        <v>3887</v>
      </c>
      <c r="B212" s="55" t="s">
        <v>4021</v>
      </c>
      <c r="C212" s="55" t="s">
        <v>3886</v>
      </c>
      <c r="D212" s="55" t="s">
        <v>3886</v>
      </c>
      <c r="E212" s="55" t="s">
        <v>29</v>
      </c>
      <c r="F212" s="55">
        <v>4</v>
      </c>
      <c r="G212" s="55">
        <v>93.87</v>
      </c>
      <c r="H212" s="55">
        <v>78.225000000000009</v>
      </c>
      <c r="I212" s="55"/>
      <c r="J212" s="55"/>
      <c r="K212" s="55"/>
      <c r="L212" s="55">
        <v>78.225000000000009</v>
      </c>
      <c r="M212" s="55"/>
      <c r="N212" s="55"/>
      <c r="O212" s="55" t="s">
        <v>3559</v>
      </c>
      <c r="P212" s="55">
        <v>1230123</v>
      </c>
      <c r="Q212" s="55">
        <v>3210321</v>
      </c>
      <c r="R212" s="55" t="s">
        <v>3560</v>
      </c>
      <c r="S212" s="55" t="s">
        <v>3561</v>
      </c>
      <c r="T212" s="55">
        <v>2</v>
      </c>
      <c r="U212">
        <v>444</v>
      </c>
    </row>
    <row r="213" spans="1:21" x14ac:dyDescent="0.25">
      <c r="A213" s="55" t="s">
        <v>3888</v>
      </c>
      <c r="B213" s="55" t="s">
        <v>4022</v>
      </c>
      <c r="C213" s="55" t="s">
        <v>3886</v>
      </c>
      <c r="D213" s="55" t="s">
        <v>3886</v>
      </c>
      <c r="E213" s="55" t="s">
        <v>29</v>
      </c>
      <c r="F213" s="55">
        <v>4</v>
      </c>
      <c r="G213" s="55">
        <v>96.552000000000007</v>
      </c>
      <c r="H213" s="55">
        <v>80.460000000000008</v>
      </c>
      <c r="I213" s="55"/>
      <c r="J213" s="55"/>
      <c r="K213" s="55"/>
      <c r="L213" s="55">
        <v>80.460000000000008</v>
      </c>
      <c r="M213" s="55"/>
      <c r="N213" s="55"/>
      <c r="O213" s="55" t="s">
        <v>3562</v>
      </c>
      <c r="P213" s="55">
        <v>456456</v>
      </c>
      <c r="Q213" s="55">
        <v>789789</v>
      </c>
      <c r="R213" s="55" t="s">
        <v>3563</v>
      </c>
      <c r="S213" s="55" t="s">
        <v>3564</v>
      </c>
      <c r="T213" s="55">
        <v>2</v>
      </c>
      <c r="U213">
        <v>555</v>
      </c>
    </row>
    <row r="214" spans="1:21" x14ac:dyDescent="0.25">
      <c r="A214" s="55" t="s">
        <v>3889</v>
      </c>
      <c r="B214" s="55" t="s">
        <v>4014</v>
      </c>
      <c r="C214" s="55" t="s">
        <v>2267</v>
      </c>
      <c r="D214" s="55" t="s">
        <v>2267</v>
      </c>
      <c r="E214" s="55" t="s">
        <v>29</v>
      </c>
      <c r="F214" s="55">
        <v>50</v>
      </c>
      <c r="G214" s="55">
        <v>136.12</v>
      </c>
      <c r="H214" s="55">
        <v>113.43333333333334</v>
      </c>
      <c r="I214" s="55"/>
      <c r="J214" s="55"/>
      <c r="K214" s="55"/>
      <c r="L214" s="55">
        <v>113.43333333333334</v>
      </c>
      <c r="M214" s="55"/>
      <c r="N214" s="55"/>
      <c r="O214" s="55" t="s">
        <v>46</v>
      </c>
      <c r="P214" s="55">
        <v>7804274156</v>
      </c>
      <c r="Q214" s="55">
        <v>780401001</v>
      </c>
      <c r="R214" s="55" t="s">
        <v>47</v>
      </c>
      <c r="S214" s="55" t="s">
        <v>41</v>
      </c>
      <c r="T214" s="55">
        <v>2</v>
      </c>
      <c r="U214" t="s">
        <v>2317</v>
      </c>
    </row>
    <row r="215" spans="1:21" x14ac:dyDescent="0.25">
      <c r="A215" s="55" t="s">
        <v>3890</v>
      </c>
      <c r="B215" s="55" t="s">
        <v>4015</v>
      </c>
      <c r="C215" s="55" t="s">
        <v>2267</v>
      </c>
      <c r="D215" s="55" t="s">
        <v>2267</v>
      </c>
      <c r="E215" s="55" t="s">
        <v>29</v>
      </c>
      <c r="F215" s="55">
        <v>50</v>
      </c>
      <c r="G215" s="55">
        <v>140.20359999999999</v>
      </c>
      <c r="H215" s="55">
        <v>116.83633333333333</v>
      </c>
      <c r="I215" s="55"/>
      <c r="J215" s="55"/>
      <c r="K215" s="55"/>
      <c r="L215" s="55">
        <v>116.83633333333333</v>
      </c>
      <c r="M215" s="55"/>
      <c r="N215" s="55"/>
      <c r="O215" s="55" t="s">
        <v>3559</v>
      </c>
      <c r="P215" s="55">
        <v>1230123</v>
      </c>
      <c r="Q215" s="55">
        <v>3210321</v>
      </c>
      <c r="R215" s="55" t="s">
        <v>3560</v>
      </c>
      <c r="S215" s="55" t="s">
        <v>3561</v>
      </c>
      <c r="T215" s="55">
        <v>2</v>
      </c>
      <c r="U215">
        <v>444</v>
      </c>
    </row>
    <row r="216" spans="1:21" x14ac:dyDescent="0.25">
      <c r="A216" s="55" t="s">
        <v>3891</v>
      </c>
      <c r="B216" s="55" t="s">
        <v>4016</v>
      </c>
      <c r="C216" s="55" t="s">
        <v>2267</v>
      </c>
      <c r="D216" s="55" t="s">
        <v>2267</v>
      </c>
      <c r="E216" s="55" t="s">
        <v>29</v>
      </c>
      <c r="F216" s="55">
        <v>50</v>
      </c>
      <c r="G216" s="55">
        <v>144.28720000000001</v>
      </c>
      <c r="H216" s="55">
        <v>120.23933333333335</v>
      </c>
      <c r="I216" s="55"/>
      <c r="J216" s="55"/>
      <c r="K216" s="55"/>
      <c r="L216" s="55">
        <v>120.23933333333335</v>
      </c>
      <c r="M216" s="55"/>
      <c r="N216" s="55"/>
      <c r="O216" s="55" t="s">
        <v>3562</v>
      </c>
      <c r="P216" s="55">
        <v>456456</v>
      </c>
      <c r="Q216" s="55">
        <v>789789</v>
      </c>
      <c r="R216" s="55" t="s">
        <v>3563</v>
      </c>
      <c r="S216" s="55" t="s">
        <v>3564</v>
      </c>
      <c r="T216" s="55">
        <v>2</v>
      </c>
      <c r="U216">
        <v>555</v>
      </c>
    </row>
    <row r="217" spans="1:21" x14ac:dyDescent="0.25">
      <c r="A217" s="55" t="s">
        <v>3892</v>
      </c>
      <c r="B217" s="55" t="s">
        <v>4023</v>
      </c>
      <c r="C217" s="55" t="s">
        <v>2400</v>
      </c>
      <c r="D217" s="55" t="s">
        <v>2400</v>
      </c>
      <c r="E217" s="55" t="s">
        <v>35</v>
      </c>
      <c r="F217" s="55" t="s">
        <v>3893</v>
      </c>
      <c r="G217" s="55" t="s">
        <v>3894</v>
      </c>
      <c r="H217" s="55">
        <v>193.33333333333334</v>
      </c>
      <c r="I217" s="55"/>
      <c r="J217" s="55"/>
      <c r="K217" s="55"/>
      <c r="L217" s="55">
        <v>193.33333333333334</v>
      </c>
      <c r="M217" s="55"/>
      <c r="N217" s="55"/>
      <c r="O217" s="55" t="s">
        <v>2416</v>
      </c>
      <c r="P217" s="55">
        <v>7802348846</v>
      </c>
      <c r="Q217" s="55">
        <v>997350001</v>
      </c>
      <c r="R217" s="55" t="s">
        <v>2417</v>
      </c>
      <c r="S217" s="55" t="s">
        <v>41</v>
      </c>
      <c r="T217" s="55"/>
      <c r="U217" t="s">
        <v>2317</v>
      </c>
    </row>
    <row r="218" spans="1:21" x14ac:dyDescent="0.25">
      <c r="A218" s="55" t="s">
        <v>3895</v>
      </c>
      <c r="B218" s="55" t="s">
        <v>4024</v>
      </c>
      <c r="C218" s="55" t="s">
        <v>2400</v>
      </c>
      <c r="D218" s="55" t="s">
        <v>2400</v>
      </c>
      <c r="E218" s="55" t="s">
        <v>35</v>
      </c>
      <c r="F218" s="55" t="s">
        <v>3893</v>
      </c>
      <c r="G218" s="55">
        <v>241.28</v>
      </c>
      <c r="H218" s="55">
        <v>201.06666666666666</v>
      </c>
      <c r="I218" s="55"/>
      <c r="J218" s="55"/>
      <c r="K218" s="55"/>
      <c r="L218" s="55">
        <v>201.06666666666666</v>
      </c>
      <c r="M218" s="55"/>
      <c r="N218" s="55"/>
      <c r="O218" s="55" t="s">
        <v>3559</v>
      </c>
      <c r="P218" s="55">
        <v>1230123</v>
      </c>
      <c r="Q218" s="55">
        <v>3210321</v>
      </c>
      <c r="R218" s="55" t="s">
        <v>3560</v>
      </c>
      <c r="S218" s="55" t="s">
        <v>3561</v>
      </c>
      <c r="T218" s="55">
        <v>2</v>
      </c>
      <c r="U218">
        <v>444</v>
      </c>
    </row>
    <row r="219" spans="1:21" x14ac:dyDescent="0.25">
      <c r="A219" s="55" t="s">
        <v>3896</v>
      </c>
      <c r="B219" s="55" t="s">
        <v>4025</v>
      </c>
      <c r="C219" s="55" t="s">
        <v>2400</v>
      </c>
      <c r="D219" s="55" t="s">
        <v>2400</v>
      </c>
      <c r="E219" s="55" t="s">
        <v>35</v>
      </c>
      <c r="F219" s="55" t="s">
        <v>3893</v>
      </c>
      <c r="G219" s="55">
        <v>250.56</v>
      </c>
      <c r="H219" s="55">
        <v>208.8</v>
      </c>
      <c r="I219" s="55"/>
      <c r="J219" s="55"/>
      <c r="K219" s="55"/>
      <c r="L219" s="55">
        <v>208.8</v>
      </c>
      <c r="M219" s="55"/>
      <c r="N219" s="55"/>
      <c r="O219" s="55" t="s">
        <v>3562</v>
      </c>
      <c r="P219" s="55">
        <v>456456</v>
      </c>
      <c r="Q219" s="55">
        <v>789789</v>
      </c>
      <c r="R219" s="55" t="s">
        <v>3563</v>
      </c>
      <c r="S219" s="55" t="s">
        <v>3564</v>
      </c>
      <c r="T219" s="55">
        <v>2</v>
      </c>
      <c r="U219">
        <v>555</v>
      </c>
    </row>
    <row r="220" spans="1:21" x14ac:dyDescent="0.25">
      <c r="A220" s="55" t="s">
        <v>3897</v>
      </c>
      <c r="B220" s="55" t="s">
        <v>4026</v>
      </c>
      <c r="C220" s="55" t="s">
        <v>3898</v>
      </c>
      <c r="D220" s="55" t="s">
        <v>3898</v>
      </c>
      <c r="E220" s="55" t="s">
        <v>35</v>
      </c>
      <c r="F220" s="55" t="s">
        <v>3899</v>
      </c>
      <c r="G220" s="55" t="s">
        <v>3900</v>
      </c>
      <c r="H220" s="55">
        <v>158.33333333333334</v>
      </c>
      <c r="I220" s="55"/>
      <c r="J220" s="55"/>
      <c r="K220" s="55"/>
      <c r="L220" s="55">
        <v>158.33333333333334</v>
      </c>
      <c r="M220" s="55"/>
      <c r="N220" s="55"/>
      <c r="O220" s="55" t="s">
        <v>2416</v>
      </c>
      <c r="P220" s="55">
        <v>7802348846</v>
      </c>
      <c r="Q220" s="55">
        <v>997350001</v>
      </c>
      <c r="R220" s="55" t="s">
        <v>2417</v>
      </c>
      <c r="S220" s="55" t="s">
        <v>41</v>
      </c>
      <c r="T220" s="55"/>
      <c r="U220" t="s">
        <v>2317</v>
      </c>
    </row>
    <row r="221" spans="1:21" x14ac:dyDescent="0.25">
      <c r="A221" s="55" t="s">
        <v>3901</v>
      </c>
      <c r="B221" s="55" t="s">
        <v>4027</v>
      </c>
      <c r="C221" s="55" t="s">
        <v>3898</v>
      </c>
      <c r="D221" s="55" t="s">
        <v>3898</v>
      </c>
      <c r="E221" s="55" t="s">
        <v>35</v>
      </c>
      <c r="F221" s="55" t="s">
        <v>3899</v>
      </c>
      <c r="G221" s="55">
        <v>195.7</v>
      </c>
      <c r="H221" s="55">
        <v>163.08333333333334</v>
      </c>
      <c r="I221" s="55"/>
      <c r="J221" s="55"/>
      <c r="K221" s="55"/>
      <c r="L221" s="55">
        <v>163.08333333333334</v>
      </c>
      <c r="M221" s="55"/>
      <c r="N221" s="55"/>
      <c r="O221" s="55" t="s">
        <v>3559</v>
      </c>
      <c r="P221" s="55">
        <v>1230123</v>
      </c>
      <c r="Q221" s="55">
        <v>3210321</v>
      </c>
      <c r="R221" s="55" t="s">
        <v>3560</v>
      </c>
      <c r="S221" s="55" t="s">
        <v>3561</v>
      </c>
      <c r="T221" s="55">
        <v>2</v>
      </c>
      <c r="U221">
        <v>444</v>
      </c>
    </row>
    <row r="222" spans="1:21" x14ac:dyDescent="0.25">
      <c r="A222" s="55" t="s">
        <v>3902</v>
      </c>
      <c r="B222" s="55" t="s">
        <v>4028</v>
      </c>
      <c r="C222" s="55" t="s">
        <v>3898</v>
      </c>
      <c r="D222" s="55" t="s">
        <v>3898</v>
      </c>
      <c r="E222" s="55" t="s">
        <v>35</v>
      </c>
      <c r="F222" s="55" t="s">
        <v>3899</v>
      </c>
      <c r="G222" s="55">
        <v>203.3</v>
      </c>
      <c r="H222" s="55">
        <v>169.41666666666669</v>
      </c>
      <c r="I222" s="55"/>
      <c r="J222" s="55"/>
      <c r="K222" s="55"/>
      <c r="L222" s="55">
        <v>169.41666666666669</v>
      </c>
      <c r="M222" s="55"/>
      <c r="N222" s="55"/>
      <c r="O222" s="55" t="s">
        <v>3562</v>
      </c>
      <c r="P222" s="55">
        <v>456456</v>
      </c>
      <c r="Q222" s="55">
        <v>789789</v>
      </c>
      <c r="R222" s="55" t="s">
        <v>3563</v>
      </c>
      <c r="S222" s="55" t="s">
        <v>3564</v>
      </c>
      <c r="T222" s="55">
        <v>2</v>
      </c>
      <c r="U222">
        <v>555</v>
      </c>
    </row>
    <row r="223" spans="1:21" x14ac:dyDescent="0.25">
      <c r="A223" s="55" t="s">
        <v>3903</v>
      </c>
      <c r="B223" s="55" t="s">
        <v>4029</v>
      </c>
      <c r="C223" s="55" t="s">
        <v>3904</v>
      </c>
      <c r="D223" s="55" t="s">
        <v>2402</v>
      </c>
      <c r="E223" s="55" t="s">
        <v>35</v>
      </c>
      <c r="F223" s="55" t="s">
        <v>3905</v>
      </c>
      <c r="G223" s="55" t="s">
        <v>3906</v>
      </c>
      <c r="H223" s="55">
        <v>692.5</v>
      </c>
      <c r="I223" s="55"/>
      <c r="J223" s="55"/>
      <c r="K223" s="55"/>
      <c r="L223" s="55">
        <v>692.5</v>
      </c>
      <c r="M223" s="55"/>
      <c r="N223" s="55"/>
      <c r="O223" s="55" t="s">
        <v>2416</v>
      </c>
      <c r="P223" s="55">
        <v>7802348846</v>
      </c>
      <c r="Q223" s="55">
        <v>997350001</v>
      </c>
      <c r="R223" s="55" t="s">
        <v>2417</v>
      </c>
      <c r="S223" s="55" t="s">
        <v>41</v>
      </c>
      <c r="T223" s="55"/>
      <c r="U223" t="s">
        <v>2317</v>
      </c>
    </row>
    <row r="224" spans="1:21" x14ac:dyDescent="0.25">
      <c r="A224" s="55" t="s">
        <v>3907</v>
      </c>
      <c r="B224" s="55" t="s">
        <v>4030</v>
      </c>
      <c r="C224" s="55" t="s">
        <v>3904</v>
      </c>
      <c r="D224" s="55" t="s">
        <v>2402</v>
      </c>
      <c r="E224" s="55" t="s">
        <v>35</v>
      </c>
      <c r="F224" s="55" t="s">
        <v>3905</v>
      </c>
      <c r="G224" s="55">
        <v>864.24</v>
      </c>
      <c r="H224" s="55">
        <v>720.2</v>
      </c>
      <c r="I224" s="55"/>
      <c r="J224" s="55"/>
      <c r="K224" s="55"/>
      <c r="L224" s="55">
        <v>720.2</v>
      </c>
      <c r="M224" s="55"/>
      <c r="N224" s="55"/>
      <c r="O224" s="55" t="s">
        <v>3559</v>
      </c>
      <c r="P224" s="55">
        <v>1230123</v>
      </c>
      <c r="Q224" s="55">
        <v>3210321</v>
      </c>
      <c r="R224" s="55" t="s">
        <v>3560</v>
      </c>
      <c r="S224" s="55" t="s">
        <v>3561</v>
      </c>
      <c r="T224" s="55">
        <v>2</v>
      </c>
      <c r="U224">
        <v>444</v>
      </c>
    </row>
    <row r="225" spans="1:21" x14ac:dyDescent="0.25">
      <c r="A225" s="55" t="s">
        <v>3908</v>
      </c>
      <c r="B225" s="55" t="s">
        <v>4031</v>
      </c>
      <c r="C225" s="55" t="s">
        <v>3904</v>
      </c>
      <c r="D225" s="55" t="s">
        <v>2402</v>
      </c>
      <c r="E225" s="55" t="s">
        <v>35</v>
      </c>
      <c r="F225" s="55" t="s">
        <v>3905</v>
      </c>
      <c r="G225" s="55">
        <v>897.48</v>
      </c>
      <c r="H225" s="55">
        <v>747.90000000000009</v>
      </c>
      <c r="I225" s="55"/>
      <c r="J225" s="55"/>
      <c r="K225" s="55"/>
      <c r="L225" s="55">
        <v>747.90000000000009</v>
      </c>
      <c r="M225" s="55"/>
      <c r="N225" s="55"/>
      <c r="O225" s="55" t="s">
        <v>3562</v>
      </c>
      <c r="P225" s="55">
        <v>456456</v>
      </c>
      <c r="Q225" s="55">
        <v>789789</v>
      </c>
      <c r="R225" s="55" t="s">
        <v>3563</v>
      </c>
      <c r="S225" s="55" t="s">
        <v>3564</v>
      </c>
      <c r="T225" s="55">
        <v>2</v>
      </c>
      <c r="U225">
        <v>555</v>
      </c>
    </row>
    <row r="226" spans="1:21" x14ac:dyDescent="0.25">
      <c r="A226" s="55" t="s">
        <v>3909</v>
      </c>
      <c r="B226" s="55" t="s">
        <v>4032</v>
      </c>
      <c r="C226" s="55" t="s">
        <v>3910</v>
      </c>
      <c r="D226" s="55" t="s">
        <v>2403</v>
      </c>
      <c r="E226" s="55" t="s">
        <v>35</v>
      </c>
      <c r="F226" s="55">
        <v>5</v>
      </c>
      <c r="G226" s="55" t="s">
        <v>3911</v>
      </c>
      <c r="H226" s="55">
        <v>445</v>
      </c>
      <c r="I226" s="55"/>
      <c r="J226" s="55"/>
      <c r="K226" s="55"/>
      <c r="L226" s="55">
        <v>445</v>
      </c>
      <c r="M226" s="55"/>
      <c r="N226" s="55"/>
      <c r="O226" s="55" t="s">
        <v>2416</v>
      </c>
      <c r="P226" s="55">
        <v>7802348846</v>
      </c>
      <c r="Q226" s="55">
        <v>997350001</v>
      </c>
      <c r="R226" s="55" t="s">
        <v>2417</v>
      </c>
      <c r="S226" s="55" t="s">
        <v>41</v>
      </c>
      <c r="T226" s="55"/>
      <c r="U226" t="s">
        <v>2317</v>
      </c>
    </row>
    <row r="227" spans="1:21" x14ac:dyDescent="0.25">
      <c r="A227" s="55" t="s">
        <v>3912</v>
      </c>
      <c r="B227" s="55" t="s">
        <v>4033</v>
      </c>
      <c r="C227" s="55" t="s">
        <v>3910</v>
      </c>
      <c r="D227" s="55" t="s">
        <v>2403</v>
      </c>
      <c r="E227" s="55" t="s">
        <v>35</v>
      </c>
      <c r="F227" s="55">
        <v>5</v>
      </c>
      <c r="G227" s="55">
        <v>555.36</v>
      </c>
      <c r="H227" s="55">
        <v>462.8</v>
      </c>
      <c r="I227" s="55"/>
      <c r="J227" s="55"/>
      <c r="K227" s="55"/>
      <c r="L227" s="55">
        <v>462.8</v>
      </c>
      <c r="M227" s="55"/>
      <c r="N227" s="55"/>
      <c r="O227" s="55" t="s">
        <v>3559</v>
      </c>
      <c r="P227" s="55">
        <v>1230123</v>
      </c>
      <c r="Q227" s="55">
        <v>3210321</v>
      </c>
      <c r="R227" s="55" t="s">
        <v>3560</v>
      </c>
      <c r="S227" s="55" t="s">
        <v>3561</v>
      </c>
      <c r="T227" s="55">
        <v>2</v>
      </c>
      <c r="U227">
        <v>444</v>
      </c>
    </row>
    <row r="228" spans="1:21" x14ac:dyDescent="0.25">
      <c r="A228" s="55" t="s">
        <v>3913</v>
      </c>
      <c r="B228" s="55" t="s">
        <v>4034</v>
      </c>
      <c r="C228" s="55" t="s">
        <v>3910</v>
      </c>
      <c r="D228" s="55" t="s">
        <v>2403</v>
      </c>
      <c r="E228" s="55" t="s">
        <v>35</v>
      </c>
      <c r="F228" s="55">
        <v>5</v>
      </c>
      <c r="G228" s="55">
        <v>576.72</v>
      </c>
      <c r="H228" s="55">
        <v>480.6</v>
      </c>
      <c r="I228" s="55"/>
      <c r="J228" s="55"/>
      <c r="K228" s="55"/>
      <c r="L228" s="55">
        <v>480.6</v>
      </c>
      <c r="M228" s="55"/>
      <c r="N228" s="55"/>
      <c r="O228" s="55" t="s">
        <v>3562</v>
      </c>
      <c r="P228" s="55">
        <v>456456</v>
      </c>
      <c r="Q228" s="55">
        <v>789789</v>
      </c>
      <c r="R228" s="55" t="s">
        <v>3563</v>
      </c>
      <c r="S228" s="55" t="s">
        <v>3564</v>
      </c>
      <c r="T228" s="55">
        <v>2</v>
      </c>
      <c r="U228">
        <v>555</v>
      </c>
    </row>
    <row r="229" spans="1:21" x14ac:dyDescent="0.25">
      <c r="A229" s="55" t="s">
        <v>3914</v>
      </c>
      <c r="B229" s="55" t="s">
        <v>4035</v>
      </c>
      <c r="C229" s="55" t="s">
        <v>3915</v>
      </c>
      <c r="D229" s="55" t="s">
        <v>2404</v>
      </c>
      <c r="E229" s="55" t="s">
        <v>29</v>
      </c>
      <c r="F229" s="55">
        <v>24</v>
      </c>
      <c r="G229" s="55" t="s">
        <v>3916</v>
      </c>
      <c r="H229" s="55">
        <v>840</v>
      </c>
      <c r="I229" s="55"/>
      <c r="J229" s="55"/>
      <c r="K229" s="55"/>
      <c r="L229" s="55">
        <v>840</v>
      </c>
      <c r="M229" s="55"/>
      <c r="N229" s="55"/>
      <c r="O229" s="55" t="s">
        <v>2416</v>
      </c>
      <c r="P229" s="55">
        <v>7802348846</v>
      </c>
      <c r="Q229" s="55">
        <v>997350001</v>
      </c>
      <c r="R229" s="55" t="s">
        <v>2417</v>
      </c>
      <c r="S229" s="55" t="s">
        <v>41</v>
      </c>
      <c r="T229" s="55"/>
      <c r="U229" t="s">
        <v>2317</v>
      </c>
    </row>
    <row r="230" spans="1:21" x14ac:dyDescent="0.25">
      <c r="A230" s="55" t="s">
        <v>3917</v>
      </c>
      <c r="B230" s="55" t="s">
        <v>4036</v>
      </c>
      <c r="C230" s="55" t="s">
        <v>3915</v>
      </c>
      <c r="D230" s="55" t="s">
        <v>2404</v>
      </c>
      <c r="E230" s="55" t="s">
        <v>29</v>
      </c>
      <c r="F230" s="55">
        <v>24</v>
      </c>
      <c r="G230" s="55">
        <v>1038.24</v>
      </c>
      <c r="H230" s="55">
        <v>865.2</v>
      </c>
      <c r="I230" s="55"/>
      <c r="J230" s="55"/>
      <c r="K230" s="55"/>
      <c r="L230" s="55">
        <v>865.2</v>
      </c>
      <c r="M230" s="55"/>
      <c r="N230" s="55"/>
      <c r="O230" s="55" t="s">
        <v>3559</v>
      </c>
      <c r="P230" s="55">
        <v>1230123</v>
      </c>
      <c r="Q230" s="55">
        <v>3210321</v>
      </c>
      <c r="R230" s="55" t="s">
        <v>3560</v>
      </c>
      <c r="S230" s="55" t="s">
        <v>3561</v>
      </c>
      <c r="T230" s="55">
        <v>2</v>
      </c>
      <c r="U230">
        <v>444</v>
      </c>
    </row>
    <row r="231" spans="1:21" x14ac:dyDescent="0.25">
      <c r="A231" s="55" t="s">
        <v>3918</v>
      </c>
      <c r="B231" s="55" t="s">
        <v>4037</v>
      </c>
      <c r="C231" s="55" t="s">
        <v>3915</v>
      </c>
      <c r="D231" s="55" t="s">
        <v>2404</v>
      </c>
      <c r="E231" s="55" t="s">
        <v>29</v>
      </c>
      <c r="F231" s="55">
        <v>24</v>
      </c>
      <c r="G231" s="55">
        <v>1088.6400000000001</v>
      </c>
      <c r="H231" s="55">
        <v>907.20000000000016</v>
      </c>
      <c r="I231" s="55"/>
      <c r="J231" s="55"/>
      <c r="K231" s="55"/>
      <c r="L231" s="55">
        <v>907.20000000000016</v>
      </c>
      <c r="M231" s="55"/>
      <c r="N231" s="55"/>
      <c r="O231" s="55" t="s">
        <v>3562</v>
      </c>
      <c r="P231" s="55">
        <v>456456</v>
      </c>
      <c r="Q231" s="55">
        <v>789789</v>
      </c>
      <c r="R231" s="55" t="s">
        <v>3563</v>
      </c>
      <c r="S231" s="55" t="s">
        <v>3564</v>
      </c>
      <c r="T231" s="55">
        <v>2</v>
      </c>
      <c r="U231">
        <v>555</v>
      </c>
    </row>
    <row r="232" spans="1:21" x14ac:dyDescent="0.25">
      <c r="A232" s="55" t="s">
        <v>3919</v>
      </c>
      <c r="B232" s="55" t="s">
        <v>4035</v>
      </c>
      <c r="C232" s="55" t="s">
        <v>3920</v>
      </c>
      <c r="D232" s="55" t="s">
        <v>2405</v>
      </c>
      <c r="E232" s="55" t="s">
        <v>29</v>
      </c>
      <c r="F232" s="55">
        <v>6</v>
      </c>
      <c r="G232" s="55" t="s">
        <v>3921</v>
      </c>
      <c r="H232" s="55">
        <v>1083.3333333333335</v>
      </c>
      <c r="I232" s="55"/>
      <c r="J232" s="55"/>
      <c r="K232" s="55"/>
      <c r="L232" s="55">
        <v>1083.3333333333335</v>
      </c>
      <c r="M232" s="55"/>
      <c r="N232" s="55"/>
      <c r="O232" s="55" t="s">
        <v>2416</v>
      </c>
      <c r="P232" s="55">
        <v>7802348846</v>
      </c>
      <c r="Q232" s="55">
        <v>997350001</v>
      </c>
      <c r="R232" s="55" t="s">
        <v>2417</v>
      </c>
      <c r="S232" s="55" t="s">
        <v>41</v>
      </c>
      <c r="T232" s="55"/>
      <c r="U232" t="s">
        <v>2317</v>
      </c>
    </row>
    <row r="233" spans="1:21" x14ac:dyDescent="0.25">
      <c r="A233" s="55" t="s">
        <v>3922</v>
      </c>
      <c r="B233" s="55" t="s">
        <v>4036</v>
      </c>
      <c r="C233" s="55" t="s">
        <v>3920</v>
      </c>
      <c r="D233" s="55" t="s">
        <v>2405</v>
      </c>
      <c r="E233" s="55" t="s">
        <v>29</v>
      </c>
      <c r="F233" s="55">
        <v>6</v>
      </c>
      <c r="G233" s="55">
        <v>1365</v>
      </c>
      <c r="H233" s="55">
        <v>1137.5</v>
      </c>
      <c r="I233" s="55"/>
      <c r="J233" s="55"/>
      <c r="K233" s="55"/>
      <c r="L233" s="55">
        <v>1137.5</v>
      </c>
      <c r="M233" s="55"/>
      <c r="N233" s="55"/>
      <c r="O233" s="55" t="s">
        <v>3559</v>
      </c>
      <c r="P233" s="55">
        <v>1230123</v>
      </c>
      <c r="Q233" s="55">
        <v>3210321</v>
      </c>
      <c r="R233" s="55" t="s">
        <v>3560</v>
      </c>
      <c r="S233" s="55" t="s">
        <v>3561</v>
      </c>
      <c r="T233" s="55">
        <v>2</v>
      </c>
      <c r="U233">
        <v>444</v>
      </c>
    </row>
    <row r="234" spans="1:21" x14ac:dyDescent="0.25">
      <c r="A234" s="55" t="s">
        <v>3923</v>
      </c>
      <c r="B234" s="55" t="s">
        <v>4037</v>
      </c>
      <c r="C234" s="55" t="s">
        <v>3920</v>
      </c>
      <c r="D234" s="55" t="s">
        <v>2405</v>
      </c>
      <c r="E234" s="55" t="s">
        <v>29</v>
      </c>
      <c r="F234" s="55">
        <v>6</v>
      </c>
      <c r="G234" s="55">
        <v>1391</v>
      </c>
      <c r="H234" s="55">
        <v>1159.1666666666667</v>
      </c>
      <c r="I234" s="55"/>
      <c r="J234" s="55"/>
      <c r="K234" s="55"/>
      <c r="L234" s="55">
        <v>1159.1666666666667</v>
      </c>
      <c r="M234" s="55"/>
      <c r="N234" s="55"/>
      <c r="O234" s="55" t="s">
        <v>3562</v>
      </c>
      <c r="P234" s="55">
        <v>456456</v>
      </c>
      <c r="Q234" s="55">
        <v>789789</v>
      </c>
      <c r="R234" s="55" t="s">
        <v>3563</v>
      </c>
      <c r="S234" s="55" t="s">
        <v>3564</v>
      </c>
      <c r="T234" s="55">
        <v>2</v>
      </c>
      <c r="U234">
        <v>555</v>
      </c>
    </row>
    <row r="235" spans="1:21" x14ac:dyDescent="0.25">
      <c r="A235" s="55" t="s">
        <v>3924</v>
      </c>
      <c r="B235" s="55" t="s">
        <v>4038</v>
      </c>
      <c r="C235" s="55" t="s">
        <v>2406</v>
      </c>
      <c r="D235" s="55" t="s">
        <v>2406</v>
      </c>
      <c r="E235" s="55" t="s">
        <v>29</v>
      </c>
      <c r="F235" s="55">
        <v>50</v>
      </c>
      <c r="G235" s="55" t="s">
        <v>3925</v>
      </c>
      <c r="H235" s="55">
        <v>62.925000000000004</v>
      </c>
      <c r="I235" s="55"/>
      <c r="J235" s="55"/>
      <c r="K235" s="55"/>
      <c r="L235" s="55">
        <v>62.925000000000004</v>
      </c>
      <c r="M235" s="55"/>
      <c r="N235" s="55"/>
      <c r="O235" s="55" t="s">
        <v>2407</v>
      </c>
      <c r="P235" s="55">
        <v>7723889433</v>
      </c>
      <c r="Q235" s="55">
        <v>772401001</v>
      </c>
      <c r="R235" s="55" t="s">
        <v>2408</v>
      </c>
      <c r="S235" s="55" t="s">
        <v>2409</v>
      </c>
      <c r="T235" s="55">
        <v>2</v>
      </c>
      <c r="U235">
        <v>45358</v>
      </c>
    </row>
    <row r="236" spans="1:21" x14ac:dyDescent="0.25">
      <c r="A236" s="55" t="s">
        <v>3926</v>
      </c>
      <c r="B236" s="55" t="s">
        <v>4039</v>
      </c>
      <c r="C236" s="55" t="s">
        <v>2406</v>
      </c>
      <c r="D236" s="55" t="s">
        <v>2406</v>
      </c>
      <c r="E236" s="55" t="s">
        <v>29</v>
      </c>
      <c r="F236" s="55">
        <v>50</v>
      </c>
      <c r="G236" s="55">
        <v>77.775300000000001</v>
      </c>
      <c r="H236" s="55">
        <v>64.812750000000008</v>
      </c>
      <c r="I236" s="55"/>
      <c r="J236" s="55"/>
      <c r="K236" s="55"/>
      <c r="L236" s="55">
        <v>64.812750000000008</v>
      </c>
      <c r="M236" s="55"/>
      <c r="N236" s="55"/>
      <c r="O236" s="55" t="s">
        <v>3559</v>
      </c>
      <c r="P236" s="55">
        <v>1230123</v>
      </c>
      <c r="Q236" s="55">
        <v>3210321</v>
      </c>
      <c r="R236" s="55" t="s">
        <v>3560</v>
      </c>
      <c r="S236" s="55" t="s">
        <v>3561</v>
      </c>
      <c r="T236" s="55">
        <v>2</v>
      </c>
      <c r="U236">
        <v>444</v>
      </c>
    </row>
    <row r="237" spans="1:21" x14ac:dyDescent="0.25">
      <c r="A237" s="55" t="s">
        <v>3927</v>
      </c>
      <c r="B237" s="55" t="s">
        <v>4040</v>
      </c>
      <c r="C237" s="55" t="s">
        <v>2406</v>
      </c>
      <c r="D237" s="55" t="s">
        <v>2406</v>
      </c>
      <c r="E237" s="55" t="s">
        <v>29</v>
      </c>
      <c r="F237" s="55">
        <v>50</v>
      </c>
      <c r="G237" s="55">
        <v>80.795700000000011</v>
      </c>
      <c r="H237" s="55">
        <v>67.329750000000018</v>
      </c>
      <c r="I237" s="55"/>
      <c r="J237" s="55"/>
      <c r="K237" s="55"/>
      <c r="L237" s="55">
        <v>67.329750000000018</v>
      </c>
      <c r="M237" s="55"/>
      <c r="N237" s="55"/>
      <c r="O237" s="55" t="s">
        <v>3562</v>
      </c>
      <c r="P237" s="55">
        <v>456456</v>
      </c>
      <c r="Q237" s="55">
        <v>789789</v>
      </c>
      <c r="R237" s="55" t="s">
        <v>3563</v>
      </c>
      <c r="S237" s="55" t="s">
        <v>3564</v>
      </c>
      <c r="T237" s="55">
        <v>2</v>
      </c>
      <c r="U237">
        <v>555</v>
      </c>
    </row>
    <row r="238" spans="1:21" x14ac:dyDescent="0.25">
      <c r="A238" s="55" t="s">
        <v>3928</v>
      </c>
      <c r="B238" s="55" t="s">
        <v>4041</v>
      </c>
      <c r="C238" s="55" t="s">
        <v>3929</v>
      </c>
      <c r="D238" s="55" t="s">
        <v>3930</v>
      </c>
      <c r="E238" s="55" t="s">
        <v>29</v>
      </c>
      <c r="F238" s="55">
        <v>17</v>
      </c>
      <c r="G238" s="55" t="s">
        <v>3931</v>
      </c>
      <c r="H238" s="55">
        <v>51166.666666666672</v>
      </c>
      <c r="I238" s="55"/>
      <c r="J238" s="55"/>
      <c r="K238" s="55"/>
      <c r="L238" s="55">
        <v>51166.666666666672</v>
      </c>
      <c r="M238" s="55"/>
      <c r="N238" s="55"/>
      <c r="O238" s="55" t="s">
        <v>2410</v>
      </c>
      <c r="P238" s="55">
        <v>5838002196</v>
      </c>
      <c r="Q238" s="55">
        <v>583801001</v>
      </c>
      <c r="R238" s="55" t="s">
        <v>2412</v>
      </c>
      <c r="S238" s="55" t="s">
        <v>2411</v>
      </c>
      <c r="T238" s="55">
        <v>2</v>
      </c>
      <c r="U238" t="s">
        <v>3932</v>
      </c>
    </row>
    <row r="239" spans="1:21" x14ac:dyDescent="0.25">
      <c r="A239" s="55" t="s">
        <v>3933</v>
      </c>
      <c r="B239" s="55" t="s">
        <v>4042</v>
      </c>
      <c r="C239" s="55" t="s">
        <v>3929</v>
      </c>
      <c r="D239" s="55" t="s">
        <v>3930</v>
      </c>
      <c r="E239" s="55" t="s">
        <v>29</v>
      </c>
      <c r="F239" s="55">
        <v>17</v>
      </c>
      <c r="G239" s="55">
        <v>63856</v>
      </c>
      <c r="H239" s="55">
        <v>53213.333333333336</v>
      </c>
      <c r="I239" s="55"/>
      <c r="J239" s="55"/>
      <c r="K239" s="55"/>
      <c r="L239" s="55">
        <v>53213.333333333336</v>
      </c>
      <c r="M239" s="55"/>
      <c r="N239" s="55"/>
      <c r="O239" s="55" t="s">
        <v>3559</v>
      </c>
      <c r="P239" s="55">
        <v>1230123</v>
      </c>
      <c r="Q239" s="55">
        <v>3210321</v>
      </c>
      <c r="R239" s="55" t="s">
        <v>3560</v>
      </c>
      <c r="S239" s="55" t="s">
        <v>3561</v>
      </c>
      <c r="T239" s="55">
        <v>2</v>
      </c>
      <c r="U239">
        <v>444</v>
      </c>
    </row>
    <row r="240" spans="1:21" x14ac:dyDescent="0.25">
      <c r="A240" s="55" t="s">
        <v>3934</v>
      </c>
      <c r="B240" s="55" t="s">
        <v>4043</v>
      </c>
      <c r="C240" s="55" t="s">
        <v>3929</v>
      </c>
      <c r="D240" s="55" t="s">
        <v>3930</v>
      </c>
      <c r="E240" s="55" t="s">
        <v>29</v>
      </c>
      <c r="F240" s="55">
        <v>17</v>
      </c>
      <c r="G240" s="55">
        <v>65084</v>
      </c>
      <c r="H240" s="55">
        <v>54236.666666666672</v>
      </c>
      <c r="I240" s="55"/>
      <c r="J240" s="55"/>
      <c r="K240" s="55"/>
      <c r="L240" s="55">
        <v>54236.666666666672</v>
      </c>
      <c r="M240" s="55"/>
      <c r="N240" s="55"/>
      <c r="O240" s="55" t="s">
        <v>3562</v>
      </c>
      <c r="P240" s="55">
        <v>456456</v>
      </c>
      <c r="Q240" s="55">
        <v>789789</v>
      </c>
      <c r="R240" s="55" t="s">
        <v>3563</v>
      </c>
      <c r="S240" s="55" t="s">
        <v>3564</v>
      </c>
      <c r="T240" s="55">
        <v>2</v>
      </c>
      <c r="U240">
        <v>555</v>
      </c>
    </row>
    <row r="241" spans="1:26" x14ac:dyDescent="0.25">
      <c r="A241" s="55" t="s">
        <v>4047</v>
      </c>
      <c r="B241" s="56" t="str">
        <f>"ТЦ"&amp;"_"&amp;X241&amp;"_"&amp;Y241&amp;"_"&amp;Q241&amp;"_"&amp;TEXT(U241,"ДД.ММ.ГГ")&amp;"_"&amp;T241</f>
        <v>ТЦ_ 26.1.02.06__470301001_06.03.24_2</v>
      </c>
      <c r="C241" s="56" t="s">
        <v>4044</v>
      </c>
      <c r="D241" s="56" t="s">
        <v>4045</v>
      </c>
      <c r="E241" s="56" t="s">
        <v>29</v>
      </c>
      <c r="F241" s="56">
        <v>96</v>
      </c>
      <c r="G241" s="56">
        <v>82.4</v>
      </c>
      <c r="H241" s="56">
        <f>G241/1.2</f>
        <v>68.666666666666671</v>
      </c>
      <c r="I241" s="56"/>
      <c r="J241" s="56"/>
      <c r="K241" s="56"/>
      <c r="L241" s="56">
        <f>H241+I241+K241</f>
        <v>68.666666666666671</v>
      </c>
      <c r="M241" s="56"/>
      <c r="N241" s="56"/>
      <c r="O241" s="56" t="s">
        <v>55</v>
      </c>
      <c r="P241" s="56">
        <v>4703126149</v>
      </c>
      <c r="Q241" s="56">
        <v>470301001</v>
      </c>
      <c r="R241" s="56" t="s">
        <v>56</v>
      </c>
      <c r="S241" s="56" t="s">
        <v>41</v>
      </c>
      <c r="T241" s="56">
        <v>2</v>
      </c>
      <c r="U241" s="30" t="s">
        <v>2317</v>
      </c>
      <c r="V241">
        <f ca="1">G241/100*RANDBETWEEN(3,5)</f>
        <v>4.12</v>
      </c>
      <c r="W241">
        <f ca="1">G241/100*RANDBETWEEN(6,8)</f>
        <v>5.7680000000000007</v>
      </c>
      <c r="X241" t="s">
        <v>4046</v>
      </c>
      <c r="Z241">
        <v>1</v>
      </c>
    </row>
    <row r="242" spans="1:26" x14ac:dyDescent="0.25">
      <c r="A242" s="55" t="s">
        <v>4048</v>
      </c>
      <c r="B242" s="55" t="str">
        <f t="shared" ref="B242:B243" si="0">"ТЦ"&amp;"_"&amp;X242&amp;"_"&amp;Y242&amp;"_"&amp;Q242&amp;"_"&amp;TEXT(U242,"ДД.ММ.ГГ")&amp;"_"&amp;T242</f>
        <v>ТЦ_ 26.1.02.06__673201001_06.03.24_2</v>
      </c>
      <c r="C242" s="55" t="s">
        <v>4044</v>
      </c>
      <c r="D242" s="55" t="s">
        <v>4045</v>
      </c>
      <c r="E242" s="55" t="s">
        <v>29</v>
      </c>
      <c r="F242" s="55">
        <v>96</v>
      </c>
      <c r="G242" s="55">
        <f ca="1">G241+V241</f>
        <v>86.52000000000001</v>
      </c>
      <c r="H242" s="55">
        <f ca="1">G242/1.2</f>
        <v>72.100000000000009</v>
      </c>
      <c r="I242" s="55"/>
      <c r="J242" s="55"/>
      <c r="K242" s="55"/>
      <c r="L242" s="55">
        <f ca="1">H242+I242+K242</f>
        <v>72.100000000000009</v>
      </c>
      <c r="M242" s="55"/>
      <c r="N242" s="55"/>
      <c r="O242" s="55" t="s">
        <v>37</v>
      </c>
      <c r="P242" s="55">
        <v>6731002766</v>
      </c>
      <c r="Q242" s="55">
        <v>673201001</v>
      </c>
      <c r="R242" s="55" t="s">
        <v>38</v>
      </c>
      <c r="S242" s="55" t="s">
        <v>3375</v>
      </c>
      <c r="T242" s="55">
        <v>2</v>
      </c>
      <c r="U242" t="s">
        <v>2317</v>
      </c>
      <c r="X242" t="s">
        <v>4046</v>
      </c>
      <c r="Z242">
        <v>2</v>
      </c>
    </row>
    <row r="243" spans="1:26" x14ac:dyDescent="0.25">
      <c r="A243" s="55" t="s">
        <v>4049</v>
      </c>
      <c r="B243" s="55" t="str">
        <f t="shared" si="0"/>
        <v>ТЦ_ 26.1.02.06__780601001_06.03.24_1</v>
      </c>
      <c r="C243" s="55" t="s">
        <v>4044</v>
      </c>
      <c r="D243" s="55" t="s">
        <v>4045</v>
      </c>
      <c r="E243" s="55" t="s">
        <v>29</v>
      </c>
      <c r="F243" s="55">
        <v>96</v>
      </c>
      <c r="G243" s="55">
        <f ca="1">G241+W241</f>
        <v>88.168000000000006</v>
      </c>
      <c r="H243" s="55">
        <f ca="1">G243/1.2</f>
        <v>73.473333333333343</v>
      </c>
      <c r="I243" s="55"/>
      <c r="J243" s="55"/>
      <c r="K243" s="55"/>
      <c r="L243" s="55">
        <f ca="1">H243+I243+K243</f>
        <v>73.473333333333343</v>
      </c>
      <c r="M243" s="55"/>
      <c r="N243" s="55"/>
      <c r="O243" s="55" t="s">
        <v>39</v>
      </c>
      <c r="P243" s="55">
        <v>7806155468</v>
      </c>
      <c r="Q243" s="55">
        <v>780601001</v>
      </c>
      <c r="R243" s="55" t="s">
        <v>40</v>
      </c>
      <c r="S243" s="55" t="s">
        <v>41</v>
      </c>
      <c r="T243" s="55">
        <v>1</v>
      </c>
      <c r="U243" t="s">
        <v>2317</v>
      </c>
      <c r="X243" t="s">
        <v>4046</v>
      </c>
      <c r="Z243">
        <v>3</v>
      </c>
    </row>
    <row r="244" spans="1:26" x14ac:dyDescent="0.25">
      <c r="A244" s="55">
        <v>81.099999999999994</v>
      </c>
      <c r="B244" s="30" t="str">
        <f>"ТЦ"&amp;"_"&amp;X244&amp;"_"&amp;Y244&amp;"_"&amp;Q244&amp;"_"&amp;TEXT(U244,"ДД.ММ.ГГ")&amp;"_"&amp;T244</f>
        <v>ТЦ_ 20.2.03.13__470301001_06.03.24_2</v>
      </c>
      <c r="C244" s="30" t="s">
        <v>4050</v>
      </c>
      <c r="D244" s="30" t="s">
        <v>4050</v>
      </c>
      <c r="E244" s="30" t="s">
        <v>29</v>
      </c>
      <c r="F244" s="30">
        <v>48</v>
      </c>
      <c r="G244" s="30">
        <v>113.3</v>
      </c>
      <c r="H244" s="30">
        <f>G244/1.2</f>
        <v>94.416666666666671</v>
      </c>
      <c r="I244" s="30"/>
      <c r="J244" s="30"/>
      <c r="K244" s="30"/>
      <c r="L244" s="30">
        <f>H244+I244+K244</f>
        <v>94.416666666666671</v>
      </c>
      <c r="M244" s="30"/>
      <c r="N244" s="30"/>
      <c r="O244" s="30" t="s">
        <v>55</v>
      </c>
      <c r="P244" s="30">
        <v>4703126149</v>
      </c>
      <c r="Q244" s="30">
        <v>470301001</v>
      </c>
      <c r="R244" s="30" t="s">
        <v>56</v>
      </c>
      <c r="S244" s="30" t="s">
        <v>41</v>
      </c>
      <c r="T244" s="30">
        <v>2</v>
      </c>
      <c r="U244" s="30" t="s">
        <v>2317</v>
      </c>
      <c r="V244">
        <f ca="1">G244/100*RANDBETWEEN(3,5)</f>
        <v>3.399</v>
      </c>
      <c r="W244">
        <f ca="1">G244/100*RANDBETWEEN(6,8)</f>
        <v>9.0640000000000001</v>
      </c>
      <c r="X244" t="s">
        <v>4051</v>
      </c>
      <c r="Z244">
        <v>1</v>
      </c>
    </row>
    <row r="245" spans="1:26" x14ac:dyDescent="0.25">
      <c r="A245" s="55">
        <v>81.099999999999994</v>
      </c>
      <c r="B245" t="str">
        <f t="shared" ref="B245:B246" si="1">"ТЦ"&amp;"_"&amp;X245&amp;"_"&amp;Y245&amp;"_"&amp;Q245&amp;"_"&amp;TEXT(U245,"ДД.ММ.ГГ")&amp;"_"&amp;T245</f>
        <v>ТЦ_ 20.2.03.13__673201001_06.03.24_2</v>
      </c>
      <c r="C245" t="s">
        <v>4050</v>
      </c>
      <c r="D245" t="s">
        <v>4050</v>
      </c>
      <c r="E245" t="s">
        <v>29</v>
      </c>
      <c r="F245">
        <v>48</v>
      </c>
      <c r="G245">
        <f ca="1">G244+V244</f>
        <v>116.699</v>
      </c>
      <c r="H245">
        <f ca="1">G245/1.2</f>
        <v>97.249166666666667</v>
      </c>
      <c r="L245">
        <f ca="1">H245+I245+K245</f>
        <v>97.249166666666667</v>
      </c>
      <c r="O245" t="s">
        <v>37</v>
      </c>
      <c r="P245">
        <v>6731002766</v>
      </c>
      <c r="Q245">
        <v>673201001</v>
      </c>
      <c r="R245" t="s">
        <v>38</v>
      </c>
      <c r="S245" t="s">
        <v>3375</v>
      </c>
      <c r="T245">
        <v>2</v>
      </c>
      <c r="U245" t="s">
        <v>2317</v>
      </c>
      <c r="X245" t="s">
        <v>4051</v>
      </c>
      <c r="Z245">
        <v>2</v>
      </c>
    </row>
    <row r="246" spans="1:26" x14ac:dyDescent="0.25">
      <c r="A246" s="55">
        <v>81.099999999999994</v>
      </c>
      <c r="B246" t="str">
        <f t="shared" si="1"/>
        <v>ТЦ_ 20.2.03.13__780601001_06.03.24_1</v>
      </c>
      <c r="C246" t="s">
        <v>4050</v>
      </c>
      <c r="D246" t="s">
        <v>4050</v>
      </c>
      <c r="E246" t="s">
        <v>29</v>
      </c>
      <c r="F246">
        <v>48</v>
      </c>
      <c r="G246">
        <f ca="1">G244+W244</f>
        <v>122.364</v>
      </c>
      <c r="H246">
        <f ca="1">G246/1.2</f>
        <v>101.97000000000001</v>
      </c>
      <c r="L246">
        <f ca="1">H246+I246+K246</f>
        <v>101.97000000000001</v>
      </c>
      <c r="O246" t="s">
        <v>39</v>
      </c>
      <c r="P246">
        <v>7806155468</v>
      </c>
      <c r="Q246">
        <v>780601001</v>
      </c>
      <c r="R246" t="s">
        <v>40</v>
      </c>
      <c r="S246" t="s">
        <v>41</v>
      </c>
      <c r="T246">
        <v>1</v>
      </c>
      <c r="U246" t="s">
        <v>2317</v>
      </c>
      <c r="X246" t="s">
        <v>4051</v>
      </c>
      <c r="Z246">
        <v>3</v>
      </c>
    </row>
    <row r="247" spans="1:26" x14ac:dyDescent="0.25">
      <c r="A247" s="55" t="s">
        <v>4053</v>
      </c>
      <c r="B247" s="30" t="str">
        <f>"ТЦ"&amp;"_"&amp;X247&amp;"_"&amp;Y247&amp;"_"&amp;Q247&amp;"_"&amp;TEXT(U247,"ДД.ММ.ГГ")&amp;"_"&amp;T247</f>
        <v>ТЦ_ 20.2.03.13__470301001_06.03.24_2</v>
      </c>
      <c r="C247" s="30" t="s">
        <v>4052</v>
      </c>
      <c r="D247" s="30" t="s">
        <v>4052</v>
      </c>
      <c r="E247" s="30" t="s">
        <v>29</v>
      </c>
      <c r="F247" s="30">
        <v>48</v>
      </c>
      <c r="G247" s="30">
        <v>318.27</v>
      </c>
      <c r="H247" s="30">
        <f>G247/1.2</f>
        <v>265.22500000000002</v>
      </c>
      <c r="I247" s="30"/>
      <c r="J247" s="30"/>
      <c r="K247" s="30"/>
      <c r="L247" s="30">
        <f>H247+I247+K247</f>
        <v>265.22500000000002</v>
      </c>
      <c r="M247" s="30"/>
      <c r="N247" s="30"/>
      <c r="O247" s="30" t="s">
        <v>55</v>
      </c>
      <c r="P247" s="30">
        <v>4703126149</v>
      </c>
      <c r="Q247" s="30">
        <v>470301001</v>
      </c>
      <c r="R247" s="30" t="s">
        <v>56</v>
      </c>
      <c r="S247" s="30" t="s">
        <v>41</v>
      </c>
      <c r="T247" s="30">
        <v>2</v>
      </c>
      <c r="U247" s="30" t="s">
        <v>2317</v>
      </c>
      <c r="V247">
        <f ca="1">G247/100*RANDBETWEEN(3,5)</f>
        <v>12.730799999999999</v>
      </c>
      <c r="W247">
        <f ca="1">G247/100*RANDBETWEEN(6,8)</f>
        <v>19.096199999999996</v>
      </c>
      <c r="X247" t="s">
        <v>4051</v>
      </c>
      <c r="Z247">
        <v>1</v>
      </c>
    </row>
    <row r="248" spans="1:26" x14ac:dyDescent="0.25">
      <c r="A248" s="55" t="s">
        <v>4054</v>
      </c>
      <c r="B248" t="str">
        <f t="shared" ref="B248:B249" si="2">"ТЦ"&amp;"_"&amp;X248&amp;"_"&amp;Y248&amp;"_"&amp;Q248&amp;"_"&amp;TEXT(U248,"ДД.ММ.ГГ")&amp;"_"&amp;T248</f>
        <v>ТЦ_ 20.2.03.13__673201001_06.03.24_2</v>
      </c>
      <c r="C248" t="s">
        <v>4052</v>
      </c>
      <c r="D248" t="s">
        <v>4052</v>
      </c>
      <c r="E248" t="s">
        <v>29</v>
      </c>
      <c r="F248">
        <v>48</v>
      </c>
      <c r="G248">
        <f ca="1">G247+V247</f>
        <v>331.00079999999997</v>
      </c>
      <c r="H248">
        <f ca="1">G248/1.2</f>
        <v>275.834</v>
      </c>
      <c r="L248">
        <f ca="1">H248+I248+K248</f>
        <v>275.834</v>
      </c>
      <c r="O248" t="s">
        <v>37</v>
      </c>
      <c r="P248">
        <v>6731002766</v>
      </c>
      <c r="Q248">
        <v>673201001</v>
      </c>
      <c r="R248" t="s">
        <v>38</v>
      </c>
      <c r="S248" t="s">
        <v>3375</v>
      </c>
      <c r="T248">
        <v>2</v>
      </c>
      <c r="U248" t="s">
        <v>2317</v>
      </c>
      <c r="X248" t="s">
        <v>4051</v>
      </c>
      <c r="Z248">
        <v>2</v>
      </c>
    </row>
    <row r="249" spans="1:26" x14ac:dyDescent="0.25">
      <c r="A249" s="55" t="s">
        <v>4055</v>
      </c>
      <c r="B249" t="str">
        <f t="shared" si="2"/>
        <v>ТЦ_ 20.2.03.13__780601001_06.03.24_1</v>
      </c>
      <c r="C249" t="s">
        <v>4052</v>
      </c>
      <c r="D249" t="s">
        <v>4052</v>
      </c>
      <c r="E249" t="s">
        <v>29</v>
      </c>
      <c r="F249">
        <v>48</v>
      </c>
      <c r="G249">
        <f ca="1">G247+W247</f>
        <v>337.36619999999999</v>
      </c>
      <c r="H249">
        <f ca="1">G249/1.2</f>
        <v>281.13850000000002</v>
      </c>
      <c r="L249">
        <f ca="1">H249+I249+K249</f>
        <v>281.13850000000002</v>
      </c>
      <c r="O249" t="s">
        <v>39</v>
      </c>
      <c r="P249">
        <v>7806155468</v>
      </c>
      <c r="Q249">
        <v>780601001</v>
      </c>
      <c r="R249" t="s">
        <v>40</v>
      </c>
      <c r="S249" t="s">
        <v>41</v>
      </c>
      <c r="T249">
        <v>1</v>
      </c>
      <c r="U249" t="s">
        <v>2317</v>
      </c>
      <c r="X249" t="s">
        <v>4051</v>
      </c>
      <c r="Z249">
        <v>3</v>
      </c>
    </row>
    <row r="250" spans="1:26" x14ac:dyDescent="0.25">
      <c r="A250" s="55" t="s">
        <v>4053</v>
      </c>
      <c r="B250" s="30" t="str">
        <f>"ТЦ"&amp;"_"&amp;X250&amp;"_"&amp;Y250&amp;"_"&amp;Q250&amp;"_"&amp;TEXT(U250,"ДД.ММ.ГГ")&amp;"_"&amp;T250</f>
        <v>ТЦ_ 20.2.03.13__470301001_06.03.24_2</v>
      </c>
      <c r="C250" s="30" t="s">
        <v>4056</v>
      </c>
      <c r="D250" s="30" t="s">
        <v>4056</v>
      </c>
      <c r="E250" s="30" t="s">
        <v>29</v>
      </c>
      <c r="F250" s="30">
        <v>2</v>
      </c>
      <c r="G250" s="30">
        <v>1744.82</v>
      </c>
      <c r="H250" s="30">
        <f>G250/1.2</f>
        <v>1454.0166666666667</v>
      </c>
      <c r="I250" s="30"/>
      <c r="J250" s="30"/>
      <c r="K250" s="30"/>
      <c r="L250" s="30">
        <f>H250+I250+K250</f>
        <v>1454.0166666666667</v>
      </c>
      <c r="M250" s="30"/>
      <c r="N250" s="30"/>
      <c r="O250" s="30" t="s">
        <v>55</v>
      </c>
      <c r="P250" s="30">
        <v>4703126149</v>
      </c>
      <c r="Q250" s="30">
        <v>470301001</v>
      </c>
      <c r="R250" s="30" t="s">
        <v>56</v>
      </c>
      <c r="S250" s="30" t="s">
        <v>41</v>
      </c>
      <c r="T250" s="30">
        <v>2</v>
      </c>
      <c r="U250" s="30" t="s">
        <v>2317</v>
      </c>
      <c r="V250">
        <f ca="1">G250/100*RANDBETWEEN(3,5)</f>
        <v>87.241</v>
      </c>
      <c r="W250">
        <f ca="1">G250/100*RANDBETWEEN(6,8)</f>
        <v>104.6892</v>
      </c>
      <c r="X250" t="s">
        <v>4051</v>
      </c>
      <c r="Z250">
        <v>1</v>
      </c>
    </row>
    <row r="251" spans="1:26" x14ac:dyDescent="0.25">
      <c r="A251" s="55" t="s">
        <v>4054</v>
      </c>
      <c r="B251" t="str">
        <f t="shared" ref="B251:B252" si="3">"ТЦ"&amp;"_"&amp;X251&amp;"_"&amp;Y251&amp;"_"&amp;Q251&amp;"_"&amp;TEXT(U251,"ДД.ММ.ГГ")&amp;"_"&amp;T251</f>
        <v>ТЦ_ 20.2.03.13__673201001_06.03.24_2</v>
      </c>
      <c r="C251" t="s">
        <v>4056</v>
      </c>
      <c r="D251" t="s">
        <v>4056</v>
      </c>
      <c r="E251" t="s">
        <v>29</v>
      </c>
      <c r="F251">
        <v>2</v>
      </c>
      <c r="G251">
        <f ca="1">G250+V250</f>
        <v>1832.0609999999999</v>
      </c>
      <c r="H251">
        <f ca="1">G251/1.2</f>
        <v>1526.7175</v>
      </c>
      <c r="L251">
        <f ca="1">H251+I251+K251</f>
        <v>1526.7175</v>
      </c>
      <c r="O251" t="s">
        <v>37</v>
      </c>
      <c r="P251">
        <v>6731002766</v>
      </c>
      <c r="Q251">
        <v>673201001</v>
      </c>
      <c r="R251" t="s">
        <v>38</v>
      </c>
      <c r="S251" t="s">
        <v>3375</v>
      </c>
      <c r="T251">
        <v>2</v>
      </c>
      <c r="U251" t="s">
        <v>2317</v>
      </c>
      <c r="X251" t="s">
        <v>4051</v>
      </c>
      <c r="Z251">
        <v>2</v>
      </c>
    </row>
    <row r="252" spans="1:26" x14ac:dyDescent="0.25">
      <c r="A252" s="55" t="s">
        <v>4055</v>
      </c>
      <c r="B252" t="str">
        <f t="shared" si="3"/>
        <v>ТЦ_ 20.2.03.13__780601001_06.03.24_1</v>
      </c>
      <c r="C252" t="s">
        <v>4056</v>
      </c>
      <c r="D252" t="s">
        <v>4056</v>
      </c>
      <c r="E252" t="s">
        <v>29</v>
      </c>
      <c r="F252">
        <v>2</v>
      </c>
      <c r="G252">
        <f ca="1">G250+W250</f>
        <v>1849.5092</v>
      </c>
      <c r="H252">
        <f ca="1">G252/1.2</f>
        <v>1541.2576666666666</v>
      </c>
      <c r="L252">
        <f ca="1">H252+I252+K252</f>
        <v>1541.2576666666666</v>
      </c>
      <c r="O252" t="s">
        <v>39</v>
      </c>
      <c r="P252">
        <v>7806155468</v>
      </c>
      <c r="Q252">
        <v>780601001</v>
      </c>
      <c r="R252" t="s">
        <v>40</v>
      </c>
      <c r="S252" t="s">
        <v>41</v>
      </c>
      <c r="T252">
        <v>1</v>
      </c>
      <c r="U252" t="s">
        <v>2317</v>
      </c>
      <c r="X252" t="s">
        <v>4051</v>
      </c>
      <c r="Z252">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1125" workbookViewId="0">
      <selection activeCell="J1147" sqref="J1147"/>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65</v>
      </c>
      <c r="B1" s="38" t="s">
        <v>2418</v>
      </c>
    </row>
    <row r="2" spans="1:2" x14ac:dyDescent="0.2">
      <c r="A2" s="40" t="s">
        <v>2564</v>
      </c>
      <c r="B2" s="40">
        <v>19</v>
      </c>
    </row>
    <row r="3" spans="1:2" x14ac:dyDescent="0.2">
      <c r="A3" s="40" t="s">
        <v>2565</v>
      </c>
      <c r="B3" s="40">
        <v>19</v>
      </c>
    </row>
    <row r="4" spans="1:2" x14ac:dyDescent="0.2">
      <c r="A4" s="40" t="s">
        <v>3167</v>
      </c>
      <c r="B4" s="40">
        <v>56</v>
      </c>
    </row>
    <row r="5" spans="1:2" x14ac:dyDescent="0.2">
      <c r="A5" s="40" t="s">
        <v>2595</v>
      </c>
      <c r="B5" s="40">
        <v>23</v>
      </c>
    </row>
    <row r="6" spans="1:2" x14ac:dyDescent="0.2">
      <c r="A6" s="40" t="s">
        <v>2421</v>
      </c>
      <c r="B6" s="40">
        <v>2</v>
      </c>
    </row>
    <row r="7" spans="1:2" x14ac:dyDescent="0.2">
      <c r="A7" s="40" t="s">
        <v>2531</v>
      </c>
      <c r="B7" s="40">
        <v>16</v>
      </c>
    </row>
    <row r="8" spans="1:2" x14ac:dyDescent="0.2">
      <c r="A8" s="40" t="s">
        <v>2419</v>
      </c>
      <c r="B8" s="40">
        <v>1</v>
      </c>
    </row>
    <row r="9" spans="1:2" x14ac:dyDescent="0.2">
      <c r="A9" s="40" t="s">
        <v>2532</v>
      </c>
      <c r="B9" s="40">
        <v>16</v>
      </c>
    </row>
    <row r="10" spans="1:2" x14ac:dyDescent="0.2">
      <c r="A10" s="40" t="s">
        <v>3237</v>
      </c>
      <c r="B10" s="40">
        <v>61</v>
      </c>
    </row>
    <row r="11" spans="1:2" x14ac:dyDescent="0.2">
      <c r="A11" s="40" t="s">
        <v>2553</v>
      </c>
      <c r="B11" s="40">
        <v>17</v>
      </c>
    </row>
    <row r="12" spans="1:2" x14ac:dyDescent="0.2">
      <c r="A12" s="40" t="s">
        <v>3238</v>
      </c>
      <c r="B12" s="40">
        <v>61</v>
      </c>
    </row>
    <row r="13" spans="1:2" x14ac:dyDescent="0.2">
      <c r="A13" s="40" t="s">
        <v>2525</v>
      </c>
      <c r="B13" s="40">
        <v>15</v>
      </c>
    </row>
    <row r="14" spans="1:2" x14ac:dyDescent="0.2">
      <c r="A14" s="40" t="s">
        <v>3318</v>
      </c>
      <c r="B14" s="40">
        <v>66</v>
      </c>
    </row>
    <row r="15" spans="1:2" x14ac:dyDescent="0.2">
      <c r="A15" s="40" t="s">
        <v>2574</v>
      </c>
      <c r="B15" s="40">
        <v>21</v>
      </c>
    </row>
    <row r="16" spans="1:2" x14ac:dyDescent="0.2">
      <c r="A16" s="40" t="s">
        <v>2512</v>
      </c>
      <c r="B16" s="40">
        <v>14</v>
      </c>
    </row>
    <row r="17" spans="1:2" x14ac:dyDescent="0.2">
      <c r="A17" s="40" t="s">
        <v>2583</v>
      </c>
      <c r="B17" s="40">
        <v>22</v>
      </c>
    </row>
    <row r="18" spans="1:2" x14ac:dyDescent="0.2">
      <c r="A18" s="40" t="s">
        <v>2735</v>
      </c>
      <c r="B18" s="40">
        <v>33</v>
      </c>
    </row>
    <row r="19" spans="1:2" x14ac:dyDescent="0.2">
      <c r="A19" s="40" t="s">
        <v>3197</v>
      </c>
      <c r="B19" s="40">
        <v>59</v>
      </c>
    </row>
    <row r="20" spans="1:2" ht="25.5" x14ac:dyDescent="0.2">
      <c r="A20" s="40" t="s">
        <v>3303</v>
      </c>
      <c r="B20" s="40">
        <v>65</v>
      </c>
    </row>
    <row r="21" spans="1:2" x14ac:dyDescent="0.2">
      <c r="A21" s="40" t="s">
        <v>2709</v>
      </c>
      <c r="B21" s="40">
        <v>31</v>
      </c>
    </row>
    <row r="22" spans="1:2" x14ac:dyDescent="0.2">
      <c r="A22" s="40" t="s">
        <v>3415</v>
      </c>
      <c r="B22" s="40">
        <v>71</v>
      </c>
    </row>
    <row r="23" spans="1:2" x14ac:dyDescent="0.2">
      <c r="A23" s="40" t="s">
        <v>2824</v>
      </c>
      <c r="B23" s="40">
        <v>38</v>
      </c>
    </row>
    <row r="24" spans="1:2" x14ac:dyDescent="0.2">
      <c r="A24" s="40" t="s">
        <v>3534</v>
      </c>
      <c r="B24" s="40">
        <v>91</v>
      </c>
    </row>
    <row r="25" spans="1:2" x14ac:dyDescent="0.2">
      <c r="A25" s="40" t="s">
        <v>3535</v>
      </c>
      <c r="B25" s="40">
        <v>91</v>
      </c>
    </row>
    <row r="26" spans="1:2" x14ac:dyDescent="0.2">
      <c r="A26" s="40" t="s">
        <v>2533</v>
      </c>
      <c r="B26" s="40">
        <v>16</v>
      </c>
    </row>
    <row r="27" spans="1:2" x14ac:dyDescent="0.2">
      <c r="A27" s="40" t="s">
        <v>2675</v>
      </c>
      <c r="B27" s="40">
        <v>27</v>
      </c>
    </row>
    <row r="28" spans="1:2" x14ac:dyDescent="0.2">
      <c r="A28" s="40" t="s">
        <v>3523</v>
      </c>
      <c r="B28" s="40">
        <v>87</v>
      </c>
    </row>
    <row r="29" spans="1:2" x14ac:dyDescent="0.2">
      <c r="A29" s="40" t="s">
        <v>2596</v>
      </c>
      <c r="B29" s="40">
        <v>23</v>
      </c>
    </row>
    <row r="30" spans="1:2" x14ac:dyDescent="0.2">
      <c r="A30" s="40" t="s">
        <v>2825</v>
      </c>
      <c r="B30" s="40">
        <v>38</v>
      </c>
    </row>
    <row r="31" spans="1:2" x14ac:dyDescent="0.2">
      <c r="A31" s="40" t="s">
        <v>3386</v>
      </c>
      <c r="B31" s="40">
        <v>69</v>
      </c>
    </row>
    <row r="32" spans="1:2" x14ac:dyDescent="0.2">
      <c r="A32" s="40" t="s">
        <v>2897</v>
      </c>
      <c r="B32" s="40">
        <v>42</v>
      </c>
    </row>
    <row r="33" spans="1:2" x14ac:dyDescent="0.2">
      <c r="A33" s="40" t="s">
        <v>3304</v>
      </c>
      <c r="B33" s="40">
        <v>65</v>
      </c>
    </row>
    <row r="34" spans="1:2" x14ac:dyDescent="0.2">
      <c r="A34" s="40" t="s">
        <v>3089</v>
      </c>
      <c r="B34" s="40">
        <v>51</v>
      </c>
    </row>
    <row r="35" spans="1:2" x14ac:dyDescent="0.2">
      <c r="A35" s="40" t="s">
        <v>3002</v>
      </c>
      <c r="B35" s="40">
        <v>50</v>
      </c>
    </row>
    <row r="36" spans="1:2" x14ac:dyDescent="0.2">
      <c r="A36" s="40" t="s">
        <v>2597</v>
      </c>
      <c r="B36" s="40">
        <v>23</v>
      </c>
    </row>
    <row r="37" spans="1:2" x14ac:dyDescent="0.2">
      <c r="A37" s="40" t="s">
        <v>3319</v>
      </c>
      <c r="B37" s="40">
        <v>66</v>
      </c>
    </row>
    <row r="38" spans="1:2" x14ac:dyDescent="0.2">
      <c r="A38" s="40" t="s">
        <v>2569</v>
      </c>
      <c r="B38" s="40">
        <v>20</v>
      </c>
    </row>
    <row r="39" spans="1:2" x14ac:dyDescent="0.2">
      <c r="A39" s="40" t="s">
        <v>2505</v>
      </c>
      <c r="B39" s="40">
        <v>13</v>
      </c>
    </row>
    <row r="40" spans="1:2" x14ac:dyDescent="0.2">
      <c r="A40" s="40" t="s">
        <v>2526</v>
      </c>
      <c r="B40" s="40">
        <v>15</v>
      </c>
    </row>
    <row r="41" spans="1:2" x14ac:dyDescent="0.2">
      <c r="A41" s="40" t="s">
        <v>3107</v>
      </c>
      <c r="B41" s="40">
        <v>52</v>
      </c>
    </row>
    <row r="42" spans="1:2" x14ac:dyDescent="0.2">
      <c r="A42" s="40" t="s">
        <v>3283</v>
      </c>
      <c r="B42" s="40">
        <v>64</v>
      </c>
    </row>
    <row r="43" spans="1:2" x14ac:dyDescent="0.2">
      <c r="A43" s="40" t="s">
        <v>2598</v>
      </c>
      <c r="B43" s="40">
        <v>23</v>
      </c>
    </row>
    <row r="44" spans="1:2" x14ac:dyDescent="0.2">
      <c r="A44" s="40" t="s">
        <v>3536</v>
      </c>
      <c r="B44" s="40">
        <v>91</v>
      </c>
    </row>
    <row r="45" spans="1:2" x14ac:dyDescent="0.2">
      <c r="A45" s="40" t="s">
        <v>3537</v>
      </c>
      <c r="B45" s="40">
        <v>91</v>
      </c>
    </row>
    <row r="46" spans="1:2" x14ac:dyDescent="0.2">
      <c r="A46" s="40" t="s">
        <v>2644</v>
      </c>
      <c r="B46" s="40">
        <v>25</v>
      </c>
    </row>
    <row r="47" spans="1:2" x14ac:dyDescent="0.2">
      <c r="A47" s="40" t="s">
        <v>2534</v>
      </c>
      <c r="B47" s="40">
        <v>16</v>
      </c>
    </row>
    <row r="48" spans="1:2" x14ac:dyDescent="0.2">
      <c r="A48" s="40" t="s">
        <v>2645</v>
      </c>
      <c r="B48" s="40">
        <v>25</v>
      </c>
    </row>
    <row r="49" spans="1:2" x14ac:dyDescent="0.2">
      <c r="A49" s="40" t="s">
        <v>2621</v>
      </c>
      <c r="B49" s="40">
        <v>24</v>
      </c>
    </row>
    <row r="50" spans="1:2" x14ac:dyDescent="0.2">
      <c r="A50" s="40" t="s">
        <v>3320</v>
      </c>
      <c r="B50" s="40">
        <v>66</v>
      </c>
    </row>
    <row r="51" spans="1:2" x14ac:dyDescent="0.2">
      <c r="A51" s="40" t="s">
        <v>2690</v>
      </c>
      <c r="B51" s="40">
        <v>29</v>
      </c>
    </row>
    <row r="52" spans="1:2" x14ac:dyDescent="0.2">
      <c r="A52" s="40" t="s">
        <v>3321</v>
      </c>
      <c r="B52" s="40">
        <v>66</v>
      </c>
    </row>
    <row r="53" spans="1:2" x14ac:dyDescent="0.2">
      <c r="A53" s="40" t="s">
        <v>3409</v>
      </c>
      <c r="B53" s="40">
        <v>70</v>
      </c>
    </row>
    <row r="54" spans="1:2" x14ac:dyDescent="0.2">
      <c r="A54" s="40" t="s">
        <v>2702</v>
      </c>
      <c r="B54" s="40">
        <v>30</v>
      </c>
    </row>
    <row r="55" spans="1:2" x14ac:dyDescent="0.2">
      <c r="A55" s="40" t="s">
        <v>3284</v>
      </c>
      <c r="B55" s="40">
        <v>64</v>
      </c>
    </row>
    <row r="56" spans="1:2" x14ac:dyDescent="0.2">
      <c r="A56" s="40" t="s">
        <v>2703</v>
      </c>
      <c r="B56" s="40">
        <v>30</v>
      </c>
    </row>
    <row r="57" spans="1:2" x14ac:dyDescent="0.2">
      <c r="A57" s="40" t="s">
        <v>2704</v>
      </c>
      <c r="B57" s="40">
        <v>30</v>
      </c>
    </row>
    <row r="58" spans="1:2" x14ac:dyDescent="0.2">
      <c r="A58" s="40" t="s">
        <v>2622</v>
      </c>
      <c r="B58" s="40">
        <v>24</v>
      </c>
    </row>
    <row r="59" spans="1:2" x14ac:dyDescent="0.2">
      <c r="A59" s="40" t="s">
        <v>3444</v>
      </c>
      <c r="B59" s="40">
        <v>74</v>
      </c>
    </row>
    <row r="60" spans="1:2" x14ac:dyDescent="0.2">
      <c r="A60" s="40" t="s">
        <v>2776</v>
      </c>
      <c r="B60" s="40">
        <v>35</v>
      </c>
    </row>
    <row r="61" spans="1:2" x14ac:dyDescent="0.2">
      <c r="A61" s="40" t="s">
        <v>2442</v>
      </c>
      <c r="B61" s="40">
        <v>3</v>
      </c>
    </row>
    <row r="62" spans="1:2" x14ac:dyDescent="0.2">
      <c r="A62" s="40" t="s">
        <v>2535</v>
      </c>
      <c r="B62" s="40">
        <v>16</v>
      </c>
    </row>
    <row r="63" spans="1:2" x14ac:dyDescent="0.2">
      <c r="A63" s="40" t="s">
        <v>2847</v>
      </c>
      <c r="B63" s="40">
        <v>39</v>
      </c>
    </row>
    <row r="64" spans="1:2" x14ac:dyDescent="0.2">
      <c r="A64" s="40" t="s">
        <v>2826</v>
      </c>
      <c r="B64" s="40">
        <v>38</v>
      </c>
    </row>
    <row r="65" spans="1:2" x14ac:dyDescent="0.2">
      <c r="A65" s="40" t="s">
        <v>2422</v>
      </c>
      <c r="B65" s="40">
        <v>2</v>
      </c>
    </row>
    <row r="66" spans="1:2" x14ac:dyDescent="0.2">
      <c r="A66" s="40" t="s">
        <v>3445</v>
      </c>
      <c r="B66" s="40">
        <v>74</v>
      </c>
    </row>
    <row r="67" spans="1:2" x14ac:dyDescent="0.2">
      <c r="A67" s="40" t="s">
        <v>2463</v>
      </c>
      <c r="B67" s="40">
        <v>7</v>
      </c>
    </row>
    <row r="68" spans="1:2" x14ac:dyDescent="0.2">
      <c r="A68" s="40" t="s">
        <v>2869</v>
      </c>
      <c r="B68" s="40">
        <v>40</v>
      </c>
    </row>
    <row r="69" spans="1:2" x14ac:dyDescent="0.2">
      <c r="A69" s="40" t="s">
        <v>3285</v>
      </c>
      <c r="B69" s="40">
        <v>64</v>
      </c>
    </row>
    <row r="70" spans="1:2" x14ac:dyDescent="0.2">
      <c r="A70" s="40" t="s">
        <v>3108</v>
      </c>
      <c r="B70" s="40">
        <v>52</v>
      </c>
    </row>
    <row r="71" spans="1:2" x14ac:dyDescent="0.2">
      <c r="A71" s="40" t="s">
        <v>3003</v>
      </c>
      <c r="B71" s="40">
        <v>50</v>
      </c>
    </row>
    <row r="72" spans="1:2" x14ac:dyDescent="0.2">
      <c r="A72" s="40" t="s">
        <v>3286</v>
      </c>
      <c r="B72" s="40">
        <v>64</v>
      </c>
    </row>
    <row r="73" spans="1:2" x14ac:dyDescent="0.2">
      <c r="A73" s="40" t="s">
        <v>3474</v>
      </c>
      <c r="B73" s="40">
        <v>75</v>
      </c>
    </row>
    <row r="74" spans="1:2" x14ac:dyDescent="0.2">
      <c r="A74" s="40" t="s">
        <v>2848</v>
      </c>
      <c r="B74" s="40">
        <v>39</v>
      </c>
    </row>
    <row r="75" spans="1:2" x14ac:dyDescent="0.2">
      <c r="A75" s="40" t="s">
        <v>3146</v>
      </c>
      <c r="B75" s="40">
        <v>54</v>
      </c>
    </row>
    <row r="76" spans="1:2" x14ac:dyDescent="0.2">
      <c r="A76" s="40" t="s">
        <v>2584</v>
      </c>
      <c r="B76" s="40">
        <v>22</v>
      </c>
    </row>
    <row r="77" spans="1:2" x14ac:dyDescent="0.2">
      <c r="A77" s="40" t="s">
        <v>3438</v>
      </c>
      <c r="B77" s="40">
        <v>73</v>
      </c>
    </row>
    <row r="78" spans="1:2" x14ac:dyDescent="0.2">
      <c r="A78" s="40" t="s">
        <v>3239</v>
      </c>
      <c r="B78" s="40">
        <v>61</v>
      </c>
    </row>
    <row r="79" spans="1:2" x14ac:dyDescent="0.2">
      <c r="A79" s="40" t="s">
        <v>3538</v>
      </c>
      <c r="B79" s="40">
        <v>91</v>
      </c>
    </row>
    <row r="80" spans="1:2" x14ac:dyDescent="0.2">
      <c r="A80" s="40" t="s">
        <v>3387</v>
      </c>
      <c r="B80" s="40">
        <v>69</v>
      </c>
    </row>
    <row r="81" spans="1:2" x14ac:dyDescent="0.2">
      <c r="A81" s="40" t="s">
        <v>3240</v>
      </c>
      <c r="B81" s="40">
        <v>61</v>
      </c>
    </row>
    <row r="82" spans="1:2" x14ac:dyDescent="0.2">
      <c r="A82" s="40" t="s">
        <v>2916</v>
      </c>
      <c r="B82" s="40">
        <v>43</v>
      </c>
    </row>
    <row r="83" spans="1:2" x14ac:dyDescent="0.2">
      <c r="A83" s="40" t="s">
        <v>2710</v>
      </c>
      <c r="B83" s="40">
        <v>31</v>
      </c>
    </row>
    <row r="84" spans="1:2" x14ac:dyDescent="0.2">
      <c r="A84" s="40" t="s">
        <v>2423</v>
      </c>
      <c r="B84" s="40">
        <v>2</v>
      </c>
    </row>
    <row r="85" spans="1:2" x14ac:dyDescent="0.2">
      <c r="A85" s="40" t="s">
        <v>3416</v>
      </c>
      <c r="B85" s="40">
        <v>71</v>
      </c>
    </row>
    <row r="86" spans="1:2" x14ac:dyDescent="0.2">
      <c r="A86" s="40" t="s">
        <v>3186</v>
      </c>
      <c r="B86" s="40">
        <v>58</v>
      </c>
    </row>
    <row r="87" spans="1:2" x14ac:dyDescent="0.2">
      <c r="A87" s="40" t="s">
        <v>2898</v>
      </c>
      <c r="B87" s="40">
        <v>42</v>
      </c>
    </row>
    <row r="88" spans="1:2" x14ac:dyDescent="0.2">
      <c r="A88" s="40" t="s">
        <v>2682</v>
      </c>
      <c r="B88" s="40">
        <v>28</v>
      </c>
    </row>
    <row r="89" spans="1:2" x14ac:dyDescent="0.2">
      <c r="A89" s="40" t="s">
        <v>2682</v>
      </c>
      <c r="B89" s="40">
        <v>91</v>
      </c>
    </row>
    <row r="90" spans="1:2" x14ac:dyDescent="0.2">
      <c r="A90" s="40" t="s">
        <v>2777</v>
      </c>
      <c r="B90" s="40">
        <v>35</v>
      </c>
    </row>
    <row r="91" spans="1:2" x14ac:dyDescent="0.2">
      <c r="A91" s="40" t="s">
        <v>2585</v>
      </c>
      <c r="B91" s="40">
        <v>22</v>
      </c>
    </row>
    <row r="92" spans="1:2" x14ac:dyDescent="0.2">
      <c r="A92" s="40" t="s">
        <v>2478</v>
      </c>
      <c r="B92" s="40">
        <v>10</v>
      </c>
    </row>
    <row r="93" spans="1:2" x14ac:dyDescent="0.2">
      <c r="A93" s="40" t="s">
        <v>2424</v>
      </c>
      <c r="B93" s="40">
        <v>2</v>
      </c>
    </row>
    <row r="94" spans="1:2" x14ac:dyDescent="0.2">
      <c r="A94" s="40" t="s">
        <v>2599</v>
      </c>
      <c r="B94" s="40">
        <v>23</v>
      </c>
    </row>
    <row r="95" spans="1:2" x14ac:dyDescent="0.2">
      <c r="A95" s="40" t="s">
        <v>2870</v>
      </c>
      <c r="B95" s="40">
        <v>40</v>
      </c>
    </row>
    <row r="96" spans="1:2" x14ac:dyDescent="0.2">
      <c r="A96" s="40" t="s">
        <v>3508</v>
      </c>
      <c r="B96" s="40">
        <v>86</v>
      </c>
    </row>
    <row r="97" spans="1:2" x14ac:dyDescent="0.2">
      <c r="A97" s="40" t="s">
        <v>3388</v>
      </c>
      <c r="B97" s="40">
        <v>69</v>
      </c>
    </row>
    <row r="98" spans="1:2" x14ac:dyDescent="0.2">
      <c r="A98" s="40" t="s">
        <v>3147</v>
      </c>
      <c r="B98" s="40">
        <v>54</v>
      </c>
    </row>
    <row r="99" spans="1:2" x14ac:dyDescent="0.2">
      <c r="A99" s="40" t="s">
        <v>3198</v>
      </c>
      <c r="B99" s="40">
        <v>59</v>
      </c>
    </row>
    <row r="100" spans="1:2" x14ac:dyDescent="0.2">
      <c r="A100" s="40" t="s">
        <v>2899</v>
      </c>
      <c r="B100" s="40">
        <v>42</v>
      </c>
    </row>
    <row r="101" spans="1:2" x14ac:dyDescent="0.2">
      <c r="A101" s="40" t="s">
        <v>2899</v>
      </c>
      <c r="B101" s="40">
        <v>66</v>
      </c>
    </row>
    <row r="102" spans="1:2" x14ac:dyDescent="0.2">
      <c r="A102" s="40" t="s">
        <v>2527</v>
      </c>
      <c r="B102" s="40">
        <v>15</v>
      </c>
    </row>
    <row r="103" spans="1:2" x14ac:dyDescent="0.2">
      <c r="A103" s="40" t="s">
        <v>2586</v>
      </c>
      <c r="B103" s="40">
        <v>22</v>
      </c>
    </row>
    <row r="104" spans="1:2" x14ac:dyDescent="0.2">
      <c r="A104" s="40" t="s">
        <v>2676</v>
      </c>
      <c r="B104" s="40">
        <v>27</v>
      </c>
    </row>
    <row r="105" spans="1:2" x14ac:dyDescent="0.2">
      <c r="A105" s="40" t="s">
        <v>3524</v>
      </c>
      <c r="B105" s="40">
        <v>87</v>
      </c>
    </row>
    <row r="106" spans="1:2" x14ac:dyDescent="0.2">
      <c r="A106" s="40" t="s">
        <v>3505</v>
      </c>
      <c r="B106" s="40">
        <v>79</v>
      </c>
    </row>
    <row r="107" spans="1:2" x14ac:dyDescent="0.2">
      <c r="A107" s="40" t="s">
        <v>2425</v>
      </c>
      <c r="B107" s="40">
        <v>2</v>
      </c>
    </row>
    <row r="108" spans="1:2" x14ac:dyDescent="0.2">
      <c r="A108" s="40" t="s">
        <v>2827</v>
      </c>
      <c r="B108" s="40">
        <v>38</v>
      </c>
    </row>
    <row r="109" spans="1:2" x14ac:dyDescent="0.2">
      <c r="A109" s="40" t="s">
        <v>2711</v>
      </c>
      <c r="B109" s="40">
        <v>31</v>
      </c>
    </row>
    <row r="110" spans="1:2" x14ac:dyDescent="0.2">
      <c r="A110" s="40" t="s">
        <v>2426</v>
      </c>
      <c r="B110" s="40">
        <v>2</v>
      </c>
    </row>
    <row r="111" spans="1:2" x14ac:dyDescent="0.2">
      <c r="A111" s="40" t="s">
        <v>2426</v>
      </c>
      <c r="B111" s="40">
        <v>28</v>
      </c>
    </row>
    <row r="112" spans="1:2" x14ac:dyDescent="0.2">
      <c r="A112" s="40" t="s">
        <v>2656</v>
      </c>
      <c r="B112" s="40">
        <v>26</v>
      </c>
    </row>
    <row r="113" spans="1:2" x14ac:dyDescent="0.2">
      <c r="A113" s="40" t="s">
        <v>2791</v>
      </c>
      <c r="B113" s="40">
        <v>36</v>
      </c>
    </row>
    <row r="114" spans="1:2" x14ac:dyDescent="0.2">
      <c r="A114" s="40" t="s">
        <v>3322</v>
      </c>
      <c r="B114" s="40">
        <v>66</v>
      </c>
    </row>
    <row r="115" spans="1:2" x14ac:dyDescent="0.2">
      <c r="A115" s="40" t="s">
        <v>3417</v>
      </c>
      <c r="B115" s="40">
        <v>71</v>
      </c>
    </row>
    <row r="116" spans="1:2" x14ac:dyDescent="0.2">
      <c r="A116" s="40" t="s">
        <v>3109</v>
      </c>
      <c r="B116" s="40">
        <v>52</v>
      </c>
    </row>
    <row r="117" spans="1:2" x14ac:dyDescent="0.2">
      <c r="A117" s="40" t="s">
        <v>2623</v>
      </c>
      <c r="B117" s="40">
        <v>24</v>
      </c>
    </row>
    <row r="118" spans="1:2" x14ac:dyDescent="0.2">
      <c r="A118" s="40" t="s">
        <v>2792</v>
      </c>
      <c r="B118" s="40">
        <v>36</v>
      </c>
    </row>
    <row r="119" spans="1:2" x14ac:dyDescent="0.2">
      <c r="A119" s="40" t="s">
        <v>2828</v>
      </c>
      <c r="B119" s="40">
        <v>38</v>
      </c>
    </row>
    <row r="120" spans="1:2" x14ac:dyDescent="0.2">
      <c r="A120" s="40" t="s">
        <v>2962</v>
      </c>
      <c r="B120" s="40">
        <v>47</v>
      </c>
    </row>
    <row r="121" spans="1:2" x14ac:dyDescent="0.2">
      <c r="A121" s="40" t="s">
        <v>2536</v>
      </c>
      <c r="B121" s="40">
        <v>16</v>
      </c>
    </row>
    <row r="122" spans="1:2" x14ac:dyDescent="0.2">
      <c r="A122" s="40" t="s">
        <v>3389</v>
      </c>
      <c r="B122" s="40">
        <v>69</v>
      </c>
    </row>
    <row r="123" spans="1:2" x14ac:dyDescent="0.2">
      <c r="A123" s="40" t="s">
        <v>3148</v>
      </c>
      <c r="B123" s="40">
        <v>54</v>
      </c>
    </row>
    <row r="124" spans="1:2" x14ac:dyDescent="0.2">
      <c r="A124" s="40" t="s">
        <v>3418</v>
      </c>
      <c r="B124" s="40">
        <v>71</v>
      </c>
    </row>
    <row r="125" spans="1:2" x14ac:dyDescent="0.2">
      <c r="A125" s="40" t="s">
        <v>3179</v>
      </c>
      <c r="B125" s="40">
        <v>57</v>
      </c>
    </row>
    <row r="126" spans="1:2" x14ac:dyDescent="0.2">
      <c r="A126" s="40" t="s">
        <v>2646</v>
      </c>
      <c r="B126" s="40">
        <v>25</v>
      </c>
    </row>
    <row r="127" spans="1:2" x14ac:dyDescent="0.2">
      <c r="A127" s="40" t="s">
        <v>3110</v>
      </c>
      <c r="B127" s="40">
        <v>52</v>
      </c>
    </row>
    <row r="128" spans="1:2" x14ac:dyDescent="0.2">
      <c r="A128" s="40" t="s">
        <v>3475</v>
      </c>
      <c r="B128" s="40">
        <v>75</v>
      </c>
    </row>
    <row r="129" spans="1:2" x14ac:dyDescent="0.2">
      <c r="A129" s="40" t="s">
        <v>2793</v>
      </c>
      <c r="B129" s="40">
        <v>36</v>
      </c>
    </row>
    <row r="130" spans="1:2" x14ac:dyDescent="0.2">
      <c r="A130" s="40" t="s">
        <v>3135</v>
      </c>
      <c r="B130" s="40">
        <v>53</v>
      </c>
    </row>
    <row r="131" spans="1:2" x14ac:dyDescent="0.2">
      <c r="A131" s="40" t="s">
        <v>2871</v>
      </c>
      <c r="B131" s="40">
        <v>40</v>
      </c>
    </row>
    <row r="132" spans="1:2" x14ac:dyDescent="0.2">
      <c r="A132" s="40" t="s">
        <v>2872</v>
      </c>
      <c r="B132" s="40">
        <v>40</v>
      </c>
    </row>
    <row r="133" spans="1:2" x14ac:dyDescent="0.2">
      <c r="A133" s="40" t="s">
        <v>2624</v>
      </c>
      <c r="B133" s="40">
        <v>24</v>
      </c>
    </row>
    <row r="134" spans="1:2" x14ac:dyDescent="0.2">
      <c r="A134" s="40" t="s">
        <v>2829</v>
      </c>
      <c r="B134" s="40">
        <v>38</v>
      </c>
    </row>
    <row r="135" spans="1:2" x14ac:dyDescent="0.2">
      <c r="A135" s="40" t="s">
        <v>3004</v>
      </c>
      <c r="B135" s="40">
        <v>50</v>
      </c>
    </row>
    <row r="136" spans="1:2" x14ac:dyDescent="0.2">
      <c r="A136" s="40" t="s">
        <v>2720</v>
      </c>
      <c r="B136" s="40">
        <v>32</v>
      </c>
    </row>
    <row r="137" spans="1:2" x14ac:dyDescent="0.2">
      <c r="A137" s="40" t="s">
        <v>2537</v>
      </c>
      <c r="B137" s="40">
        <v>16</v>
      </c>
    </row>
    <row r="138" spans="1:2" x14ac:dyDescent="0.2">
      <c r="A138" s="40" t="s">
        <v>3168</v>
      </c>
      <c r="B138" s="40">
        <v>56</v>
      </c>
    </row>
    <row r="139" spans="1:2" x14ac:dyDescent="0.2">
      <c r="A139" s="40" t="s">
        <v>2657</v>
      </c>
      <c r="B139" s="40">
        <v>26</v>
      </c>
    </row>
    <row r="140" spans="1:2" x14ac:dyDescent="0.2">
      <c r="A140" s="40" t="s">
        <v>3169</v>
      </c>
      <c r="B140" s="40">
        <v>56</v>
      </c>
    </row>
    <row r="141" spans="1:2" x14ac:dyDescent="0.2">
      <c r="A141" s="40" t="s">
        <v>2538</v>
      </c>
      <c r="B141" s="40">
        <v>16</v>
      </c>
    </row>
    <row r="142" spans="1:2" x14ac:dyDescent="0.2">
      <c r="A142" s="40" t="s">
        <v>2932</v>
      </c>
      <c r="B142" s="40">
        <v>44</v>
      </c>
    </row>
    <row r="143" spans="1:2" x14ac:dyDescent="0.2">
      <c r="A143" s="40" t="s">
        <v>2449</v>
      </c>
      <c r="B143" s="40">
        <v>5</v>
      </c>
    </row>
    <row r="144" spans="1:2" x14ac:dyDescent="0.2">
      <c r="A144" s="40" t="s">
        <v>2794</v>
      </c>
      <c r="B144" s="40">
        <v>36</v>
      </c>
    </row>
    <row r="145" spans="1:2" x14ac:dyDescent="0.2">
      <c r="A145" s="40" t="s">
        <v>3136</v>
      </c>
      <c r="B145" s="40">
        <v>53</v>
      </c>
    </row>
    <row r="146" spans="1:2" x14ac:dyDescent="0.2">
      <c r="A146" s="40" t="s">
        <v>2712</v>
      </c>
      <c r="B146" s="40">
        <v>31</v>
      </c>
    </row>
    <row r="147" spans="1:2" x14ac:dyDescent="0.2">
      <c r="A147" s="40" t="s">
        <v>3363</v>
      </c>
      <c r="B147" s="40">
        <v>67</v>
      </c>
    </row>
    <row r="148" spans="1:2" x14ac:dyDescent="0.2">
      <c r="A148" s="40" t="s">
        <v>3222</v>
      </c>
      <c r="B148" s="40">
        <v>60</v>
      </c>
    </row>
    <row r="149" spans="1:2" x14ac:dyDescent="0.2">
      <c r="A149" s="40" t="s">
        <v>3223</v>
      </c>
      <c r="B149" s="40">
        <v>60</v>
      </c>
    </row>
    <row r="150" spans="1:2" x14ac:dyDescent="0.2">
      <c r="A150" s="40" t="s">
        <v>3137</v>
      </c>
      <c r="B150" s="40">
        <v>53</v>
      </c>
    </row>
    <row r="151" spans="1:2" x14ac:dyDescent="0.2">
      <c r="A151" s="40" t="s">
        <v>2778</v>
      </c>
      <c r="B151" s="40">
        <v>35</v>
      </c>
    </row>
    <row r="152" spans="1:2" x14ac:dyDescent="0.2">
      <c r="A152" s="40" t="s">
        <v>2691</v>
      </c>
      <c r="B152" s="40">
        <v>29</v>
      </c>
    </row>
    <row r="153" spans="1:2" x14ac:dyDescent="0.2">
      <c r="A153" s="40" t="s">
        <v>3419</v>
      </c>
      <c r="B153" s="40">
        <v>71</v>
      </c>
    </row>
    <row r="154" spans="1:2" x14ac:dyDescent="0.2">
      <c r="A154" s="40" t="s">
        <v>3199</v>
      </c>
      <c r="B154" s="40">
        <v>59</v>
      </c>
    </row>
    <row r="155" spans="1:2" x14ac:dyDescent="0.2">
      <c r="A155" s="40" t="s">
        <v>3005</v>
      </c>
      <c r="B155" s="40">
        <v>50</v>
      </c>
    </row>
    <row r="156" spans="1:2" x14ac:dyDescent="0.2">
      <c r="A156" s="40" t="s">
        <v>3446</v>
      </c>
      <c r="B156" s="40">
        <v>74</v>
      </c>
    </row>
    <row r="157" spans="1:2" x14ac:dyDescent="0.2">
      <c r="A157" s="40" t="s">
        <v>3323</v>
      </c>
      <c r="B157" s="40">
        <v>66</v>
      </c>
    </row>
    <row r="158" spans="1:2" x14ac:dyDescent="0.2">
      <c r="A158" s="40" t="s">
        <v>3447</v>
      </c>
      <c r="B158" s="40">
        <v>74</v>
      </c>
    </row>
    <row r="159" spans="1:2" x14ac:dyDescent="0.2">
      <c r="A159" s="40" t="s">
        <v>3324</v>
      </c>
      <c r="B159" s="40">
        <v>66</v>
      </c>
    </row>
    <row r="160" spans="1:2" x14ac:dyDescent="0.2">
      <c r="A160" s="40" t="s">
        <v>3325</v>
      </c>
      <c r="B160" s="40">
        <v>66</v>
      </c>
    </row>
    <row r="161" spans="1:2" x14ac:dyDescent="0.2">
      <c r="A161" s="40" t="s">
        <v>3326</v>
      </c>
      <c r="B161" s="40">
        <v>66</v>
      </c>
    </row>
    <row r="162" spans="1:2" x14ac:dyDescent="0.2">
      <c r="A162" s="40" t="s">
        <v>3327</v>
      </c>
      <c r="B162" s="40">
        <v>66</v>
      </c>
    </row>
    <row r="163" spans="1:2" x14ac:dyDescent="0.2">
      <c r="A163" s="40" t="s">
        <v>2513</v>
      </c>
      <c r="B163" s="40">
        <v>14</v>
      </c>
    </row>
    <row r="164" spans="1:2" x14ac:dyDescent="0.2">
      <c r="A164" s="40" t="s">
        <v>3390</v>
      </c>
      <c r="B164" s="40">
        <v>69</v>
      </c>
    </row>
    <row r="165" spans="1:2" x14ac:dyDescent="0.2">
      <c r="A165" s="40" t="s">
        <v>3111</v>
      </c>
      <c r="B165" s="40">
        <v>52</v>
      </c>
    </row>
    <row r="166" spans="1:2" x14ac:dyDescent="0.2">
      <c r="A166" s="40" t="s">
        <v>3006</v>
      </c>
      <c r="B166" s="40">
        <v>50</v>
      </c>
    </row>
    <row r="167" spans="1:2" x14ac:dyDescent="0.2">
      <c r="A167" s="40" t="s">
        <v>2514</v>
      </c>
      <c r="B167" s="40">
        <v>14</v>
      </c>
    </row>
    <row r="168" spans="1:2" x14ac:dyDescent="0.2">
      <c r="A168" s="40" t="s">
        <v>2894</v>
      </c>
      <c r="B168" s="40">
        <v>41</v>
      </c>
    </row>
    <row r="169" spans="1:2" x14ac:dyDescent="0.2">
      <c r="A169" s="40" t="s">
        <v>2830</v>
      </c>
      <c r="B169" s="40">
        <v>38</v>
      </c>
    </row>
    <row r="170" spans="1:2" x14ac:dyDescent="0.2">
      <c r="A170" s="40" t="s">
        <v>2807</v>
      </c>
      <c r="B170" s="40">
        <v>37</v>
      </c>
    </row>
    <row r="171" spans="1:2" x14ac:dyDescent="0.2">
      <c r="A171" s="40" t="s">
        <v>2647</v>
      </c>
      <c r="B171" s="40">
        <v>25</v>
      </c>
    </row>
    <row r="172" spans="1:2" x14ac:dyDescent="0.2">
      <c r="A172" s="40" t="s">
        <v>2528</v>
      </c>
      <c r="B172" s="40">
        <v>15</v>
      </c>
    </row>
    <row r="173" spans="1:2" x14ac:dyDescent="0.2">
      <c r="A173" s="40" t="s">
        <v>2736</v>
      </c>
      <c r="B173" s="40">
        <v>33</v>
      </c>
    </row>
    <row r="174" spans="1:2" x14ac:dyDescent="0.2">
      <c r="A174" s="40" t="s">
        <v>2758</v>
      </c>
      <c r="B174" s="40">
        <v>34</v>
      </c>
    </row>
    <row r="175" spans="1:2" x14ac:dyDescent="0.2">
      <c r="A175" s="40" t="s">
        <v>3241</v>
      </c>
      <c r="B175" s="40">
        <v>61</v>
      </c>
    </row>
    <row r="176" spans="1:2" x14ac:dyDescent="0.2">
      <c r="A176" s="40" t="s">
        <v>2933</v>
      </c>
      <c r="B176" s="40">
        <v>44</v>
      </c>
    </row>
    <row r="177" spans="1:2" x14ac:dyDescent="0.2">
      <c r="A177" s="40" t="s">
        <v>2501</v>
      </c>
      <c r="B177" s="40">
        <v>12</v>
      </c>
    </row>
    <row r="178" spans="1:2" x14ac:dyDescent="0.2">
      <c r="A178" s="40" t="s">
        <v>2759</v>
      </c>
      <c r="B178" s="40">
        <v>34</v>
      </c>
    </row>
    <row r="179" spans="1:2" x14ac:dyDescent="0.2">
      <c r="A179" s="40" t="s">
        <v>2779</v>
      </c>
      <c r="B179" s="40">
        <v>35</v>
      </c>
    </row>
    <row r="180" spans="1:2" x14ac:dyDescent="0.2">
      <c r="A180" s="40" t="s">
        <v>3112</v>
      </c>
      <c r="B180" s="40">
        <v>52</v>
      </c>
    </row>
    <row r="181" spans="1:2" x14ac:dyDescent="0.2">
      <c r="A181" s="40" t="s">
        <v>3007</v>
      </c>
      <c r="B181" s="40">
        <v>50</v>
      </c>
    </row>
    <row r="182" spans="1:2" x14ac:dyDescent="0.2">
      <c r="A182" s="40" t="s">
        <v>2963</v>
      </c>
      <c r="B182" s="40">
        <v>47</v>
      </c>
    </row>
    <row r="183" spans="1:2" x14ac:dyDescent="0.2">
      <c r="A183" s="40" t="s">
        <v>2964</v>
      </c>
      <c r="B183" s="40">
        <v>47</v>
      </c>
    </row>
    <row r="184" spans="1:2" x14ac:dyDescent="0.2">
      <c r="A184" s="40" t="s">
        <v>3328</v>
      </c>
      <c r="B184" s="40">
        <v>66</v>
      </c>
    </row>
    <row r="185" spans="1:2" x14ac:dyDescent="0.2">
      <c r="A185" s="40" t="s">
        <v>3287</v>
      </c>
      <c r="B185" s="40">
        <v>64</v>
      </c>
    </row>
    <row r="186" spans="1:2" x14ac:dyDescent="0.2">
      <c r="A186" s="40" t="s">
        <v>3288</v>
      </c>
      <c r="B186" s="40">
        <v>64</v>
      </c>
    </row>
    <row r="187" spans="1:2" x14ac:dyDescent="0.2">
      <c r="A187" s="40" t="s">
        <v>2491</v>
      </c>
      <c r="B187" s="40">
        <v>11</v>
      </c>
    </row>
    <row r="188" spans="1:2" x14ac:dyDescent="0.2">
      <c r="A188" s="40" t="s">
        <v>2795</v>
      </c>
      <c r="B188" s="40">
        <v>36</v>
      </c>
    </row>
    <row r="189" spans="1:2" x14ac:dyDescent="0.2">
      <c r="A189" s="40" t="s">
        <v>2796</v>
      </c>
      <c r="B189" s="40">
        <v>36</v>
      </c>
    </row>
    <row r="190" spans="1:2" x14ac:dyDescent="0.2">
      <c r="A190" s="40" t="s">
        <v>3113</v>
      </c>
      <c r="B190" s="40">
        <v>52</v>
      </c>
    </row>
    <row r="191" spans="1:2" x14ac:dyDescent="0.2">
      <c r="A191" s="40" t="s">
        <v>3008</v>
      </c>
      <c r="B191" s="40">
        <v>50</v>
      </c>
    </row>
    <row r="192" spans="1:2" x14ac:dyDescent="0.2">
      <c r="A192" s="40" t="s">
        <v>2558</v>
      </c>
      <c r="B192" s="40">
        <v>18</v>
      </c>
    </row>
    <row r="193" spans="1:2" x14ac:dyDescent="0.2">
      <c r="A193" s="40" t="s">
        <v>2965</v>
      </c>
      <c r="B193" s="40">
        <v>47</v>
      </c>
    </row>
    <row r="194" spans="1:2" x14ac:dyDescent="0.2">
      <c r="A194" s="40" t="s">
        <v>2492</v>
      </c>
      <c r="B194" s="40">
        <v>11</v>
      </c>
    </row>
    <row r="195" spans="1:2" x14ac:dyDescent="0.2">
      <c r="A195" s="40" t="s">
        <v>2966</v>
      </c>
      <c r="B195" s="40">
        <v>47</v>
      </c>
    </row>
    <row r="196" spans="1:2" x14ac:dyDescent="0.2">
      <c r="A196" s="40" t="s">
        <v>3114</v>
      </c>
      <c r="B196" s="40">
        <v>52</v>
      </c>
    </row>
    <row r="197" spans="1:2" x14ac:dyDescent="0.2">
      <c r="A197" s="40" t="s">
        <v>3009</v>
      </c>
      <c r="B197" s="40">
        <v>50</v>
      </c>
    </row>
    <row r="198" spans="1:2" x14ac:dyDescent="0.2">
      <c r="A198" s="40" t="s">
        <v>2967</v>
      </c>
      <c r="B198" s="40">
        <v>47</v>
      </c>
    </row>
    <row r="199" spans="1:2" x14ac:dyDescent="0.2">
      <c r="A199" s="40" t="s">
        <v>2780</v>
      </c>
      <c r="B199" s="40">
        <v>35</v>
      </c>
    </row>
    <row r="200" spans="1:2" x14ac:dyDescent="0.2">
      <c r="A200" s="40" t="s">
        <v>3391</v>
      </c>
      <c r="B200" s="40">
        <v>69</v>
      </c>
    </row>
    <row r="201" spans="1:2" x14ac:dyDescent="0.2">
      <c r="A201" s="40" t="s">
        <v>2677</v>
      </c>
      <c r="B201" s="40">
        <v>27</v>
      </c>
    </row>
    <row r="202" spans="1:2" x14ac:dyDescent="0.2">
      <c r="A202" s="40" t="s">
        <v>2737</v>
      </c>
      <c r="B202" s="40">
        <v>33</v>
      </c>
    </row>
    <row r="203" spans="1:2" x14ac:dyDescent="0.2">
      <c r="A203" s="40" t="s">
        <v>3364</v>
      </c>
      <c r="B203" s="40">
        <v>67</v>
      </c>
    </row>
    <row r="204" spans="1:2" x14ac:dyDescent="0.2">
      <c r="A204" s="40" t="s">
        <v>2917</v>
      </c>
      <c r="B204" s="40">
        <v>43</v>
      </c>
    </row>
    <row r="205" spans="1:2" x14ac:dyDescent="0.2">
      <c r="A205" s="40" t="s">
        <v>2808</v>
      </c>
      <c r="B205" s="40">
        <v>37</v>
      </c>
    </row>
    <row r="206" spans="1:2" x14ac:dyDescent="0.2">
      <c r="A206" s="40" t="s">
        <v>3484</v>
      </c>
      <c r="B206" s="40">
        <v>76</v>
      </c>
    </row>
    <row r="207" spans="1:2" x14ac:dyDescent="0.2">
      <c r="A207" s="40" t="s">
        <v>3365</v>
      </c>
      <c r="B207" s="40">
        <v>67</v>
      </c>
    </row>
    <row r="208" spans="1:2" x14ac:dyDescent="0.2">
      <c r="A208" s="40" t="s">
        <v>3090</v>
      </c>
      <c r="B208" s="40">
        <v>51</v>
      </c>
    </row>
    <row r="209" spans="1:2" x14ac:dyDescent="0.2">
      <c r="A209" s="40" t="s">
        <v>3170</v>
      </c>
      <c r="B209" s="40">
        <v>56</v>
      </c>
    </row>
    <row r="210" spans="1:2" x14ac:dyDescent="0.2">
      <c r="A210" s="40" t="s">
        <v>2934</v>
      </c>
      <c r="B210" s="40">
        <v>44</v>
      </c>
    </row>
    <row r="211" spans="1:2" x14ac:dyDescent="0.2">
      <c r="A211" s="40" t="s">
        <v>2968</v>
      </c>
      <c r="B211" s="40">
        <v>47</v>
      </c>
    </row>
    <row r="212" spans="1:2" x14ac:dyDescent="0.2">
      <c r="A212" s="40" t="s">
        <v>2849</v>
      </c>
      <c r="B212" s="40">
        <v>39</v>
      </c>
    </row>
    <row r="213" spans="1:2" x14ac:dyDescent="0.2">
      <c r="A213" s="40" t="s">
        <v>3224</v>
      </c>
      <c r="B213" s="40">
        <v>60</v>
      </c>
    </row>
    <row r="214" spans="1:2" x14ac:dyDescent="0.2">
      <c r="A214" s="40" t="s">
        <v>2600</v>
      </c>
      <c r="B214" s="40">
        <v>23</v>
      </c>
    </row>
    <row r="215" spans="1:2" x14ac:dyDescent="0.2">
      <c r="A215" s="40" t="s">
        <v>2658</v>
      </c>
      <c r="B215" s="40">
        <v>26</v>
      </c>
    </row>
    <row r="216" spans="1:2" x14ac:dyDescent="0.2">
      <c r="A216" s="40" t="s">
        <v>2559</v>
      </c>
      <c r="B216" s="40">
        <v>18</v>
      </c>
    </row>
    <row r="217" spans="1:2" x14ac:dyDescent="0.2">
      <c r="A217" s="40" t="s">
        <v>3010</v>
      </c>
      <c r="B217" s="40">
        <v>50</v>
      </c>
    </row>
    <row r="218" spans="1:2" x14ac:dyDescent="0.2">
      <c r="A218" s="40" t="s">
        <v>3115</v>
      </c>
      <c r="B218" s="40">
        <v>52</v>
      </c>
    </row>
    <row r="219" spans="1:2" x14ac:dyDescent="0.2">
      <c r="A219" s="40" t="s">
        <v>2448</v>
      </c>
      <c r="B219" s="40">
        <v>4</v>
      </c>
    </row>
    <row r="220" spans="1:2" x14ac:dyDescent="0.2">
      <c r="A220" s="40" t="s">
        <v>3200</v>
      </c>
      <c r="B220" s="40">
        <v>59</v>
      </c>
    </row>
    <row r="221" spans="1:2" x14ac:dyDescent="0.2">
      <c r="A221" s="40" t="s">
        <v>2587</v>
      </c>
      <c r="B221" s="40">
        <v>22</v>
      </c>
    </row>
    <row r="222" spans="1:2" x14ac:dyDescent="0.2">
      <c r="A222" s="40" t="s">
        <v>3116</v>
      </c>
      <c r="B222" s="40">
        <v>52</v>
      </c>
    </row>
    <row r="223" spans="1:2" x14ac:dyDescent="0.2">
      <c r="A223" s="40" t="s">
        <v>3187</v>
      </c>
      <c r="B223" s="40">
        <v>58</v>
      </c>
    </row>
    <row r="224" spans="1:2" x14ac:dyDescent="0.2">
      <c r="A224" s="40" t="s">
        <v>2471</v>
      </c>
      <c r="B224" s="40">
        <v>8</v>
      </c>
    </row>
    <row r="225" spans="1:2" ht="25.5" x14ac:dyDescent="0.2">
      <c r="A225" s="40" t="s">
        <v>3011</v>
      </c>
      <c r="B225" s="40">
        <v>50</v>
      </c>
    </row>
    <row r="226" spans="1:2" x14ac:dyDescent="0.2">
      <c r="A226" s="40" t="s">
        <v>2738</v>
      </c>
      <c r="B226" s="40">
        <v>33</v>
      </c>
    </row>
    <row r="227" spans="1:2" x14ac:dyDescent="0.2">
      <c r="A227" s="40" t="s">
        <v>2601</v>
      </c>
      <c r="B227" s="40">
        <v>23</v>
      </c>
    </row>
    <row r="228" spans="1:2" x14ac:dyDescent="0.2">
      <c r="A228" s="40" t="s">
        <v>2713</v>
      </c>
      <c r="B228" s="40">
        <v>31</v>
      </c>
    </row>
    <row r="229" spans="1:2" x14ac:dyDescent="0.2">
      <c r="A229" s="40" t="s">
        <v>3201</v>
      </c>
      <c r="B229" s="40">
        <v>59</v>
      </c>
    </row>
    <row r="230" spans="1:2" x14ac:dyDescent="0.2">
      <c r="A230" s="40" t="s">
        <v>2570</v>
      </c>
      <c r="B230" s="40">
        <v>20</v>
      </c>
    </row>
    <row r="231" spans="1:2" x14ac:dyDescent="0.2">
      <c r="A231" s="40" t="s">
        <v>2992</v>
      </c>
      <c r="B231" s="40">
        <v>48</v>
      </c>
    </row>
    <row r="232" spans="1:2" x14ac:dyDescent="0.2">
      <c r="A232" s="40" t="s">
        <v>2781</v>
      </c>
      <c r="B232" s="40">
        <v>35</v>
      </c>
    </row>
    <row r="233" spans="1:2" x14ac:dyDescent="0.2">
      <c r="A233" s="40" t="s">
        <v>3202</v>
      </c>
      <c r="B233" s="40">
        <v>59</v>
      </c>
    </row>
    <row r="234" spans="1:2" x14ac:dyDescent="0.2">
      <c r="A234" s="40" t="s">
        <v>2714</v>
      </c>
      <c r="B234" s="40">
        <v>31</v>
      </c>
    </row>
    <row r="235" spans="1:2" x14ac:dyDescent="0.2">
      <c r="A235" s="40" t="s">
        <v>3526</v>
      </c>
      <c r="B235" s="40">
        <v>89</v>
      </c>
    </row>
    <row r="236" spans="1:2" x14ac:dyDescent="0.2">
      <c r="A236" s="40" t="s">
        <v>2571</v>
      </c>
      <c r="B236" s="40">
        <v>20</v>
      </c>
    </row>
    <row r="237" spans="1:2" x14ac:dyDescent="0.2">
      <c r="A237" s="40" t="s">
        <v>3242</v>
      </c>
      <c r="B237" s="40">
        <v>61</v>
      </c>
    </row>
    <row r="238" spans="1:2" x14ac:dyDescent="0.2">
      <c r="A238" s="40" t="s">
        <v>2602</v>
      </c>
      <c r="B238" s="40">
        <v>23</v>
      </c>
    </row>
    <row r="239" spans="1:2" x14ac:dyDescent="0.2">
      <c r="A239" s="40" t="s">
        <v>2850</v>
      </c>
      <c r="B239" s="40">
        <v>39</v>
      </c>
    </row>
    <row r="240" spans="1:2" x14ac:dyDescent="0.2">
      <c r="A240" s="40" t="s">
        <v>2850</v>
      </c>
      <c r="B240" s="40">
        <v>42</v>
      </c>
    </row>
    <row r="241" spans="1:2" x14ac:dyDescent="0.2">
      <c r="A241" s="40" t="s">
        <v>2851</v>
      </c>
      <c r="B241" s="40">
        <v>39</v>
      </c>
    </row>
    <row r="242" spans="1:2" x14ac:dyDescent="0.2">
      <c r="A242" s="40" t="s">
        <v>2443</v>
      </c>
      <c r="B242" s="40">
        <v>3</v>
      </c>
    </row>
    <row r="243" spans="1:2" x14ac:dyDescent="0.2">
      <c r="A243" s="40" t="s">
        <v>2739</v>
      </c>
      <c r="B243" s="40">
        <v>33</v>
      </c>
    </row>
    <row r="244" spans="1:2" x14ac:dyDescent="0.2">
      <c r="A244" s="40" t="s">
        <v>2427</v>
      </c>
      <c r="B244" s="40">
        <v>2</v>
      </c>
    </row>
    <row r="245" spans="1:2" x14ac:dyDescent="0.2">
      <c r="A245" s="40" t="s">
        <v>2450</v>
      </c>
      <c r="B245" s="40">
        <v>5</v>
      </c>
    </row>
    <row r="246" spans="1:2" x14ac:dyDescent="0.2">
      <c r="A246" s="40" t="s">
        <v>2944</v>
      </c>
      <c r="B246" s="40">
        <v>45</v>
      </c>
    </row>
    <row r="247" spans="1:2" x14ac:dyDescent="0.2">
      <c r="A247" s="40" t="s">
        <v>2648</v>
      </c>
      <c r="B247" s="40">
        <v>25</v>
      </c>
    </row>
    <row r="248" spans="1:2" x14ac:dyDescent="0.2">
      <c r="A248" s="40" t="s">
        <v>2649</v>
      </c>
      <c r="B248" s="40">
        <v>25</v>
      </c>
    </row>
    <row r="249" spans="1:2" x14ac:dyDescent="0.2">
      <c r="A249" s="40" t="s">
        <v>3485</v>
      </c>
      <c r="B249" s="40">
        <v>76</v>
      </c>
    </row>
    <row r="250" spans="1:2" x14ac:dyDescent="0.2">
      <c r="A250" s="40" t="s">
        <v>2993</v>
      </c>
      <c r="B250" s="40">
        <v>48</v>
      </c>
    </row>
    <row r="251" spans="1:2" x14ac:dyDescent="0.2">
      <c r="A251" s="40" t="s">
        <v>3329</v>
      </c>
      <c r="B251" s="40">
        <v>66</v>
      </c>
    </row>
    <row r="252" spans="1:2" x14ac:dyDescent="0.2">
      <c r="A252" s="40" t="s">
        <v>3012</v>
      </c>
      <c r="B252" s="40">
        <v>50</v>
      </c>
    </row>
    <row r="253" spans="1:2" x14ac:dyDescent="0.2">
      <c r="A253" s="40" t="s">
        <v>3366</v>
      </c>
      <c r="B253" s="40">
        <v>67</v>
      </c>
    </row>
    <row r="254" spans="1:2" x14ac:dyDescent="0.2">
      <c r="A254" s="40" t="s">
        <v>2451</v>
      </c>
      <c r="B254" s="40">
        <v>5</v>
      </c>
    </row>
    <row r="255" spans="1:2" x14ac:dyDescent="0.2">
      <c r="A255" s="40" t="s">
        <v>3367</v>
      </c>
      <c r="B255" s="40">
        <v>67</v>
      </c>
    </row>
    <row r="256" spans="1:2" x14ac:dyDescent="0.2">
      <c r="A256" s="40" t="s">
        <v>3539</v>
      </c>
      <c r="B256" s="40">
        <v>91</v>
      </c>
    </row>
    <row r="257" spans="1:2" x14ac:dyDescent="0.2">
      <c r="A257" s="40" t="s">
        <v>3539</v>
      </c>
      <c r="B257" s="40">
        <v>91</v>
      </c>
    </row>
    <row r="258" spans="1:2" x14ac:dyDescent="0.2">
      <c r="A258" s="40" t="s">
        <v>3117</v>
      </c>
      <c r="B258" s="40">
        <v>52</v>
      </c>
    </row>
    <row r="259" spans="1:2" x14ac:dyDescent="0.2">
      <c r="A259" s="40" t="s">
        <v>3013</v>
      </c>
      <c r="B259" s="40">
        <v>50</v>
      </c>
    </row>
    <row r="260" spans="1:2" x14ac:dyDescent="0.2">
      <c r="A260" s="40" t="s">
        <v>2625</v>
      </c>
      <c r="B260" s="40">
        <v>24</v>
      </c>
    </row>
    <row r="261" spans="1:2" x14ac:dyDescent="0.2">
      <c r="A261" s="40" t="s">
        <v>2529</v>
      </c>
      <c r="B261" s="40">
        <v>15</v>
      </c>
    </row>
    <row r="262" spans="1:2" x14ac:dyDescent="0.2">
      <c r="A262" s="40" t="s">
        <v>3439</v>
      </c>
      <c r="B262" s="40">
        <v>73</v>
      </c>
    </row>
    <row r="263" spans="1:2" x14ac:dyDescent="0.2">
      <c r="A263" s="40" t="s">
        <v>2953</v>
      </c>
      <c r="B263" s="40">
        <v>46</v>
      </c>
    </row>
    <row r="264" spans="1:2" x14ac:dyDescent="0.2">
      <c r="A264" s="40" t="s">
        <v>3014</v>
      </c>
      <c r="B264" s="40">
        <v>50</v>
      </c>
    </row>
    <row r="265" spans="1:2" x14ac:dyDescent="0.2">
      <c r="A265" s="40" t="s">
        <v>3180</v>
      </c>
      <c r="B265" s="40">
        <v>57</v>
      </c>
    </row>
    <row r="266" spans="1:2" x14ac:dyDescent="0.2">
      <c r="A266" s="40" t="s">
        <v>3225</v>
      </c>
      <c r="B266" s="40">
        <v>60</v>
      </c>
    </row>
    <row r="267" spans="1:2" x14ac:dyDescent="0.2">
      <c r="A267" s="40" t="s">
        <v>3203</v>
      </c>
      <c r="B267" s="40">
        <v>59</v>
      </c>
    </row>
    <row r="268" spans="1:2" x14ac:dyDescent="0.2">
      <c r="A268" s="40" t="s">
        <v>3015</v>
      </c>
      <c r="B268" s="40">
        <v>50</v>
      </c>
    </row>
    <row r="269" spans="1:2" x14ac:dyDescent="0.2">
      <c r="A269" s="40" t="s">
        <v>3305</v>
      </c>
      <c r="B269" s="40">
        <v>65</v>
      </c>
    </row>
    <row r="270" spans="1:2" x14ac:dyDescent="0.2">
      <c r="A270" s="40" t="s">
        <v>3016</v>
      </c>
      <c r="B270" s="40">
        <v>50</v>
      </c>
    </row>
    <row r="271" spans="1:2" x14ac:dyDescent="0.2">
      <c r="A271" s="40" t="s">
        <v>3243</v>
      </c>
      <c r="B271" s="40">
        <v>61</v>
      </c>
    </row>
    <row r="272" spans="1:2" x14ac:dyDescent="0.2">
      <c r="A272" s="40" t="s">
        <v>3420</v>
      </c>
      <c r="B272" s="40">
        <v>71</v>
      </c>
    </row>
    <row r="273" spans="1:2" x14ac:dyDescent="0.2">
      <c r="A273" s="40" t="s">
        <v>3368</v>
      </c>
      <c r="B273" s="40">
        <v>67</v>
      </c>
    </row>
    <row r="274" spans="1:2" x14ac:dyDescent="0.2">
      <c r="A274" s="40" t="s">
        <v>3017</v>
      </c>
      <c r="B274" s="40">
        <v>50</v>
      </c>
    </row>
    <row r="275" spans="1:2" x14ac:dyDescent="0.2">
      <c r="A275" s="40" t="s">
        <v>3018</v>
      </c>
      <c r="B275" s="40">
        <v>50</v>
      </c>
    </row>
    <row r="276" spans="1:2" x14ac:dyDescent="0.2">
      <c r="A276" s="40" t="s">
        <v>2760</v>
      </c>
      <c r="B276" s="40">
        <v>34</v>
      </c>
    </row>
    <row r="277" spans="1:2" x14ac:dyDescent="0.2">
      <c r="A277" s="40" t="s">
        <v>2626</v>
      </c>
      <c r="B277" s="40">
        <v>24</v>
      </c>
    </row>
    <row r="278" spans="1:2" x14ac:dyDescent="0.2">
      <c r="A278" s="40" t="s">
        <v>3369</v>
      </c>
      <c r="B278" s="40">
        <v>67</v>
      </c>
    </row>
    <row r="279" spans="1:2" x14ac:dyDescent="0.2">
      <c r="A279" s="40" t="s">
        <v>2428</v>
      </c>
      <c r="B279" s="40">
        <v>2</v>
      </c>
    </row>
    <row r="280" spans="1:2" x14ac:dyDescent="0.2">
      <c r="A280" s="40" t="s">
        <v>2721</v>
      </c>
      <c r="B280" s="40">
        <v>32</v>
      </c>
    </row>
    <row r="281" spans="1:2" x14ac:dyDescent="0.2">
      <c r="A281" s="40" t="s">
        <v>3540</v>
      </c>
      <c r="B281" s="40">
        <v>91</v>
      </c>
    </row>
    <row r="282" spans="1:2" x14ac:dyDescent="0.2">
      <c r="A282" s="40" t="s">
        <v>3019</v>
      </c>
      <c r="B282" s="40">
        <v>50</v>
      </c>
    </row>
    <row r="283" spans="1:2" x14ac:dyDescent="0.2">
      <c r="A283" s="40" t="s">
        <v>2603</v>
      </c>
      <c r="B283" s="40">
        <v>23</v>
      </c>
    </row>
    <row r="284" spans="1:2" x14ac:dyDescent="0.2">
      <c r="A284" s="40" t="s">
        <v>3330</v>
      </c>
      <c r="B284" s="40">
        <v>66</v>
      </c>
    </row>
    <row r="285" spans="1:2" x14ac:dyDescent="0.2">
      <c r="A285" s="40" t="s">
        <v>2539</v>
      </c>
      <c r="B285" s="40">
        <v>16</v>
      </c>
    </row>
    <row r="286" spans="1:2" x14ac:dyDescent="0.2">
      <c r="A286" s="40" t="s">
        <v>2994</v>
      </c>
      <c r="B286" s="40">
        <v>48</v>
      </c>
    </row>
    <row r="287" spans="1:2" x14ac:dyDescent="0.2">
      <c r="A287" s="40" t="s">
        <v>2895</v>
      </c>
      <c r="B287" s="40">
        <v>41</v>
      </c>
    </row>
    <row r="288" spans="1:2" x14ac:dyDescent="0.2">
      <c r="A288" s="40" t="s">
        <v>3370</v>
      </c>
      <c r="B288" s="40">
        <v>67</v>
      </c>
    </row>
    <row r="289" spans="1:2" x14ac:dyDescent="0.2">
      <c r="A289" s="40" t="s">
        <v>3448</v>
      </c>
      <c r="B289" s="40">
        <v>74</v>
      </c>
    </row>
    <row r="290" spans="1:2" x14ac:dyDescent="0.2">
      <c r="A290" s="40" t="s">
        <v>2493</v>
      </c>
      <c r="B290" s="40">
        <v>11</v>
      </c>
    </row>
    <row r="291" spans="1:2" x14ac:dyDescent="0.2">
      <c r="A291" s="40" t="s">
        <v>2627</v>
      </c>
      <c r="B291" s="40">
        <v>24</v>
      </c>
    </row>
    <row r="292" spans="1:2" x14ac:dyDescent="0.2">
      <c r="A292" s="40" t="s">
        <v>2873</v>
      </c>
      <c r="B292" s="40">
        <v>40</v>
      </c>
    </row>
    <row r="293" spans="1:2" x14ac:dyDescent="0.2">
      <c r="A293" s="40" t="s">
        <v>3289</v>
      </c>
      <c r="B293" s="40">
        <v>64</v>
      </c>
    </row>
    <row r="294" spans="1:2" x14ac:dyDescent="0.2">
      <c r="A294" s="40" t="s">
        <v>2659</v>
      </c>
      <c r="B294" s="40">
        <v>26</v>
      </c>
    </row>
    <row r="295" spans="1:2" x14ac:dyDescent="0.2">
      <c r="A295" s="40" t="s">
        <v>3421</v>
      </c>
      <c r="B295" s="40">
        <v>71</v>
      </c>
    </row>
    <row r="296" spans="1:2" x14ac:dyDescent="0.2">
      <c r="A296" s="40" t="s">
        <v>2660</v>
      </c>
      <c r="B296" s="40">
        <v>26</v>
      </c>
    </row>
    <row r="297" spans="1:2" x14ac:dyDescent="0.2">
      <c r="A297" s="40" t="s">
        <v>2628</v>
      </c>
      <c r="B297" s="40">
        <v>24</v>
      </c>
    </row>
    <row r="298" spans="1:2" x14ac:dyDescent="0.2">
      <c r="A298" s="40" t="s">
        <v>2628</v>
      </c>
      <c r="B298" s="40">
        <v>46</v>
      </c>
    </row>
    <row r="299" spans="1:2" ht="25.5" x14ac:dyDescent="0.2">
      <c r="A299" s="40" t="s">
        <v>2831</v>
      </c>
      <c r="B299" s="40">
        <v>38</v>
      </c>
    </row>
    <row r="300" spans="1:2" x14ac:dyDescent="0.2">
      <c r="A300" s="40" t="s">
        <v>3020</v>
      </c>
      <c r="B300" s="40">
        <v>50</v>
      </c>
    </row>
    <row r="301" spans="1:2" x14ac:dyDescent="0.2">
      <c r="A301" s="40" t="s">
        <v>3378</v>
      </c>
      <c r="B301" s="40">
        <v>68</v>
      </c>
    </row>
    <row r="302" spans="1:2" x14ac:dyDescent="0.2">
      <c r="A302" s="40" t="s">
        <v>3272</v>
      </c>
      <c r="B302" s="40">
        <v>63</v>
      </c>
    </row>
    <row r="303" spans="1:2" x14ac:dyDescent="0.2">
      <c r="A303" s="40" t="s">
        <v>2874</v>
      </c>
      <c r="B303" s="40">
        <v>40</v>
      </c>
    </row>
    <row r="304" spans="1:2" x14ac:dyDescent="0.2">
      <c r="A304" s="40" t="s">
        <v>2761</v>
      </c>
      <c r="B304" s="40">
        <v>34</v>
      </c>
    </row>
    <row r="305" spans="1:2" x14ac:dyDescent="0.2">
      <c r="A305" s="40" t="s">
        <v>2875</v>
      </c>
      <c r="B305" s="40">
        <v>40</v>
      </c>
    </row>
    <row r="306" spans="1:2" x14ac:dyDescent="0.2">
      <c r="A306" s="40" t="s">
        <v>2722</v>
      </c>
      <c r="B306" s="40">
        <v>32</v>
      </c>
    </row>
    <row r="307" spans="1:2" x14ac:dyDescent="0.2">
      <c r="A307" s="40" t="s">
        <v>3021</v>
      </c>
      <c r="B307" s="40">
        <v>50</v>
      </c>
    </row>
    <row r="308" spans="1:2" x14ac:dyDescent="0.2">
      <c r="A308" s="40" t="s">
        <v>2683</v>
      </c>
      <c r="B308" s="40">
        <v>28</v>
      </c>
    </row>
    <row r="309" spans="1:2" x14ac:dyDescent="0.2">
      <c r="A309" s="40" t="s">
        <v>3433</v>
      </c>
      <c r="B309" s="40">
        <v>72</v>
      </c>
    </row>
    <row r="310" spans="1:2" x14ac:dyDescent="0.2">
      <c r="A310" s="40" t="s">
        <v>2809</v>
      </c>
      <c r="B310" s="40">
        <v>37</v>
      </c>
    </row>
    <row r="311" spans="1:2" x14ac:dyDescent="0.2">
      <c r="A311" s="40" t="s">
        <v>3118</v>
      </c>
      <c r="B311" s="40">
        <v>52</v>
      </c>
    </row>
    <row r="312" spans="1:2" x14ac:dyDescent="0.2">
      <c r="A312" s="40" t="s">
        <v>2995</v>
      </c>
      <c r="B312" s="40">
        <v>48</v>
      </c>
    </row>
    <row r="313" spans="1:2" x14ac:dyDescent="0.2">
      <c r="A313" s="40" t="s">
        <v>2540</v>
      </c>
      <c r="B313" s="40">
        <v>16</v>
      </c>
    </row>
    <row r="314" spans="1:2" x14ac:dyDescent="0.2">
      <c r="A314" s="40" t="s">
        <v>2444</v>
      </c>
      <c r="B314" s="40">
        <v>3</v>
      </c>
    </row>
    <row r="315" spans="1:2" x14ac:dyDescent="0.2">
      <c r="A315" s="40" t="s">
        <v>2629</v>
      </c>
      <c r="B315" s="40">
        <v>24</v>
      </c>
    </row>
    <row r="316" spans="1:2" x14ac:dyDescent="0.2">
      <c r="A316" s="40" t="s">
        <v>3091</v>
      </c>
      <c r="B316" s="40">
        <v>51</v>
      </c>
    </row>
    <row r="317" spans="1:2" x14ac:dyDescent="0.2">
      <c r="A317" s="40" t="s">
        <v>3392</v>
      </c>
      <c r="B317" s="40">
        <v>69</v>
      </c>
    </row>
    <row r="318" spans="1:2" x14ac:dyDescent="0.2">
      <c r="A318" s="40" t="s">
        <v>3092</v>
      </c>
      <c r="B318" s="40">
        <v>51</v>
      </c>
    </row>
    <row r="319" spans="1:2" x14ac:dyDescent="0.2">
      <c r="A319" s="40" t="s">
        <v>3022</v>
      </c>
      <c r="B319" s="40">
        <v>50</v>
      </c>
    </row>
    <row r="320" spans="1:2" x14ac:dyDescent="0.2">
      <c r="A320" s="40" t="s">
        <v>3188</v>
      </c>
      <c r="B320" s="40">
        <v>58</v>
      </c>
    </row>
    <row r="321" spans="1:2" x14ac:dyDescent="0.2">
      <c r="A321" s="40" t="s">
        <v>3188</v>
      </c>
      <c r="B321" s="40">
        <v>66</v>
      </c>
    </row>
    <row r="322" spans="1:2" x14ac:dyDescent="0.2">
      <c r="A322" s="40" t="s">
        <v>2588</v>
      </c>
      <c r="B322" s="40">
        <v>22</v>
      </c>
    </row>
    <row r="323" spans="1:2" x14ac:dyDescent="0.2">
      <c r="A323" s="40" t="s">
        <v>2502</v>
      </c>
      <c r="B323" s="40">
        <v>12</v>
      </c>
    </row>
    <row r="324" spans="1:2" x14ac:dyDescent="0.2">
      <c r="A324" s="40" t="s">
        <v>3023</v>
      </c>
      <c r="B324" s="40">
        <v>50</v>
      </c>
    </row>
    <row r="325" spans="1:2" x14ac:dyDescent="0.2">
      <c r="A325" s="40" t="s">
        <v>3244</v>
      </c>
      <c r="B325" s="40">
        <v>61</v>
      </c>
    </row>
    <row r="326" spans="1:2" x14ac:dyDescent="0.2">
      <c r="A326" s="40" t="s">
        <v>2630</v>
      </c>
      <c r="B326" s="40">
        <v>24</v>
      </c>
    </row>
    <row r="327" spans="1:2" x14ac:dyDescent="0.2">
      <c r="A327" s="40" t="s">
        <v>2630</v>
      </c>
      <c r="B327" s="40">
        <v>78</v>
      </c>
    </row>
    <row r="328" spans="1:2" x14ac:dyDescent="0.2">
      <c r="A328" s="40" t="s">
        <v>3495</v>
      </c>
      <c r="B328" s="40">
        <v>77</v>
      </c>
    </row>
    <row r="329" spans="1:2" x14ac:dyDescent="0.2">
      <c r="A329" s="40" t="s">
        <v>2852</v>
      </c>
      <c r="B329" s="40">
        <v>39</v>
      </c>
    </row>
    <row r="330" spans="1:2" x14ac:dyDescent="0.2">
      <c r="A330" s="40" t="s">
        <v>2541</v>
      </c>
      <c r="B330" s="40">
        <v>16</v>
      </c>
    </row>
    <row r="331" spans="1:2" x14ac:dyDescent="0.2">
      <c r="A331" s="40" t="s">
        <v>2661</v>
      </c>
      <c r="B331" s="40">
        <v>26</v>
      </c>
    </row>
    <row r="332" spans="1:2" x14ac:dyDescent="0.2">
      <c r="A332" s="40" t="s">
        <v>3245</v>
      </c>
      <c r="B332" s="40">
        <v>61</v>
      </c>
    </row>
    <row r="333" spans="1:2" x14ac:dyDescent="0.2">
      <c r="A333" s="40" t="s">
        <v>2684</v>
      </c>
      <c r="B333" s="40">
        <v>28</v>
      </c>
    </row>
    <row r="334" spans="1:2" x14ac:dyDescent="0.2">
      <c r="A334" s="40" t="s">
        <v>2832</v>
      </c>
      <c r="B334" s="40">
        <v>38</v>
      </c>
    </row>
    <row r="335" spans="1:2" x14ac:dyDescent="0.2">
      <c r="A335" s="40" t="s">
        <v>3449</v>
      </c>
      <c r="B335" s="40">
        <v>74</v>
      </c>
    </row>
    <row r="336" spans="1:2" x14ac:dyDescent="0.2">
      <c r="A336" s="40" t="s">
        <v>2723</v>
      </c>
      <c r="B336" s="40">
        <v>32</v>
      </c>
    </row>
    <row r="337" spans="1:2" x14ac:dyDescent="0.2">
      <c r="A337" s="40" t="s">
        <v>2589</v>
      </c>
      <c r="B337" s="40">
        <v>22</v>
      </c>
    </row>
    <row r="338" spans="1:2" x14ac:dyDescent="0.2">
      <c r="A338" s="40" t="s">
        <v>2705</v>
      </c>
      <c r="B338" s="40">
        <v>30</v>
      </c>
    </row>
    <row r="339" spans="1:2" x14ac:dyDescent="0.2">
      <c r="A339" s="40" t="s">
        <v>3393</v>
      </c>
      <c r="B339" s="40">
        <v>69</v>
      </c>
    </row>
    <row r="340" spans="1:2" x14ac:dyDescent="0.2">
      <c r="A340" s="40" t="s">
        <v>2918</v>
      </c>
      <c r="B340" s="40">
        <v>43</v>
      </c>
    </row>
    <row r="341" spans="1:2" x14ac:dyDescent="0.2">
      <c r="A341" s="40" t="s">
        <v>2969</v>
      </c>
      <c r="B341" s="40">
        <v>47</v>
      </c>
    </row>
    <row r="342" spans="1:2" x14ac:dyDescent="0.2">
      <c r="A342" s="40" t="s">
        <v>2810</v>
      </c>
      <c r="B342" s="40">
        <v>37</v>
      </c>
    </row>
    <row r="343" spans="1:2" x14ac:dyDescent="0.2">
      <c r="A343" s="40" t="s">
        <v>3024</v>
      </c>
      <c r="B343" s="40">
        <v>50</v>
      </c>
    </row>
    <row r="344" spans="1:2" x14ac:dyDescent="0.2">
      <c r="A344" s="40" t="s">
        <v>3331</v>
      </c>
      <c r="B344" s="40">
        <v>66</v>
      </c>
    </row>
    <row r="345" spans="1:2" x14ac:dyDescent="0.2">
      <c r="A345" s="40" t="s">
        <v>2631</v>
      </c>
      <c r="B345" s="40">
        <v>24</v>
      </c>
    </row>
    <row r="346" spans="1:2" x14ac:dyDescent="0.2">
      <c r="A346" s="40" t="s">
        <v>2560</v>
      </c>
      <c r="B346" s="40">
        <v>18</v>
      </c>
    </row>
    <row r="347" spans="1:2" x14ac:dyDescent="0.2">
      <c r="A347" s="40" t="s">
        <v>2452</v>
      </c>
      <c r="B347" s="40">
        <v>5</v>
      </c>
    </row>
    <row r="348" spans="1:2" x14ac:dyDescent="0.2">
      <c r="A348" s="40" t="s">
        <v>2662</v>
      </c>
      <c r="B348" s="40">
        <v>26</v>
      </c>
    </row>
    <row r="349" spans="1:2" x14ac:dyDescent="0.2">
      <c r="A349" s="40" t="s">
        <v>2632</v>
      </c>
      <c r="B349" s="40">
        <v>24</v>
      </c>
    </row>
    <row r="350" spans="1:2" x14ac:dyDescent="0.2">
      <c r="A350" s="40" t="s">
        <v>3440</v>
      </c>
      <c r="B350" s="40">
        <v>73</v>
      </c>
    </row>
    <row r="351" spans="1:2" x14ac:dyDescent="0.2">
      <c r="A351" s="40" t="s">
        <v>3551</v>
      </c>
      <c r="B351" s="40">
        <v>92</v>
      </c>
    </row>
    <row r="352" spans="1:2" x14ac:dyDescent="0.2">
      <c r="A352" s="40" t="s">
        <v>2506</v>
      </c>
      <c r="B352" s="40">
        <v>13</v>
      </c>
    </row>
    <row r="353" spans="1:2" x14ac:dyDescent="0.2">
      <c r="A353" s="40" t="s">
        <v>2494</v>
      </c>
      <c r="B353" s="40">
        <v>11</v>
      </c>
    </row>
    <row r="354" spans="1:2" x14ac:dyDescent="0.2">
      <c r="A354" s="40" t="s">
        <v>2663</v>
      </c>
      <c r="B354" s="40">
        <v>26</v>
      </c>
    </row>
    <row r="355" spans="1:2" x14ac:dyDescent="0.2">
      <c r="A355" s="40" t="s">
        <v>3332</v>
      </c>
      <c r="B355" s="40">
        <v>66</v>
      </c>
    </row>
    <row r="356" spans="1:2" x14ac:dyDescent="0.2">
      <c r="A356" s="40" t="s">
        <v>2833</v>
      </c>
      <c r="B356" s="40">
        <v>38</v>
      </c>
    </row>
    <row r="357" spans="1:2" x14ac:dyDescent="0.2">
      <c r="A357" s="40" t="s">
        <v>2834</v>
      </c>
      <c r="B357" s="40">
        <v>38</v>
      </c>
    </row>
    <row r="358" spans="1:2" x14ac:dyDescent="0.2">
      <c r="A358" s="40" t="s">
        <v>3161</v>
      </c>
      <c r="B358" s="40">
        <v>55</v>
      </c>
    </row>
    <row r="359" spans="1:2" x14ac:dyDescent="0.2">
      <c r="A359" s="40" t="s">
        <v>3149</v>
      </c>
      <c r="B359" s="40">
        <v>54</v>
      </c>
    </row>
    <row r="360" spans="1:2" x14ac:dyDescent="0.2">
      <c r="A360" s="40" t="s">
        <v>3025</v>
      </c>
      <c r="B360" s="40">
        <v>50</v>
      </c>
    </row>
    <row r="361" spans="1:2" x14ac:dyDescent="0.2">
      <c r="A361" s="40" t="s">
        <v>3026</v>
      </c>
      <c r="B361" s="40">
        <v>50</v>
      </c>
    </row>
    <row r="362" spans="1:2" x14ac:dyDescent="0.2">
      <c r="A362" s="40" t="s">
        <v>3434</v>
      </c>
      <c r="B362" s="40">
        <v>72</v>
      </c>
    </row>
    <row r="363" spans="1:2" x14ac:dyDescent="0.2">
      <c r="A363" s="40" t="s">
        <v>2429</v>
      </c>
      <c r="B363" s="40">
        <v>2</v>
      </c>
    </row>
    <row r="364" spans="1:2" x14ac:dyDescent="0.2">
      <c r="A364" s="40" t="s">
        <v>2503</v>
      </c>
      <c r="B364" s="40">
        <v>12</v>
      </c>
    </row>
    <row r="365" spans="1:2" x14ac:dyDescent="0.2">
      <c r="A365" s="40" t="s">
        <v>2782</v>
      </c>
      <c r="B365" s="40">
        <v>35</v>
      </c>
    </row>
    <row r="366" spans="1:2" x14ac:dyDescent="0.2">
      <c r="A366" s="40" t="s">
        <v>2542</v>
      </c>
      <c r="B366" s="40">
        <v>16</v>
      </c>
    </row>
    <row r="367" spans="1:2" x14ac:dyDescent="0.2">
      <c r="A367" s="40" t="s">
        <v>2797</v>
      </c>
      <c r="B367" s="40">
        <v>36</v>
      </c>
    </row>
    <row r="368" spans="1:2" x14ac:dyDescent="0.2">
      <c r="A368" s="40" t="s">
        <v>3162</v>
      </c>
      <c r="B368" s="40">
        <v>55</v>
      </c>
    </row>
    <row r="369" spans="1:2" x14ac:dyDescent="0.2">
      <c r="A369" s="40" t="s">
        <v>2762</v>
      </c>
      <c r="B369" s="40">
        <v>34</v>
      </c>
    </row>
    <row r="370" spans="1:2" x14ac:dyDescent="0.2">
      <c r="A370" s="40" t="s">
        <v>2853</v>
      </c>
      <c r="B370" s="40">
        <v>39</v>
      </c>
    </row>
    <row r="371" spans="1:2" x14ac:dyDescent="0.2">
      <c r="A371" s="40" t="s">
        <v>3290</v>
      </c>
      <c r="B371" s="40">
        <v>64</v>
      </c>
    </row>
    <row r="372" spans="1:2" x14ac:dyDescent="0.2">
      <c r="A372" s="40" t="s">
        <v>2900</v>
      </c>
      <c r="B372" s="40">
        <v>42</v>
      </c>
    </row>
    <row r="373" spans="1:2" x14ac:dyDescent="0.2">
      <c r="A373" s="40" t="s">
        <v>2876</v>
      </c>
      <c r="B373" s="40">
        <v>40</v>
      </c>
    </row>
    <row r="374" spans="1:2" x14ac:dyDescent="0.2">
      <c r="A374" s="40" t="s">
        <v>3394</v>
      </c>
      <c r="B374" s="40">
        <v>69</v>
      </c>
    </row>
    <row r="375" spans="1:2" x14ac:dyDescent="0.2">
      <c r="A375" s="40" t="s">
        <v>2561</v>
      </c>
      <c r="B375" s="40">
        <v>18</v>
      </c>
    </row>
    <row r="376" spans="1:2" x14ac:dyDescent="0.2">
      <c r="A376" s="40" t="s">
        <v>3189</v>
      </c>
      <c r="B376" s="40">
        <v>58</v>
      </c>
    </row>
    <row r="377" spans="1:2" x14ac:dyDescent="0.2">
      <c r="A377" s="40" t="s">
        <v>2970</v>
      </c>
      <c r="B377" s="40">
        <v>47</v>
      </c>
    </row>
    <row r="378" spans="1:2" x14ac:dyDescent="0.2">
      <c r="A378" s="40" t="s">
        <v>3333</v>
      </c>
      <c r="B378" s="40">
        <v>66</v>
      </c>
    </row>
    <row r="379" spans="1:2" ht="25.5" x14ac:dyDescent="0.2">
      <c r="A379" s="40" t="s">
        <v>3246</v>
      </c>
      <c r="B379" s="40">
        <v>61</v>
      </c>
    </row>
    <row r="380" spans="1:2" x14ac:dyDescent="0.2">
      <c r="A380" s="40" t="s">
        <v>2590</v>
      </c>
      <c r="B380" s="40">
        <v>22</v>
      </c>
    </row>
    <row r="381" spans="1:2" x14ac:dyDescent="0.2">
      <c r="A381" s="40" t="s">
        <v>2740</v>
      </c>
      <c r="B381" s="40">
        <v>33</v>
      </c>
    </row>
    <row r="382" spans="1:2" x14ac:dyDescent="0.2">
      <c r="A382" s="40" t="s">
        <v>2706</v>
      </c>
      <c r="B382" s="40">
        <v>30</v>
      </c>
    </row>
    <row r="383" spans="1:2" x14ac:dyDescent="0.2">
      <c r="A383" s="40" t="s">
        <v>2763</v>
      </c>
      <c r="B383" s="40">
        <v>34</v>
      </c>
    </row>
    <row r="384" spans="1:2" x14ac:dyDescent="0.2">
      <c r="A384" s="40" t="s">
        <v>3334</v>
      </c>
      <c r="B384" s="40">
        <v>66</v>
      </c>
    </row>
    <row r="385" spans="1:2" x14ac:dyDescent="0.2">
      <c r="A385" s="40" t="s">
        <v>2575</v>
      </c>
      <c r="B385" s="40">
        <v>21</v>
      </c>
    </row>
    <row r="386" spans="1:2" x14ac:dyDescent="0.2">
      <c r="A386" s="40" t="s">
        <v>3093</v>
      </c>
      <c r="B386" s="40">
        <v>51</v>
      </c>
    </row>
    <row r="387" spans="1:2" x14ac:dyDescent="0.2">
      <c r="A387" s="40" t="s">
        <v>2633</v>
      </c>
      <c r="B387" s="40">
        <v>24</v>
      </c>
    </row>
    <row r="388" spans="1:2" x14ac:dyDescent="0.2">
      <c r="A388" s="40" t="s">
        <v>2741</v>
      </c>
      <c r="B388" s="40">
        <v>33</v>
      </c>
    </row>
    <row r="389" spans="1:2" x14ac:dyDescent="0.2">
      <c r="A389" s="40" t="s">
        <v>3450</v>
      </c>
      <c r="B389" s="40">
        <v>74</v>
      </c>
    </row>
    <row r="390" spans="1:2" x14ac:dyDescent="0.2">
      <c r="A390" s="40" t="s">
        <v>2459</v>
      </c>
      <c r="B390" s="40">
        <v>6</v>
      </c>
    </row>
    <row r="391" spans="1:2" x14ac:dyDescent="0.2">
      <c r="A391" s="40" t="s">
        <v>3150</v>
      </c>
      <c r="B391" s="40">
        <v>54</v>
      </c>
    </row>
    <row r="392" spans="1:2" x14ac:dyDescent="0.2">
      <c r="A392" s="40" t="s">
        <v>2474</v>
      </c>
      <c r="B392" s="40">
        <v>9</v>
      </c>
    </row>
    <row r="393" spans="1:2" x14ac:dyDescent="0.2">
      <c r="A393" s="40" t="s">
        <v>2724</v>
      </c>
      <c r="B393" s="40">
        <v>32</v>
      </c>
    </row>
    <row r="394" spans="1:2" x14ac:dyDescent="0.2">
      <c r="A394" s="40" t="s">
        <v>3151</v>
      </c>
      <c r="B394" s="40">
        <v>54</v>
      </c>
    </row>
    <row r="395" spans="1:2" x14ac:dyDescent="0.2">
      <c r="A395" s="40" t="s">
        <v>2692</v>
      </c>
      <c r="B395" s="40">
        <v>29</v>
      </c>
    </row>
    <row r="396" spans="1:2" x14ac:dyDescent="0.2">
      <c r="A396" s="40" t="s">
        <v>3335</v>
      </c>
      <c r="B396" s="40">
        <v>66</v>
      </c>
    </row>
    <row r="397" spans="1:2" x14ac:dyDescent="0.2">
      <c r="A397" s="40" t="s">
        <v>3451</v>
      </c>
      <c r="B397" s="40">
        <v>74</v>
      </c>
    </row>
    <row r="398" spans="1:2" x14ac:dyDescent="0.2">
      <c r="A398" s="40" t="s">
        <v>3260</v>
      </c>
      <c r="B398" s="40">
        <v>62</v>
      </c>
    </row>
    <row r="399" spans="1:2" x14ac:dyDescent="0.2">
      <c r="A399" s="40" t="s">
        <v>3452</v>
      </c>
      <c r="B399" s="40">
        <v>74</v>
      </c>
    </row>
    <row r="400" spans="1:2" x14ac:dyDescent="0.2">
      <c r="A400" s="40" t="s">
        <v>2453</v>
      </c>
      <c r="B400" s="40">
        <v>5</v>
      </c>
    </row>
    <row r="401" spans="1:2" x14ac:dyDescent="0.2">
      <c r="A401" s="40" t="s">
        <v>3453</v>
      </c>
      <c r="B401" s="40">
        <v>74</v>
      </c>
    </row>
    <row r="402" spans="1:2" x14ac:dyDescent="0.2">
      <c r="A402" s="40" t="s">
        <v>2945</v>
      </c>
      <c r="B402" s="40">
        <v>45</v>
      </c>
    </row>
    <row r="403" spans="1:2" x14ac:dyDescent="0.2">
      <c r="A403" s="40" t="s">
        <v>3336</v>
      </c>
      <c r="B403" s="40">
        <v>66</v>
      </c>
    </row>
    <row r="404" spans="1:2" x14ac:dyDescent="0.2">
      <c r="A404" s="40" t="s">
        <v>3395</v>
      </c>
      <c r="B404" s="40">
        <v>69</v>
      </c>
    </row>
    <row r="405" spans="1:2" x14ac:dyDescent="0.2">
      <c r="A405" s="40" t="s">
        <v>3027</v>
      </c>
      <c r="B405" s="40">
        <v>50</v>
      </c>
    </row>
    <row r="406" spans="1:2" x14ac:dyDescent="0.2">
      <c r="A406" s="40" t="s">
        <v>3028</v>
      </c>
      <c r="B406" s="40">
        <v>50</v>
      </c>
    </row>
    <row r="407" spans="1:2" x14ac:dyDescent="0.2">
      <c r="A407" s="40" t="s">
        <v>3410</v>
      </c>
      <c r="B407" s="40">
        <v>70</v>
      </c>
    </row>
    <row r="408" spans="1:2" x14ac:dyDescent="0.2">
      <c r="A408" s="40" t="s">
        <v>2901</v>
      </c>
      <c r="B408" s="40">
        <v>42</v>
      </c>
    </row>
    <row r="409" spans="1:2" x14ac:dyDescent="0.2">
      <c r="A409" s="40" t="s">
        <v>2479</v>
      </c>
      <c r="B409" s="40">
        <v>10</v>
      </c>
    </row>
    <row r="410" spans="1:2" x14ac:dyDescent="0.2">
      <c r="A410" s="40" t="s">
        <v>3541</v>
      </c>
      <c r="B410" s="40">
        <v>91</v>
      </c>
    </row>
    <row r="411" spans="1:2" x14ac:dyDescent="0.2">
      <c r="A411" s="40" t="s">
        <v>3204</v>
      </c>
      <c r="B411" s="40">
        <v>59</v>
      </c>
    </row>
    <row r="412" spans="1:2" x14ac:dyDescent="0.2">
      <c r="A412" s="40" t="s">
        <v>2454</v>
      </c>
      <c r="B412" s="40">
        <v>5</v>
      </c>
    </row>
    <row r="413" spans="1:2" x14ac:dyDescent="0.2">
      <c r="A413" s="40" t="s">
        <v>2455</v>
      </c>
      <c r="B413" s="40">
        <v>5</v>
      </c>
    </row>
    <row r="414" spans="1:2" x14ac:dyDescent="0.2">
      <c r="A414" s="40" t="s">
        <v>3422</v>
      </c>
      <c r="B414" s="40">
        <v>71</v>
      </c>
    </row>
    <row r="415" spans="1:2" x14ac:dyDescent="0.2">
      <c r="A415" s="40" t="s">
        <v>3396</v>
      </c>
      <c r="B415" s="40">
        <v>69</v>
      </c>
    </row>
    <row r="416" spans="1:2" x14ac:dyDescent="0.2">
      <c r="A416" s="40" t="s">
        <v>2971</v>
      </c>
      <c r="B416" s="40">
        <v>47</v>
      </c>
    </row>
    <row r="417" spans="1:2" x14ac:dyDescent="0.2">
      <c r="A417" s="40" t="s">
        <v>3273</v>
      </c>
      <c r="B417" s="40">
        <v>63</v>
      </c>
    </row>
    <row r="418" spans="1:2" x14ac:dyDescent="0.2">
      <c r="A418" s="40" t="s">
        <v>2811</v>
      </c>
      <c r="B418" s="40">
        <v>37</v>
      </c>
    </row>
    <row r="419" spans="1:2" x14ac:dyDescent="0.2">
      <c r="A419" s="40" t="s">
        <v>3423</v>
      </c>
      <c r="B419" s="40">
        <v>71</v>
      </c>
    </row>
    <row r="420" spans="1:2" x14ac:dyDescent="0.2">
      <c r="A420" s="40" t="s">
        <v>2835</v>
      </c>
      <c r="B420" s="40">
        <v>38</v>
      </c>
    </row>
    <row r="421" spans="1:2" x14ac:dyDescent="0.2">
      <c r="A421" s="40" t="s">
        <v>2742</v>
      </c>
      <c r="B421" s="40">
        <v>33</v>
      </c>
    </row>
    <row r="422" spans="1:2" x14ac:dyDescent="0.2">
      <c r="A422" s="40" t="s">
        <v>2783</v>
      </c>
      <c r="B422" s="40">
        <v>35</v>
      </c>
    </row>
    <row r="423" spans="1:2" x14ac:dyDescent="0.2">
      <c r="A423" s="40" t="s">
        <v>2972</v>
      </c>
      <c r="B423" s="40">
        <v>47</v>
      </c>
    </row>
    <row r="424" spans="1:2" x14ac:dyDescent="0.2">
      <c r="A424" s="40" t="s">
        <v>2877</v>
      </c>
      <c r="B424" s="40">
        <v>40</v>
      </c>
    </row>
    <row r="425" spans="1:2" x14ac:dyDescent="0.2">
      <c r="A425" s="40" t="s">
        <v>2877</v>
      </c>
      <c r="B425" s="40">
        <v>43</v>
      </c>
    </row>
    <row r="426" spans="1:2" x14ac:dyDescent="0.2">
      <c r="A426" s="40" t="s">
        <v>3337</v>
      </c>
      <c r="B426" s="40">
        <v>66</v>
      </c>
    </row>
    <row r="427" spans="1:2" x14ac:dyDescent="0.2">
      <c r="A427" s="40" t="s">
        <v>2919</v>
      </c>
      <c r="B427" s="40">
        <v>43</v>
      </c>
    </row>
    <row r="428" spans="1:2" x14ac:dyDescent="0.2">
      <c r="A428" s="40" t="s">
        <v>2973</v>
      </c>
      <c r="B428" s="40">
        <v>47</v>
      </c>
    </row>
    <row r="429" spans="1:2" x14ac:dyDescent="0.2">
      <c r="A429" s="40" t="s">
        <v>2973</v>
      </c>
      <c r="B429" s="40">
        <v>51</v>
      </c>
    </row>
    <row r="430" spans="1:2" x14ac:dyDescent="0.2">
      <c r="A430" s="40" t="s">
        <v>2920</v>
      </c>
      <c r="B430" s="40">
        <v>43</v>
      </c>
    </row>
    <row r="431" spans="1:2" x14ac:dyDescent="0.2">
      <c r="A431" s="40" t="s">
        <v>3379</v>
      </c>
      <c r="B431" s="40">
        <v>68</v>
      </c>
    </row>
    <row r="432" spans="1:2" x14ac:dyDescent="0.2">
      <c r="A432" s="40" t="s">
        <v>2902</v>
      </c>
      <c r="B432" s="40">
        <v>42</v>
      </c>
    </row>
    <row r="433" spans="1:2" x14ac:dyDescent="0.2">
      <c r="A433" s="40" t="s">
        <v>2664</v>
      </c>
      <c r="B433" s="40">
        <v>26</v>
      </c>
    </row>
    <row r="434" spans="1:2" x14ac:dyDescent="0.2">
      <c r="A434" s="40" t="s">
        <v>3029</v>
      </c>
      <c r="B434" s="40">
        <v>50</v>
      </c>
    </row>
    <row r="435" spans="1:2" x14ac:dyDescent="0.2">
      <c r="A435" s="40" t="s">
        <v>3030</v>
      </c>
      <c r="B435" s="40">
        <v>50</v>
      </c>
    </row>
    <row r="436" spans="1:2" x14ac:dyDescent="0.2">
      <c r="A436" s="40" t="s">
        <v>2725</v>
      </c>
      <c r="B436" s="40">
        <v>32</v>
      </c>
    </row>
    <row r="437" spans="1:2" x14ac:dyDescent="0.2">
      <c r="A437" s="40" t="s">
        <v>3119</v>
      </c>
      <c r="B437" s="40">
        <v>52</v>
      </c>
    </row>
    <row r="438" spans="1:2" x14ac:dyDescent="0.2">
      <c r="A438" s="40" t="s">
        <v>3094</v>
      </c>
      <c r="B438" s="40">
        <v>51</v>
      </c>
    </row>
    <row r="439" spans="1:2" x14ac:dyDescent="0.2">
      <c r="A439" s="40" t="s">
        <v>2743</v>
      </c>
      <c r="B439" s="40">
        <v>33</v>
      </c>
    </row>
    <row r="440" spans="1:2" x14ac:dyDescent="0.2">
      <c r="A440" s="40" t="s">
        <v>2507</v>
      </c>
      <c r="B440" s="40">
        <v>13</v>
      </c>
    </row>
    <row r="441" spans="1:2" x14ac:dyDescent="0.2">
      <c r="A441" s="40" t="s">
        <v>3509</v>
      </c>
      <c r="B441" s="40">
        <v>86</v>
      </c>
    </row>
    <row r="442" spans="1:2" x14ac:dyDescent="0.2">
      <c r="A442" s="40" t="s">
        <v>2634</v>
      </c>
      <c r="B442" s="40">
        <v>24</v>
      </c>
    </row>
    <row r="443" spans="1:2" x14ac:dyDescent="0.2">
      <c r="A443" s="40" t="s">
        <v>2878</v>
      </c>
      <c r="B443" s="40">
        <v>40</v>
      </c>
    </row>
    <row r="444" spans="1:2" x14ac:dyDescent="0.2">
      <c r="A444" s="40" t="s">
        <v>2576</v>
      </c>
      <c r="B444" s="40">
        <v>21</v>
      </c>
    </row>
    <row r="445" spans="1:2" x14ac:dyDescent="0.2">
      <c r="A445" s="40" t="s">
        <v>2504</v>
      </c>
      <c r="B445" s="40">
        <v>12</v>
      </c>
    </row>
    <row r="446" spans="1:2" x14ac:dyDescent="0.2">
      <c r="A446" s="40" t="s">
        <v>3095</v>
      </c>
      <c r="B446" s="40">
        <v>51</v>
      </c>
    </row>
    <row r="447" spans="1:2" x14ac:dyDescent="0.2">
      <c r="A447" s="40" t="s">
        <v>2935</v>
      </c>
      <c r="B447" s="40">
        <v>44</v>
      </c>
    </row>
    <row r="448" spans="1:2" x14ac:dyDescent="0.2">
      <c r="A448" s="40" t="s">
        <v>3031</v>
      </c>
      <c r="B448" s="40">
        <v>50</v>
      </c>
    </row>
    <row r="449" spans="1:2" x14ac:dyDescent="0.2">
      <c r="A449" s="40" t="s">
        <v>3411</v>
      </c>
      <c r="B449" s="40">
        <v>70</v>
      </c>
    </row>
    <row r="450" spans="1:2" x14ac:dyDescent="0.2">
      <c r="A450" s="40" t="s">
        <v>3498</v>
      </c>
      <c r="B450" s="40">
        <v>78</v>
      </c>
    </row>
    <row r="451" spans="1:2" x14ac:dyDescent="0.2">
      <c r="A451" s="40" t="s">
        <v>2744</v>
      </c>
      <c r="B451" s="40">
        <v>33</v>
      </c>
    </row>
    <row r="452" spans="1:2" x14ac:dyDescent="0.2">
      <c r="A452" s="40" t="s">
        <v>2974</v>
      </c>
      <c r="B452" s="40">
        <v>47</v>
      </c>
    </row>
    <row r="453" spans="1:2" x14ac:dyDescent="0.2">
      <c r="A453" s="40" t="s">
        <v>2812</v>
      </c>
      <c r="B453" s="40">
        <v>37</v>
      </c>
    </row>
    <row r="454" spans="1:2" ht="25.5" x14ac:dyDescent="0.2">
      <c r="A454" s="40" t="s">
        <v>2678</v>
      </c>
      <c r="B454" s="40">
        <v>27</v>
      </c>
    </row>
    <row r="455" spans="1:2" x14ac:dyDescent="0.2">
      <c r="A455" s="40" t="s">
        <v>3397</v>
      </c>
      <c r="B455" s="40">
        <v>69</v>
      </c>
    </row>
    <row r="456" spans="1:2" x14ac:dyDescent="0.2">
      <c r="A456" s="40" t="s">
        <v>2480</v>
      </c>
      <c r="B456" s="40">
        <v>10</v>
      </c>
    </row>
    <row r="457" spans="1:2" x14ac:dyDescent="0.2">
      <c r="A457" s="40" t="s">
        <v>2879</v>
      </c>
      <c r="B457" s="40">
        <v>40</v>
      </c>
    </row>
    <row r="458" spans="1:2" x14ac:dyDescent="0.2">
      <c r="A458" s="40" t="s">
        <v>3247</v>
      </c>
      <c r="B458" s="40">
        <v>61</v>
      </c>
    </row>
    <row r="459" spans="1:2" x14ac:dyDescent="0.2">
      <c r="A459" s="40" t="s">
        <v>3454</v>
      </c>
      <c r="B459" s="40">
        <v>74</v>
      </c>
    </row>
    <row r="460" spans="1:2" x14ac:dyDescent="0.2">
      <c r="A460" s="40" t="s">
        <v>3261</v>
      </c>
      <c r="B460" s="40">
        <v>62</v>
      </c>
    </row>
    <row r="461" spans="1:2" x14ac:dyDescent="0.2">
      <c r="A461" s="40" t="s">
        <v>2604</v>
      </c>
      <c r="B461" s="40">
        <v>23</v>
      </c>
    </row>
    <row r="462" spans="1:2" x14ac:dyDescent="0.2">
      <c r="A462" s="40" t="s">
        <v>3455</v>
      </c>
      <c r="B462" s="40">
        <v>74</v>
      </c>
    </row>
    <row r="463" spans="1:2" x14ac:dyDescent="0.2">
      <c r="A463" s="40" t="s">
        <v>3032</v>
      </c>
      <c r="B463" s="40">
        <v>50</v>
      </c>
    </row>
    <row r="464" spans="1:2" x14ac:dyDescent="0.2">
      <c r="A464" s="40" t="s">
        <v>2715</v>
      </c>
      <c r="B464" s="40">
        <v>31</v>
      </c>
    </row>
    <row r="465" spans="1:2" x14ac:dyDescent="0.2">
      <c r="A465" s="40" t="s">
        <v>3306</v>
      </c>
      <c r="B465" s="40">
        <v>65</v>
      </c>
    </row>
    <row r="466" spans="1:2" x14ac:dyDescent="0.2">
      <c r="A466" s="40" t="s">
        <v>2693</v>
      </c>
      <c r="B466" s="40">
        <v>29</v>
      </c>
    </row>
    <row r="467" spans="1:2" x14ac:dyDescent="0.2">
      <c r="A467" s="40" t="s">
        <v>2745</v>
      </c>
      <c r="B467" s="40">
        <v>33</v>
      </c>
    </row>
    <row r="468" spans="1:2" x14ac:dyDescent="0.2">
      <c r="A468" s="40" t="s">
        <v>2481</v>
      </c>
      <c r="B468" s="40">
        <v>10</v>
      </c>
    </row>
    <row r="469" spans="1:2" x14ac:dyDescent="0.2">
      <c r="A469" s="40" t="s">
        <v>2936</v>
      </c>
      <c r="B469" s="40">
        <v>44</v>
      </c>
    </row>
    <row r="470" spans="1:2" x14ac:dyDescent="0.2">
      <c r="A470" s="40" t="s">
        <v>3033</v>
      </c>
      <c r="B470" s="40">
        <v>50</v>
      </c>
    </row>
    <row r="471" spans="1:2" x14ac:dyDescent="0.2">
      <c r="A471" s="40" t="s">
        <v>2764</v>
      </c>
      <c r="B471" s="40">
        <v>34</v>
      </c>
    </row>
    <row r="472" spans="1:2" x14ac:dyDescent="0.2">
      <c r="A472" s="40" t="s">
        <v>2921</v>
      </c>
      <c r="B472" s="40">
        <v>43</v>
      </c>
    </row>
    <row r="473" spans="1:2" x14ac:dyDescent="0.2">
      <c r="A473" s="40" t="s">
        <v>2694</v>
      </c>
      <c r="B473" s="40">
        <v>29</v>
      </c>
    </row>
    <row r="474" spans="1:2" x14ac:dyDescent="0.2">
      <c r="A474" s="40" t="s">
        <v>2765</v>
      </c>
      <c r="B474" s="40">
        <v>34</v>
      </c>
    </row>
    <row r="475" spans="1:2" x14ac:dyDescent="0.2">
      <c r="A475" s="40" t="s">
        <v>3380</v>
      </c>
      <c r="B475" s="40">
        <v>68</v>
      </c>
    </row>
    <row r="476" spans="1:2" x14ac:dyDescent="0.2">
      <c r="A476" s="40" t="s">
        <v>2813</v>
      </c>
      <c r="B476" s="40">
        <v>37</v>
      </c>
    </row>
    <row r="477" spans="1:2" x14ac:dyDescent="0.2">
      <c r="A477" s="40" t="s">
        <v>2784</v>
      </c>
      <c r="B477" s="40">
        <v>35</v>
      </c>
    </row>
    <row r="478" spans="1:2" x14ac:dyDescent="0.2">
      <c r="A478" s="40" t="s">
        <v>3034</v>
      </c>
      <c r="B478" s="40">
        <v>50</v>
      </c>
    </row>
    <row r="479" spans="1:2" x14ac:dyDescent="0.2">
      <c r="A479" s="40" t="s">
        <v>3034</v>
      </c>
      <c r="B479" s="40">
        <v>64</v>
      </c>
    </row>
    <row r="480" spans="1:2" x14ac:dyDescent="0.2">
      <c r="A480" s="40" t="s">
        <v>3205</v>
      </c>
      <c r="B480" s="40">
        <v>59</v>
      </c>
    </row>
    <row r="481" spans="1:2" x14ac:dyDescent="0.2">
      <c r="A481" s="40" t="s">
        <v>3035</v>
      </c>
      <c r="B481" s="40">
        <v>50</v>
      </c>
    </row>
    <row r="482" spans="1:2" x14ac:dyDescent="0.2">
      <c r="A482" s="40" t="s">
        <v>2605</v>
      </c>
      <c r="B482" s="40">
        <v>23</v>
      </c>
    </row>
    <row r="483" spans="1:2" x14ac:dyDescent="0.2">
      <c r="A483" s="40" t="s">
        <v>3499</v>
      </c>
      <c r="B483" s="40">
        <v>78</v>
      </c>
    </row>
    <row r="484" spans="1:2" x14ac:dyDescent="0.2">
      <c r="A484" s="40" t="s">
        <v>3036</v>
      </c>
      <c r="B484" s="40">
        <v>50</v>
      </c>
    </row>
    <row r="485" spans="1:2" x14ac:dyDescent="0.2">
      <c r="A485" s="40" t="s">
        <v>2854</v>
      </c>
      <c r="B485" s="40">
        <v>39</v>
      </c>
    </row>
    <row r="486" spans="1:2" x14ac:dyDescent="0.2">
      <c r="A486" s="40" t="s">
        <v>2854</v>
      </c>
      <c r="B486" s="40">
        <v>50</v>
      </c>
    </row>
    <row r="487" spans="1:2" x14ac:dyDescent="0.2">
      <c r="A487" s="40" t="s">
        <v>3476</v>
      </c>
      <c r="B487" s="40">
        <v>75</v>
      </c>
    </row>
    <row r="488" spans="1:2" x14ac:dyDescent="0.2">
      <c r="A488" s="40" t="s">
        <v>3206</v>
      </c>
      <c r="B488" s="40">
        <v>59</v>
      </c>
    </row>
    <row r="489" spans="1:2" x14ac:dyDescent="0.2">
      <c r="A489" s="40" t="s">
        <v>3542</v>
      </c>
      <c r="B489" s="40">
        <v>91</v>
      </c>
    </row>
    <row r="490" spans="1:2" x14ac:dyDescent="0.2">
      <c r="A490" s="40" t="s">
        <v>3542</v>
      </c>
      <c r="B490" s="40">
        <v>91</v>
      </c>
    </row>
    <row r="491" spans="1:2" x14ac:dyDescent="0.2">
      <c r="A491" s="40" t="s">
        <v>2508</v>
      </c>
      <c r="B491" s="40">
        <v>13</v>
      </c>
    </row>
    <row r="492" spans="1:2" x14ac:dyDescent="0.2">
      <c r="A492" s="40" t="s">
        <v>2508</v>
      </c>
      <c r="B492" s="40">
        <v>34</v>
      </c>
    </row>
    <row r="493" spans="1:2" x14ac:dyDescent="0.2">
      <c r="A493" s="40" t="s">
        <v>3338</v>
      </c>
      <c r="B493" s="40">
        <v>66</v>
      </c>
    </row>
    <row r="494" spans="1:2" x14ac:dyDescent="0.2">
      <c r="A494" s="40" t="s">
        <v>3339</v>
      </c>
      <c r="B494" s="40">
        <v>66</v>
      </c>
    </row>
    <row r="495" spans="1:2" x14ac:dyDescent="0.2">
      <c r="A495" s="40" t="s">
        <v>3340</v>
      </c>
      <c r="B495" s="40">
        <v>66</v>
      </c>
    </row>
    <row r="496" spans="1:2" x14ac:dyDescent="0.2">
      <c r="A496" s="40" t="s">
        <v>2635</v>
      </c>
      <c r="B496" s="40">
        <v>24</v>
      </c>
    </row>
    <row r="497" spans="1:2" x14ac:dyDescent="0.2">
      <c r="A497" s="40" t="s">
        <v>3291</v>
      </c>
      <c r="B497" s="40">
        <v>64</v>
      </c>
    </row>
    <row r="498" spans="1:2" x14ac:dyDescent="0.2">
      <c r="A498" s="40" t="s">
        <v>3248</v>
      </c>
      <c r="B498" s="40">
        <v>61</v>
      </c>
    </row>
    <row r="499" spans="1:2" x14ac:dyDescent="0.2">
      <c r="A499" s="40" t="s">
        <v>3398</v>
      </c>
      <c r="B499" s="40">
        <v>69</v>
      </c>
    </row>
    <row r="500" spans="1:2" x14ac:dyDescent="0.2">
      <c r="A500" s="40" t="s">
        <v>2880</v>
      </c>
      <c r="B500" s="40">
        <v>40</v>
      </c>
    </row>
    <row r="501" spans="1:2" x14ac:dyDescent="0.2">
      <c r="A501" s="40" t="s">
        <v>3500</v>
      </c>
      <c r="B501" s="40">
        <v>78</v>
      </c>
    </row>
    <row r="502" spans="1:2" x14ac:dyDescent="0.2">
      <c r="A502" s="40" t="s">
        <v>2606</v>
      </c>
      <c r="B502" s="40">
        <v>23</v>
      </c>
    </row>
    <row r="503" spans="1:2" x14ac:dyDescent="0.2">
      <c r="A503" s="40" t="s">
        <v>2607</v>
      </c>
      <c r="B503" s="40">
        <v>23</v>
      </c>
    </row>
    <row r="504" spans="1:2" x14ac:dyDescent="0.2">
      <c r="A504" s="40" t="s">
        <v>3120</v>
      </c>
      <c r="B504" s="40">
        <v>52</v>
      </c>
    </row>
    <row r="505" spans="1:2" x14ac:dyDescent="0.2">
      <c r="A505" s="40" t="s">
        <v>3037</v>
      </c>
      <c r="B505" s="40">
        <v>50</v>
      </c>
    </row>
    <row r="506" spans="1:2" x14ac:dyDescent="0.2">
      <c r="A506" s="40" t="s">
        <v>3171</v>
      </c>
      <c r="B506" s="40">
        <v>56</v>
      </c>
    </row>
    <row r="507" spans="1:2" x14ac:dyDescent="0.2">
      <c r="A507" s="40" t="s">
        <v>3399</v>
      </c>
      <c r="B507" s="40">
        <v>69</v>
      </c>
    </row>
    <row r="508" spans="1:2" x14ac:dyDescent="0.2">
      <c r="A508" s="40" t="s">
        <v>3207</v>
      </c>
      <c r="B508" s="40">
        <v>59</v>
      </c>
    </row>
    <row r="509" spans="1:2" x14ac:dyDescent="0.2">
      <c r="A509" s="40" t="s">
        <v>3190</v>
      </c>
      <c r="B509" s="40">
        <v>58</v>
      </c>
    </row>
    <row r="510" spans="1:2" x14ac:dyDescent="0.2">
      <c r="A510" s="40" t="s">
        <v>3191</v>
      </c>
      <c r="B510" s="40">
        <v>58</v>
      </c>
    </row>
    <row r="511" spans="1:2" x14ac:dyDescent="0.2">
      <c r="A511" s="40" t="s">
        <v>3192</v>
      </c>
      <c r="B511" s="40">
        <v>58</v>
      </c>
    </row>
    <row r="512" spans="1:2" x14ac:dyDescent="0.2">
      <c r="A512" s="40" t="s">
        <v>3152</v>
      </c>
      <c r="B512" s="40">
        <v>54</v>
      </c>
    </row>
    <row r="513" spans="1:2" x14ac:dyDescent="0.2">
      <c r="A513" s="40" t="s">
        <v>3121</v>
      </c>
      <c r="B513" s="40">
        <v>52</v>
      </c>
    </row>
    <row r="514" spans="1:2" x14ac:dyDescent="0.2">
      <c r="A514" s="40" t="s">
        <v>2430</v>
      </c>
      <c r="B514" s="40">
        <v>2</v>
      </c>
    </row>
    <row r="515" spans="1:2" x14ac:dyDescent="0.2">
      <c r="A515" s="40" t="s">
        <v>3208</v>
      </c>
      <c r="B515" s="40">
        <v>59</v>
      </c>
    </row>
    <row r="516" spans="1:2" x14ac:dyDescent="0.2">
      <c r="A516" s="40" t="s">
        <v>3153</v>
      </c>
      <c r="B516" s="40">
        <v>54</v>
      </c>
    </row>
    <row r="517" spans="1:2" x14ac:dyDescent="0.2">
      <c r="A517" s="40" t="s">
        <v>2946</v>
      </c>
      <c r="B517" s="40">
        <v>45</v>
      </c>
    </row>
    <row r="518" spans="1:2" x14ac:dyDescent="0.2">
      <c r="A518" s="40" t="s">
        <v>2608</v>
      </c>
      <c r="B518" s="40">
        <v>23</v>
      </c>
    </row>
    <row r="519" spans="1:2" x14ac:dyDescent="0.2">
      <c r="A519" s="40" t="s">
        <v>3307</v>
      </c>
      <c r="B519" s="40">
        <v>65</v>
      </c>
    </row>
    <row r="520" spans="1:2" x14ac:dyDescent="0.2">
      <c r="A520" s="40" t="s">
        <v>2746</v>
      </c>
      <c r="B520" s="40">
        <v>33</v>
      </c>
    </row>
    <row r="521" spans="1:2" x14ac:dyDescent="0.2">
      <c r="A521" s="40" t="s">
        <v>3038</v>
      </c>
      <c r="B521" s="40">
        <v>50</v>
      </c>
    </row>
    <row r="522" spans="1:2" x14ac:dyDescent="0.2">
      <c r="A522" s="40" t="s">
        <v>2954</v>
      </c>
      <c r="B522" s="40">
        <v>46</v>
      </c>
    </row>
    <row r="523" spans="1:2" x14ac:dyDescent="0.2">
      <c r="A523" s="40" t="s">
        <v>2947</v>
      </c>
      <c r="B523" s="40">
        <v>45</v>
      </c>
    </row>
    <row r="524" spans="1:2" x14ac:dyDescent="0.2">
      <c r="A524" s="40" t="s">
        <v>2955</v>
      </c>
      <c r="B524" s="40">
        <v>46</v>
      </c>
    </row>
    <row r="525" spans="1:2" x14ac:dyDescent="0.2">
      <c r="A525" s="40" t="s">
        <v>3456</v>
      </c>
      <c r="B525" s="40">
        <v>74</v>
      </c>
    </row>
    <row r="526" spans="1:2" x14ac:dyDescent="0.2">
      <c r="A526" s="40" t="s">
        <v>3341</v>
      </c>
      <c r="B526" s="40">
        <v>66</v>
      </c>
    </row>
    <row r="527" spans="1:2" x14ac:dyDescent="0.2">
      <c r="A527" s="40" t="s">
        <v>2554</v>
      </c>
      <c r="B527" s="40">
        <v>17</v>
      </c>
    </row>
    <row r="528" spans="1:2" x14ac:dyDescent="0.2">
      <c r="A528" s="40" t="s">
        <v>3457</v>
      </c>
      <c r="B528" s="40">
        <v>74</v>
      </c>
    </row>
    <row r="529" spans="1:2" x14ac:dyDescent="0.2">
      <c r="A529" s="40" t="s">
        <v>2445</v>
      </c>
      <c r="B529" s="40">
        <v>3</v>
      </c>
    </row>
    <row r="530" spans="1:2" x14ac:dyDescent="0.2">
      <c r="A530" s="40" t="s">
        <v>2609</v>
      </c>
      <c r="B530" s="40">
        <v>23</v>
      </c>
    </row>
    <row r="531" spans="1:2" x14ac:dyDescent="0.2">
      <c r="A531" s="40" t="s">
        <v>3527</v>
      </c>
      <c r="B531" s="40">
        <v>89</v>
      </c>
    </row>
    <row r="532" spans="1:2" x14ac:dyDescent="0.2">
      <c r="A532" s="40" t="s">
        <v>2472</v>
      </c>
      <c r="B532" s="40">
        <v>8</v>
      </c>
    </row>
    <row r="533" spans="1:2" x14ac:dyDescent="0.2">
      <c r="A533" s="40" t="s">
        <v>2855</v>
      </c>
      <c r="B533" s="40">
        <v>39</v>
      </c>
    </row>
    <row r="534" spans="1:2" x14ac:dyDescent="0.2">
      <c r="A534" s="40" t="s">
        <v>2543</v>
      </c>
      <c r="B534" s="40">
        <v>16</v>
      </c>
    </row>
    <row r="535" spans="1:2" x14ac:dyDescent="0.2">
      <c r="A535" s="40" t="s">
        <v>2747</v>
      </c>
      <c r="B535" s="40">
        <v>33</v>
      </c>
    </row>
    <row r="536" spans="1:2" x14ac:dyDescent="0.2">
      <c r="A536" s="40" t="s">
        <v>3510</v>
      </c>
      <c r="B536" s="40">
        <v>86</v>
      </c>
    </row>
    <row r="537" spans="1:2" x14ac:dyDescent="0.2">
      <c r="A537" s="40" t="s">
        <v>2482</v>
      </c>
      <c r="B537" s="40">
        <v>10</v>
      </c>
    </row>
    <row r="538" spans="1:2" x14ac:dyDescent="0.2">
      <c r="A538" s="40" t="s">
        <v>2996</v>
      </c>
      <c r="B538" s="40">
        <v>48</v>
      </c>
    </row>
    <row r="539" spans="1:2" x14ac:dyDescent="0.2">
      <c r="A539" s="40" t="s">
        <v>2544</v>
      </c>
      <c r="B539" s="40">
        <v>16</v>
      </c>
    </row>
    <row r="540" spans="1:2" x14ac:dyDescent="0.2">
      <c r="A540" s="40" t="s">
        <v>2766</v>
      </c>
      <c r="B540" s="40">
        <v>34</v>
      </c>
    </row>
    <row r="541" spans="1:2" x14ac:dyDescent="0.2">
      <c r="A541" s="40" t="s">
        <v>2903</v>
      </c>
      <c r="B541" s="40">
        <v>42</v>
      </c>
    </row>
    <row r="542" spans="1:2" x14ac:dyDescent="0.2">
      <c r="A542" s="40" t="s">
        <v>2515</v>
      </c>
      <c r="B542" s="40">
        <v>14</v>
      </c>
    </row>
    <row r="543" spans="1:2" x14ac:dyDescent="0.2">
      <c r="A543" s="40" t="s">
        <v>2665</v>
      </c>
      <c r="B543" s="40">
        <v>26</v>
      </c>
    </row>
    <row r="544" spans="1:2" x14ac:dyDescent="0.2">
      <c r="A544" s="40" t="s">
        <v>3342</v>
      </c>
      <c r="B544" s="40">
        <v>66</v>
      </c>
    </row>
    <row r="545" spans="1:2" x14ac:dyDescent="0.2">
      <c r="A545" s="40" t="s">
        <v>2650</v>
      </c>
      <c r="B545" s="40">
        <v>25</v>
      </c>
    </row>
    <row r="546" spans="1:2" x14ac:dyDescent="0.2">
      <c r="A546" s="40" t="s">
        <v>2636</v>
      </c>
      <c r="B546" s="40">
        <v>24</v>
      </c>
    </row>
    <row r="547" spans="1:2" x14ac:dyDescent="0.2">
      <c r="A547" s="40" t="s">
        <v>3181</v>
      </c>
      <c r="B547" s="40">
        <v>57</v>
      </c>
    </row>
    <row r="548" spans="1:2" x14ac:dyDescent="0.2">
      <c r="A548" s="40" t="s">
        <v>3039</v>
      </c>
      <c r="B548" s="40">
        <v>50</v>
      </c>
    </row>
    <row r="549" spans="1:2" x14ac:dyDescent="0.2">
      <c r="A549" s="40" t="s">
        <v>2997</v>
      </c>
      <c r="B549" s="40">
        <v>48</v>
      </c>
    </row>
    <row r="550" spans="1:2" x14ac:dyDescent="0.2">
      <c r="A550" s="40" t="s">
        <v>3424</v>
      </c>
      <c r="B550" s="40">
        <v>71</v>
      </c>
    </row>
    <row r="551" spans="1:2" x14ac:dyDescent="0.2">
      <c r="A551" s="40" t="s">
        <v>2798</v>
      </c>
      <c r="B551" s="40">
        <v>36</v>
      </c>
    </row>
    <row r="552" spans="1:2" x14ac:dyDescent="0.2">
      <c r="A552" s="40" t="s">
        <v>3400</v>
      </c>
      <c r="B552" s="40">
        <v>69</v>
      </c>
    </row>
    <row r="553" spans="1:2" x14ac:dyDescent="0.2">
      <c r="A553" s="40" t="s">
        <v>3040</v>
      </c>
      <c r="B553" s="40">
        <v>50</v>
      </c>
    </row>
    <row r="554" spans="1:2" x14ac:dyDescent="0.2">
      <c r="A554" s="40" t="s">
        <v>2975</v>
      </c>
      <c r="B554" s="40">
        <v>47</v>
      </c>
    </row>
    <row r="555" spans="1:2" x14ac:dyDescent="0.2">
      <c r="A555" s="40" t="s">
        <v>3501</v>
      </c>
      <c r="B555" s="40">
        <v>78</v>
      </c>
    </row>
    <row r="556" spans="1:2" x14ac:dyDescent="0.2">
      <c r="A556" s="40" t="s">
        <v>3041</v>
      </c>
      <c r="B556" s="40">
        <v>50</v>
      </c>
    </row>
    <row r="557" spans="1:2" x14ac:dyDescent="0.2">
      <c r="A557" s="40" t="s">
        <v>2976</v>
      </c>
      <c r="B557" s="40">
        <v>47</v>
      </c>
    </row>
    <row r="558" spans="1:2" x14ac:dyDescent="0.2">
      <c r="A558" s="40" t="s">
        <v>2922</v>
      </c>
      <c r="B558" s="40">
        <v>43</v>
      </c>
    </row>
    <row r="559" spans="1:2" x14ac:dyDescent="0.2">
      <c r="A559" s="40" t="s">
        <v>3122</v>
      </c>
      <c r="B559" s="40">
        <v>52</v>
      </c>
    </row>
    <row r="560" spans="1:2" x14ac:dyDescent="0.2">
      <c r="A560" s="40" t="s">
        <v>3042</v>
      </c>
      <c r="B560" s="40">
        <v>50</v>
      </c>
    </row>
    <row r="561" spans="1:2" x14ac:dyDescent="0.2">
      <c r="A561" s="40" t="s">
        <v>3123</v>
      </c>
      <c r="B561" s="40">
        <v>52</v>
      </c>
    </row>
    <row r="562" spans="1:2" x14ac:dyDescent="0.2">
      <c r="A562" s="40" t="s">
        <v>3209</v>
      </c>
      <c r="B562" s="40">
        <v>59</v>
      </c>
    </row>
    <row r="563" spans="1:2" x14ac:dyDescent="0.2">
      <c r="A563" s="40" t="s">
        <v>3043</v>
      </c>
      <c r="B563" s="40">
        <v>50</v>
      </c>
    </row>
    <row r="564" spans="1:2" x14ac:dyDescent="0.2">
      <c r="A564" s="40" t="s">
        <v>2956</v>
      </c>
      <c r="B564" s="40">
        <v>46</v>
      </c>
    </row>
    <row r="565" spans="1:2" x14ac:dyDescent="0.2">
      <c r="A565" s="40" t="s">
        <v>2977</v>
      </c>
      <c r="B565" s="40">
        <v>47</v>
      </c>
    </row>
    <row r="566" spans="1:2" x14ac:dyDescent="0.2">
      <c r="A566" s="40" t="s">
        <v>3044</v>
      </c>
      <c r="B566" s="40">
        <v>50</v>
      </c>
    </row>
    <row r="567" spans="1:2" x14ac:dyDescent="0.2">
      <c r="A567" s="40" t="s">
        <v>3486</v>
      </c>
      <c r="B567" s="40">
        <v>76</v>
      </c>
    </row>
    <row r="568" spans="1:2" x14ac:dyDescent="0.2">
      <c r="A568" s="40" t="s">
        <v>2881</v>
      </c>
      <c r="B568" s="40">
        <v>40</v>
      </c>
    </row>
    <row r="569" spans="1:2" x14ac:dyDescent="0.2">
      <c r="A569" s="40" t="s">
        <v>3511</v>
      </c>
      <c r="B569" s="40">
        <v>86</v>
      </c>
    </row>
    <row r="570" spans="1:2" x14ac:dyDescent="0.2">
      <c r="A570" s="40" t="s">
        <v>3000</v>
      </c>
      <c r="B570" s="40">
        <v>49</v>
      </c>
    </row>
    <row r="571" spans="1:2" x14ac:dyDescent="0.2">
      <c r="A571" s="40" t="s">
        <v>2460</v>
      </c>
      <c r="B571" s="40">
        <v>6</v>
      </c>
    </row>
    <row r="572" spans="1:2" x14ac:dyDescent="0.2">
      <c r="A572" s="40" t="s">
        <v>3458</v>
      </c>
      <c r="B572" s="40">
        <v>74</v>
      </c>
    </row>
    <row r="573" spans="1:2" x14ac:dyDescent="0.2">
      <c r="A573" s="40" t="s">
        <v>2420</v>
      </c>
      <c r="B573" s="40">
        <v>1</v>
      </c>
    </row>
    <row r="574" spans="1:2" x14ac:dyDescent="0.2">
      <c r="A574" s="40" t="s">
        <v>2464</v>
      </c>
      <c r="B574" s="40">
        <v>7</v>
      </c>
    </row>
    <row r="575" spans="1:2" x14ac:dyDescent="0.2">
      <c r="A575" s="40" t="s">
        <v>3308</v>
      </c>
      <c r="B575" s="40">
        <v>65</v>
      </c>
    </row>
    <row r="576" spans="1:2" x14ac:dyDescent="0.2">
      <c r="A576" s="40" t="s">
        <v>2937</v>
      </c>
      <c r="B576" s="40">
        <v>44</v>
      </c>
    </row>
    <row r="577" spans="1:2" x14ac:dyDescent="0.2">
      <c r="A577" s="40" t="s">
        <v>2948</v>
      </c>
      <c r="B577" s="40">
        <v>45</v>
      </c>
    </row>
    <row r="578" spans="1:2" x14ac:dyDescent="0.2">
      <c r="A578" s="40" t="s">
        <v>3138</v>
      </c>
      <c r="B578" s="40">
        <v>53</v>
      </c>
    </row>
    <row r="579" spans="1:2" x14ac:dyDescent="0.2">
      <c r="A579" s="40" t="s">
        <v>2461</v>
      </c>
      <c r="B579" s="40">
        <v>6</v>
      </c>
    </row>
    <row r="580" spans="1:2" x14ac:dyDescent="0.2">
      <c r="A580" s="40" t="s">
        <v>2923</v>
      </c>
      <c r="B580" s="40">
        <v>43</v>
      </c>
    </row>
    <row r="581" spans="1:2" x14ac:dyDescent="0.2">
      <c r="A581" s="40" t="s">
        <v>3182</v>
      </c>
      <c r="B581" s="40">
        <v>57</v>
      </c>
    </row>
    <row r="582" spans="1:2" x14ac:dyDescent="0.2">
      <c r="A582" s="40" t="s">
        <v>2882</v>
      </c>
      <c r="B582" s="40">
        <v>40</v>
      </c>
    </row>
    <row r="583" spans="1:2" x14ac:dyDescent="0.2">
      <c r="A583" s="40" t="s">
        <v>2545</v>
      </c>
      <c r="B583" s="40">
        <v>16</v>
      </c>
    </row>
    <row r="584" spans="1:2" x14ac:dyDescent="0.2">
      <c r="A584" s="40" t="s">
        <v>2856</v>
      </c>
      <c r="B584" s="40">
        <v>39</v>
      </c>
    </row>
    <row r="585" spans="1:2" x14ac:dyDescent="0.2">
      <c r="A585" s="40" t="s">
        <v>2938</v>
      </c>
      <c r="B585" s="40">
        <v>44</v>
      </c>
    </row>
    <row r="586" spans="1:2" x14ac:dyDescent="0.2">
      <c r="A586" s="40" t="s">
        <v>2904</v>
      </c>
      <c r="B586" s="40">
        <v>42</v>
      </c>
    </row>
    <row r="587" spans="1:2" x14ac:dyDescent="0.2">
      <c r="A587" s="40" t="s">
        <v>2577</v>
      </c>
      <c r="B587" s="40">
        <v>21</v>
      </c>
    </row>
    <row r="588" spans="1:2" x14ac:dyDescent="0.2">
      <c r="A588" s="40" t="s">
        <v>3292</v>
      </c>
      <c r="B588" s="40">
        <v>64</v>
      </c>
    </row>
    <row r="589" spans="1:2" x14ac:dyDescent="0.2">
      <c r="A589" s="40" t="s">
        <v>2456</v>
      </c>
      <c r="B589" s="40">
        <v>5</v>
      </c>
    </row>
    <row r="590" spans="1:2" x14ac:dyDescent="0.2">
      <c r="A590" s="40" t="s">
        <v>2726</v>
      </c>
      <c r="B590" s="40">
        <v>32</v>
      </c>
    </row>
    <row r="591" spans="1:2" x14ac:dyDescent="0.2">
      <c r="A591" s="40" t="s">
        <v>3512</v>
      </c>
      <c r="B591" s="40">
        <v>86</v>
      </c>
    </row>
    <row r="592" spans="1:2" x14ac:dyDescent="0.2">
      <c r="A592" s="40" t="s">
        <v>2483</v>
      </c>
      <c r="B592" s="40">
        <v>10</v>
      </c>
    </row>
    <row r="593" spans="1:2" x14ac:dyDescent="0.2">
      <c r="A593" s="40" t="s">
        <v>3172</v>
      </c>
      <c r="B593" s="40">
        <v>56</v>
      </c>
    </row>
    <row r="594" spans="1:2" x14ac:dyDescent="0.2">
      <c r="A594" s="40" t="s">
        <v>2883</v>
      </c>
      <c r="B594" s="40">
        <v>40</v>
      </c>
    </row>
    <row r="595" spans="1:2" x14ac:dyDescent="0.2">
      <c r="A595" s="40" t="s">
        <v>2431</v>
      </c>
      <c r="B595" s="40">
        <v>2</v>
      </c>
    </row>
    <row r="596" spans="1:2" x14ac:dyDescent="0.2">
      <c r="A596" s="40" t="s">
        <v>2905</v>
      </c>
      <c r="B596" s="40">
        <v>42</v>
      </c>
    </row>
    <row r="597" spans="1:2" x14ac:dyDescent="0.2">
      <c r="A597" s="40" t="s">
        <v>2695</v>
      </c>
      <c r="B597" s="40">
        <v>29</v>
      </c>
    </row>
    <row r="598" spans="1:2" x14ac:dyDescent="0.2">
      <c r="A598" s="40" t="s">
        <v>2748</v>
      </c>
      <c r="B598" s="40">
        <v>33</v>
      </c>
    </row>
    <row r="599" spans="1:2" x14ac:dyDescent="0.2">
      <c r="A599" s="40" t="s">
        <v>2432</v>
      </c>
      <c r="B599" s="40">
        <v>2</v>
      </c>
    </row>
    <row r="600" spans="1:2" x14ac:dyDescent="0.2">
      <c r="A600" s="40" t="s">
        <v>2546</v>
      </c>
      <c r="B600" s="40">
        <v>16</v>
      </c>
    </row>
    <row r="601" spans="1:2" x14ac:dyDescent="0.2">
      <c r="A601" s="40" t="s">
        <v>2547</v>
      </c>
      <c r="B601" s="40">
        <v>16</v>
      </c>
    </row>
    <row r="602" spans="1:2" x14ac:dyDescent="0.2">
      <c r="A602" s="40" t="s">
        <v>2884</v>
      </c>
      <c r="B602" s="40">
        <v>40</v>
      </c>
    </row>
    <row r="603" spans="1:2" x14ac:dyDescent="0.2">
      <c r="A603" s="40" t="s">
        <v>3459</v>
      </c>
      <c r="B603" s="40">
        <v>74</v>
      </c>
    </row>
    <row r="604" spans="1:2" x14ac:dyDescent="0.2">
      <c r="A604" s="40" t="s">
        <v>2495</v>
      </c>
      <c r="B604" s="40">
        <v>11</v>
      </c>
    </row>
    <row r="605" spans="1:2" x14ac:dyDescent="0.2">
      <c r="A605" s="40" t="s">
        <v>3249</v>
      </c>
      <c r="B605" s="40">
        <v>61</v>
      </c>
    </row>
    <row r="606" spans="1:2" ht="25.5" x14ac:dyDescent="0.2">
      <c r="A606" s="40" t="s">
        <v>2666</v>
      </c>
      <c r="B606" s="40">
        <v>26</v>
      </c>
    </row>
    <row r="607" spans="1:2" x14ac:dyDescent="0.2">
      <c r="A607" s="40" t="s">
        <v>2637</v>
      </c>
      <c r="B607" s="40">
        <v>24</v>
      </c>
    </row>
    <row r="608" spans="1:2" x14ac:dyDescent="0.2">
      <c r="A608" s="40" t="s">
        <v>3460</v>
      </c>
      <c r="B608" s="40">
        <v>74</v>
      </c>
    </row>
    <row r="609" spans="1:2" x14ac:dyDescent="0.2">
      <c r="A609" s="40" t="s">
        <v>2516</v>
      </c>
      <c r="B609" s="40">
        <v>14</v>
      </c>
    </row>
    <row r="610" spans="1:2" x14ac:dyDescent="0.2">
      <c r="A610" s="40" t="s">
        <v>2516</v>
      </c>
      <c r="B610" s="40">
        <v>29</v>
      </c>
    </row>
    <row r="611" spans="1:2" x14ac:dyDescent="0.2">
      <c r="A611" s="40" t="s">
        <v>3262</v>
      </c>
      <c r="B611" s="40">
        <v>62</v>
      </c>
    </row>
    <row r="612" spans="1:2" x14ac:dyDescent="0.2">
      <c r="A612" s="40" t="s">
        <v>2767</v>
      </c>
      <c r="B612" s="40">
        <v>34</v>
      </c>
    </row>
    <row r="613" spans="1:2" x14ac:dyDescent="0.2">
      <c r="A613" s="40" t="s">
        <v>2667</v>
      </c>
      <c r="B613" s="40">
        <v>26</v>
      </c>
    </row>
    <row r="614" spans="1:2" x14ac:dyDescent="0.2">
      <c r="A614" s="40" t="s">
        <v>2667</v>
      </c>
      <c r="B614" s="40">
        <v>66</v>
      </c>
    </row>
    <row r="615" spans="1:2" x14ac:dyDescent="0.2">
      <c r="A615" s="40" t="s">
        <v>3381</v>
      </c>
      <c r="B615" s="40">
        <v>68</v>
      </c>
    </row>
    <row r="616" spans="1:2" x14ac:dyDescent="0.2">
      <c r="A616" s="40" t="s">
        <v>3477</v>
      </c>
      <c r="B616" s="40">
        <v>75</v>
      </c>
    </row>
    <row r="617" spans="1:2" x14ac:dyDescent="0.2">
      <c r="A617" s="40" t="s">
        <v>3045</v>
      </c>
      <c r="B617" s="40">
        <v>50</v>
      </c>
    </row>
    <row r="618" spans="1:2" x14ac:dyDescent="0.2">
      <c r="A618" s="40" t="s">
        <v>2562</v>
      </c>
      <c r="B618" s="40">
        <v>18</v>
      </c>
    </row>
    <row r="619" spans="1:2" x14ac:dyDescent="0.2">
      <c r="A619" s="40" t="s">
        <v>2530</v>
      </c>
      <c r="B619" s="40">
        <v>15</v>
      </c>
    </row>
    <row r="620" spans="1:2" x14ac:dyDescent="0.2">
      <c r="A620" s="40" t="s">
        <v>3096</v>
      </c>
      <c r="B620" s="40">
        <v>51</v>
      </c>
    </row>
    <row r="621" spans="1:2" x14ac:dyDescent="0.2">
      <c r="A621" s="40" t="s">
        <v>3250</v>
      </c>
      <c r="B621" s="40">
        <v>61</v>
      </c>
    </row>
    <row r="622" spans="1:2" x14ac:dyDescent="0.2">
      <c r="A622" s="40" t="s">
        <v>3382</v>
      </c>
      <c r="B622" s="40">
        <v>68</v>
      </c>
    </row>
    <row r="623" spans="1:2" x14ac:dyDescent="0.2">
      <c r="A623" s="40" t="s">
        <v>2885</v>
      </c>
      <c r="B623" s="40">
        <v>40</v>
      </c>
    </row>
    <row r="624" spans="1:2" x14ac:dyDescent="0.2">
      <c r="A624" s="40" t="s">
        <v>2409</v>
      </c>
      <c r="B624" s="40">
        <v>77</v>
      </c>
    </row>
    <row r="625" spans="1:2" x14ac:dyDescent="0.2">
      <c r="A625" s="40" t="s">
        <v>3496</v>
      </c>
      <c r="B625" s="40">
        <v>77</v>
      </c>
    </row>
    <row r="626" spans="1:2" x14ac:dyDescent="0.2">
      <c r="A626" s="40" t="s">
        <v>3496</v>
      </c>
      <c r="B626" s="40">
        <v>77</v>
      </c>
    </row>
    <row r="627" spans="1:2" x14ac:dyDescent="0.2">
      <c r="A627" s="40" t="s">
        <v>3528</v>
      </c>
      <c r="B627" s="40">
        <v>89</v>
      </c>
    </row>
    <row r="628" spans="1:2" x14ac:dyDescent="0.2">
      <c r="A628" s="40" t="s">
        <v>2924</v>
      </c>
      <c r="B628" s="40">
        <v>43</v>
      </c>
    </row>
    <row r="629" spans="1:2" x14ac:dyDescent="0.2">
      <c r="A629" s="40" t="s">
        <v>3097</v>
      </c>
      <c r="B629" s="40">
        <v>51</v>
      </c>
    </row>
    <row r="630" spans="1:2" x14ac:dyDescent="0.2">
      <c r="A630" s="40" t="s">
        <v>2749</v>
      </c>
      <c r="B630" s="40">
        <v>33</v>
      </c>
    </row>
    <row r="631" spans="1:2" x14ac:dyDescent="0.2">
      <c r="A631" s="40" t="s">
        <v>3183</v>
      </c>
      <c r="B631" s="40">
        <v>57</v>
      </c>
    </row>
    <row r="632" spans="1:2" x14ac:dyDescent="0.2">
      <c r="A632" s="40" t="s">
        <v>2906</v>
      </c>
      <c r="B632" s="40">
        <v>42</v>
      </c>
    </row>
    <row r="633" spans="1:2" x14ac:dyDescent="0.2">
      <c r="A633" s="40" t="s">
        <v>3046</v>
      </c>
      <c r="B633" s="40">
        <v>50</v>
      </c>
    </row>
    <row r="634" spans="1:2" x14ac:dyDescent="0.2">
      <c r="A634" s="40" t="s">
        <v>3487</v>
      </c>
      <c r="B634" s="40">
        <v>76</v>
      </c>
    </row>
    <row r="635" spans="1:2" ht="25.5" x14ac:dyDescent="0.2">
      <c r="A635" s="40" t="s">
        <v>2548</v>
      </c>
      <c r="B635" s="40">
        <v>16</v>
      </c>
    </row>
    <row r="636" spans="1:2" x14ac:dyDescent="0.2">
      <c r="A636" s="40" t="s">
        <v>3124</v>
      </c>
      <c r="B636" s="40">
        <v>52</v>
      </c>
    </row>
    <row r="637" spans="1:2" x14ac:dyDescent="0.2">
      <c r="A637" s="40" t="s">
        <v>2814</v>
      </c>
      <c r="B637" s="40">
        <v>37</v>
      </c>
    </row>
    <row r="638" spans="1:2" x14ac:dyDescent="0.2">
      <c r="A638" s="40" t="s">
        <v>3529</v>
      </c>
      <c r="B638" s="40">
        <v>89</v>
      </c>
    </row>
    <row r="639" spans="1:2" x14ac:dyDescent="0.2">
      <c r="A639" s="40" t="s">
        <v>2638</v>
      </c>
      <c r="B639" s="40">
        <v>24</v>
      </c>
    </row>
    <row r="640" spans="1:2" x14ac:dyDescent="0.2">
      <c r="A640" s="40" t="s">
        <v>2462</v>
      </c>
      <c r="B640" s="40">
        <v>6</v>
      </c>
    </row>
    <row r="641" spans="1:2" x14ac:dyDescent="0.2">
      <c r="A641" s="40" t="s">
        <v>3163</v>
      </c>
      <c r="B641" s="40">
        <v>55</v>
      </c>
    </row>
    <row r="642" spans="1:2" x14ac:dyDescent="0.2">
      <c r="A642" s="40" t="s">
        <v>2465</v>
      </c>
      <c r="B642" s="40">
        <v>7</v>
      </c>
    </row>
    <row r="643" spans="1:2" x14ac:dyDescent="0.2">
      <c r="A643" s="40" t="s">
        <v>2707</v>
      </c>
      <c r="B643" s="40">
        <v>30</v>
      </c>
    </row>
    <row r="644" spans="1:2" x14ac:dyDescent="0.2">
      <c r="A644" s="40" t="s">
        <v>3047</v>
      </c>
      <c r="B644" s="40">
        <v>50</v>
      </c>
    </row>
    <row r="645" spans="1:2" x14ac:dyDescent="0.2">
      <c r="A645" s="40" t="s">
        <v>2466</v>
      </c>
      <c r="B645" s="40">
        <v>7</v>
      </c>
    </row>
    <row r="646" spans="1:2" x14ac:dyDescent="0.2">
      <c r="A646" s="40" t="s">
        <v>3507</v>
      </c>
      <c r="B646" s="40">
        <v>83</v>
      </c>
    </row>
    <row r="647" spans="1:2" x14ac:dyDescent="0.2">
      <c r="A647" s="40" t="s">
        <v>2651</v>
      </c>
      <c r="B647" s="40">
        <v>25</v>
      </c>
    </row>
    <row r="648" spans="1:2" x14ac:dyDescent="0.2">
      <c r="A648" s="40" t="s">
        <v>3226</v>
      </c>
      <c r="B648" s="40">
        <v>60</v>
      </c>
    </row>
    <row r="649" spans="1:2" x14ac:dyDescent="0.2">
      <c r="A649" s="40" t="s">
        <v>3309</v>
      </c>
      <c r="B649" s="40">
        <v>65</v>
      </c>
    </row>
    <row r="650" spans="1:2" x14ac:dyDescent="0.2">
      <c r="A650" s="40" t="s">
        <v>2668</v>
      </c>
      <c r="B650" s="40">
        <v>26</v>
      </c>
    </row>
    <row r="651" spans="1:2" x14ac:dyDescent="0.2">
      <c r="A651" s="40" t="s">
        <v>3343</v>
      </c>
      <c r="B651" s="40">
        <v>66</v>
      </c>
    </row>
    <row r="652" spans="1:2" x14ac:dyDescent="0.2">
      <c r="A652" s="40" t="s">
        <v>3401</v>
      </c>
      <c r="B652" s="40">
        <v>69</v>
      </c>
    </row>
    <row r="653" spans="1:2" x14ac:dyDescent="0.2">
      <c r="A653" s="40" t="s">
        <v>2857</v>
      </c>
      <c r="B653" s="40">
        <v>39</v>
      </c>
    </row>
    <row r="654" spans="1:2" x14ac:dyDescent="0.2">
      <c r="A654" s="40" t="s">
        <v>2939</v>
      </c>
      <c r="B654" s="40">
        <v>44</v>
      </c>
    </row>
    <row r="655" spans="1:2" x14ac:dyDescent="0.2">
      <c r="A655" s="40" t="s">
        <v>3478</v>
      </c>
      <c r="B655" s="40">
        <v>75</v>
      </c>
    </row>
    <row r="656" spans="1:2" x14ac:dyDescent="0.2">
      <c r="A656" s="40" t="s">
        <v>2517</v>
      </c>
      <c r="B656" s="40">
        <v>14</v>
      </c>
    </row>
    <row r="657" spans="1:2" x14ac:dyDescent="0.2">
      <c r="A657" s="40" t="s">
        <v>2858</v>
      </c>
      <c r="B657" s="40">
        <v>39</v>
      </c>
    </row>
    <row r="658" spans="1:2" x14ac:dyDescent="0.2">
      <c r="A658" s="40" t="s">
        <v>3274</v>
      </c>
      <c r="B658" s="40">
        <v>63</v>
      </c>
    </row>
    <row r="659" spans="1:2" x14ac:dyDescent="0.2">
      <c r="A659" s="40" t="s">
        <v>2433</v>
      </c>
      <c r="B659" s="40">
        <v>2</v>
      </c>
    </row>
    <row r="660" spans="1:2" x14ac:dyDescent="0.2">
      <c r="A660" s="40" t="s">
        <v>2669</v>
      </c>
      <c r="B660" s="40">
        <v>26</v>
      </c>
    </row>
    <row r="661" spans="1:2" x14ac:dyDescent="0.2">
      <c r="A661" s="40" t="s">
        <v>3513</v>
      </c>
      <c r="B661" s="40">
        <v>86</v>
      </c>
    </row>
    <row r="662" spans="1:2" x14ac:dyDescent="0.2">
      <c r="A662" s="40" t="s">
        <v>2940</v>
      </c>
      <c r="B662" s="40">
        <v>44</v>
      </c>
    </row>
    <row r="663" spans="1:2" x14ac:dyDescent="0.2">
      <c r="A663" s="40" t="s">
        <v>3514</v>
      </c>
      <c r="B663" s="40">
        <v>86</v>
      </c>
    </row>
    <row r="664" spans="1:2" x14ac:dyDescent="0.2">
      <c r="A664" s="40" t="s">
        <v>2549</v>
      </c>
      <c r="B664" s="40">
        <v>16</v>
      </c>
    </row>
    <row r="665" spans="1:2" x14ac:dyDescent="0.2">
      <c r="A665" s="40" t="s">
        <v>2836</v>
      </c>
      <c r="B665" s="40">
        <v>38</v>
      </c>
    </row>
    <row r="666" spans="1:2" x14ac:dyDescent="0.2">
      <c r="A666" s="40" t="s">
        <v>3344</v>
      </c>
      <c r="B666" s="40">
        <v>66</v>
      </c>
    </row>
    <row r="667" spans="1:2" x14ac:dyDescent="0.2">
      <c r="A667" s="40" t="s">
        <v>3345</v>
      </c>
      <c r="B667" s="40">
        <v>66</v>
      </c>
    </row>
    <row r="668" spans="1:2" x14ac:dyDescent="0.2">
      <c r="A668" s="40" t="s">
        <v>3193</v>
      </c>
      <c r="B668" s="40">
        <v>58</v>
      </c>
    </row>
    <row r="669" spans="1:2" x14ac:dyDescent="0.2">
      <c r="A669" s="40" t="s">
        <v>3125</v>
      </c>
      <c r="B669" s="40">
        <v>52</v>
      </c>
    </row>
    <row r="670" spans="1:2" x14ac:dyDescent="0.2">
      <c r="A670" s="40" t="s">
        <v>3346</v>
      </c>
      <c r="B670" s="40">
        <v>66</v>
      </c>
    </row>
    <row r="671" spans="1:2" x14ac:dyDescent="0.2">
      <c r="A671" s="40" t="s">
        <v>3347</v>
      </c>
      <c r="B671" s="40">
        <v>66</v>
      </c>
    </row>
    <row r="672" spans="1:2" x14ac:dyDescent="0.2">
      <c r="A672" s="40" t="s">
        <v>3348</v>
      </c>
      <c r="B672" s="40">
        <v>66</v>
      </c>
    </row>
    <row r="673" spans="1:2" x14ac:dyDescent="0.2">
      <c r="A673" s="40" t="s">
        <v>2768</v>
      </c>
      <c r="B673" s="40">
        <v>34</v>
      </c>
    </row>
    <row r="674" spans="1:2" ht="25.5" x14ac:dyDescent="0.2">
      <c r="A674" s="40" t="s">
        <v>2679</v>
      </c>
      <c r="B674" s="40">
        <v>27</v>
      </c>
    </row>
    <row r="675" spans="1:2" x14ac:dyDescent="0.2">
      <c r="A675" s="40" t="s">
        <v>2785</v>
      </c>
      <c r="B675" s="40">
        <v>35</v>
      </c>
    </row>
    <row r="676" spans="1:2" x14ac:dyDescent="0.2">
      <c r="A676" s="40" t="s">
        <v>2785</v>
      </c>
      <c r="B676" s="40">
        <v>58</v>
      </c>
    </row>
    <row r="677" spans="1:2" x14ac:dyDescent="0.2">
      <c r="A677" s="40" t="s">
        <v>2978</v>
      </c>
      <c r="B677" s="40">
        <v>47</v>
      </c>
    </row>
    <row r="678" spans="1:2" x14ac:dyDescent="0.2">
      <c r="A678" s="40" t="s">
        <v>2979</v>
      </c>
      <c r="B678" s="40">
        <v>47</v>
      </c>
    </row>
    <row r="679" spans="1:2" x14ac:dyDescent="0.2">
      <c r="A679" s="40" t="s">
        <v>3349</v>
      </c>
      <c r="B679" s="40">
        <v>66</v>
      </c>
    </row>
    <row r="680" spans="1:2" ht="25.5" x14ac:dyDescent="0.2">
      <c r="A680" s="40" t="s">
        <v>2670</v>
      </c>
      <c r="B680" s="40">
        <v>26</v>
      </c>
    </row>
    <row r="681" spans="1:2" x14ac:dyDescent="0.2">
      <c r="A681" s="40" t="s">
        <v>2591</v>
      </c>
      <c r="B681" s="40">
        <v>22</v>
      </c>
    </row>
    <row r="682" spans="1:2" x14ac:dyDescent="0.2">
      <c r="A682" s="40" t="s">
        <v>2769</v>
      </c>
      <c r="B682" s="40">
        <v>34</v>
      </c>
    </row>
    <row r="683" spans="1:2" x14ac:dyDescent="0.2">
      <c r="A683" s="40" t="s">
        <v>2799</v>
      </c>
      <c r="B683" s="40">
        <v>36</v>
      </c>
    </row>
    <row r="684" spans="1:2" x14ac:dyDescent="0.2">
      <c r="A684" s="40" t="s">
        <v>2696</v>
      </c>
      <c r="B684" s="40">
        <v>29</v>
      </c>
    </row>
    <row r="685" spans="1:2" x14ac:dyDescent="0.2">
      <c r="A685" s="40" t="s">
        <v>2727</v>
      </c>
      <c r="B685" s="40">
        <v>32</v>
      </c>
    </row>
    <row r="686" spans="1:2" x14ac:dyDescent="0.2">
      <c r="A686" s="40" t="s">
        <v>2610</v>
      </c>
      <c r="B686" s="40">
        <v>23</v>
      </c>
    </row>
    <row r="687" spans="1:2" x14ac:dyDescent="0.2">
      <c r="A687" s="40" t="s">
        <v>2907</v>
      </c>
      <c r="B687" s="40">
        <v>42</v>
      </c>
    </row>
    <row r="688" spans="1:2" x14ac:dyDescent="0.2">
      <c r="A688" s="40" t="s">
        <v>3275</v>
      </c>
      <c r="B688" s="40">
        <v>63</v>
      </c>
    </row>
    <row r="689" spans="1:2" x14ac:dyDescent="0.2">
      <c r="A689" s="40" t="s">
        <v>3263</v>
      </c>
      <c r="B689" s="40">
        <v>62</v>
      </c>
    </row>
    <row r="690" spans="1:2" x14ac:dyDescent="0.2">
      <c r="A690" s="40" t="s">
        <v>3425</v>
      </c>
      <c r="B690" s="40">
        <v>71</v>
      </c>
    </row>
    <row r="691" spans="1:2" x14ac:dyDescent="0.2">
      <c r="A691" s="40" t="s">
        <v>2671</v>
      </c>
      <c r="B691" s="40">
        <v>26</v>
      </c>
    </row>
    <row r="692" spans="1:2" x14ac:dyDescent="0.2">
      <c r="A692" s="40" t="s">
        <v>3227</v>
      </c>
      <c r="B692" s="40">
        <v>60</v>
      </c>
    </row>
    <row r="693" spans="1:2" x14ac:dyDescent="0.2">
      <c r="A693" s="40" t="s">
        <v>2611</v>
      </c>
      <c r="B693" s="40">
        <v>23</v>
      </c>
    </row>
    <row r="694" spans="1:2" x14ac:dyDescent="0.2">
      <c r="A694" s="40" t="s">
        <v>3154</v>
      </c>
      <c r="B694" s="40">
        <v>54</v>
      </c>
    </row>
    <row r="695" spans="1:2" x14ac:dyDescent="0.2">
      <c r="A695" s="40" t="s">
        <v>3184</v>
      </c>
      <c r="B695" s="40">
        <v>57</v>
      </c>
    </row>
    <row r="696" spans="1:2" x14ac:dyDescent="0.2">
      <c r="A696" s="40" t="s">
        <v>3228</v>
      </c>
      <c r="B696" s="40">
        <v>60</v>
      </c>
    </row>
    <row r="697" spans="1:2" x14ac:dyDescent="0.2">
      <c r="A697" s="40" t="s">
        <v>3173</v>
      </c>
      <c r="B697" s="40">
        <v>56</v>
      </c>
    </row>
    <row r="698" spans="1:2" x14ac:dyDescent="0.2">
      <c r="A698" s="40" t="s">
        <v>3293</v>
      </c>
      <c r="B698" s="40">
        <v>64</v>
      </c>
    </row>
    <row r="699" spans="1:2" x14ac:dyDescent="0.2">
      <c r="A699" s="40" t="s">
        <v>3441</v>
      </c>
      <c r="B699" s="40">
        <v>73</v>
      </c>
    </row>
    <row r="700" spans="1:2" x14ac:dyDescent="0.2">
      <c r="A700" s="40" t="s">
        <v>3350</v>
      </c>
      <c r="B700" s="40">
        <v>66</v>
      </c>
    </row>
    <row r="701" spans="1:2" x14ac:dyDescent="0.2">
      <c r="A701" s="40" t="s">
        <v>2800</v>
      </c>
      <c r="B701" s="40">
        <v>36</v>
      </c>
    </row>
    <row r="702" spans="1:2" x14ac:dyDescent="0.2">
      <c r="A702" s="40" t="s">
        <v>2578</v>
      </c>
      <c r="B702" s="40">
        <v>21</v>
      </c>
    </row>
    <row r="703" spans="1:2" x14ac:dyDescent="0.2">
      <c r="A703" s="40" t="s">
        <v>3251</v>
      </c>
      <c r="B703" s="40">
        <v>61</v>
      </c>
    </row>
    <row r="704" spans="1:2" x14ac:dyDescent="0.2">
      <c r="A704" s="40" t="s">
        <v>3252</v>
      </c>
      <c r="B704" s="40">
        <v>61</v>
      </c>
    </row>
    <row r="705" spans="1:2" x14ac:dyDescent="0.2">
      <c r="A705" s="40" t="s">
        <v>2716</v>
      </c>
      <c r="B705" s="40">
        <v>31</v>
      </c>
    </row>
    <row r="706" spans="1:2" x14ac:dyDescent="0.2">
      <c r="A706" s="40" t="s">
        <v>3530</v>
      </c>
      <c r="B706" s="40">
        <v>89</v>
      </c>
    </row>
    <row r="707" spans="1:2" x14ac:dyDescent="0.2">
      <c r="A707" s="40" t="s">
        <v>3048</v>
      </c>
      <c r="B707" s="40">
        <v>50</v>
      </c>
    </row>
    <row r="708" spans="1:2" x14ac:dyDescent="0.2">
      <c r="A708" s="40" t="s">
        <v>2925</v>
      </c>
      <c r="B708" s="40">
        <v>43</v>
      </c>
    </row>
    <row r="709" spans="1:2" x14ac:dyDescent="0.2">
      <c r="A709" s="40" t="s">
        <v>2639</v>
      </c>
      <c r="B709" s="40">
        <v>24</v>
      </c>
    </row>
    <row r="710" spans="1:2" x14ac:dyDescent="0.2">
      <c r="A710" s="40" t="s">
        <v>3531</v>
      </c>
      <c r="B710" s="40">
        <v>89</v>
      </c>
    </row>
    <row r="711" spans="1:2" x14ac:dyDescent="0.2">
      <c r="A711" s="40" t="s">
        <v>2550</v>
      </c>
      <c r="B711" s="40">
        <v>16</v>
      </c>
    </row>
    <row r="712" spans="1:2" x14ac:dyDescent="0.2">
      <c r="A712" s="40" t="s">
        <v>3210</v>
      </c>
      <c r="B712" s="40">
        <v>59</v>
      </c>
    </row>
    <row r="713" spans="1:2" x14ac:dyDescent="0.2">
      <c r="A713" s="40" t="s">
        <v>2518</v>
      </c>
      <c r="B713" s="40">
        <v>14</v>
      </c>
    </row>
    <row r="714" spans="1:2" x14ac:dyDescent="0.2">
      <c r="A714" s="40" t="s">
        <v>3515</v>
      </c>
      <c r="B714" s="40">
        <v>86</v>
      </c>
    </row>
    <row r="715" spans="1:2" x14ac:dyDescent="0.2">
      <c r="A715" s="40" t="s">
        <v>3461</v>
      </c>
      <c r="B715" s="40">
        <v>74</v>
      </c>
    </row>
    <row r="716" spans="1:2" x14ac:dyDescent="0.2">
      <c r="A716" s="40" t="s">
        <v>2697</v>
      </c>
      <c r="B716" s="40">
        <v>29</v>
      </c>
    </row>
    <row r="717" spans="1:2" x14ac:dyDescent="0.2">
      <c r="A717" s="40" t="s">
        <v>3506</v>
      </c>
      <c r="B717" s="40">
        <v>79</v>
      </c>
    </row>
    <row r="718" spans="1:2" x14ac:dyDescent="0.2">
      <c r="A718" s="40" t="s">
        <v>2886</v>
      </c>
      <c r="B718" s="40">
        <v>40</v>
      </c>
    </row>
    <row r="719" spans="1:2" x14ac:dyDescent="0.2">
      <c r="A719" s="40" t="s">
        <v>2957</v>
      </c>
      <c r="B719" s="40">
        <v>46</v>
      </c>
    </row>
    <row r="720" spans="1:2" x14ac:dyDescent="0.2">
      <c r="A720" s="40" t="s">
        <v>3155</v>
      </c>
      <c r="B720" s="40">
        <v>54</v>
      </c>
    </row>
    <row r="721" spans="1:2" x14ac:dyDescent="0.2">
      <c r="A721" s="40" t="s">
        <v>3049</v>
      </c>
      <c r="B721" s="40">
        <v>50</v>
      </c>
    </row>
    <row r="722" spans="1:2" x14ac:dyDescent="0.2">
      <c r="A722" s="40" t="s">
        <v>3050</v>
      </c>
      <c r="B722" s="40">
        <v>50</v>
      </c>
    </row>
    <row r="723" spans="1:2" x14ac:dyDescent="0.2">
      <c r="A723" s="40" t="s">
        <v>2859</v>
      </c>
      <c r="B723" s="40">
        <v>39</v>
      </c>
    </row>
    <row r="724" spans="1:2" x14ac:dyDescent="0.2">
      <c r="A724" s="40" t="s">
        <v>2859</v>
      </c>
      <c r="B724" s="40">
        <v>74</v>
      </c>
    </row>
    <row r="725" spans="1:2" x14ac:dyDescent="0.2">
      <c r="A725" s="40" t="s">
        <v>3051</v>
      </c>
      <c r="B725" s="40">
        <v>50</v>
      </c>
    </row>
    <row r="726" spans="1:2" x14ac:dyDescent="0.2">
      <c r="A726" s="40" t="s">
        <v>3276</v>
      </c>
      <c r="B726" s="40">
        <v>63</v>
      </c>
    </row>
    <row r="727" spans="1:2" x14ac:dyDescent="0.2">
      <c r="A727" s="40" t="s">
        <v>2434</v>
      </c>
      <c r="B727" s="40">
        <v>2</v>
      </c>
    </row>
    <row r="728" spans="1:2" x14ac:dyDescent="0.2">
      <c r="A728" s="40" t="s">
        <v>3139</v>
      </c>
      <c r="B728" s="40">
        <v>53</v>
      </c>
    </row>
    <row r="729" spans="1:2" x14ac:dyDescent="0.2">
      <c r="A729" s="40" t="s">
        <v>2519</v>
      </c>
      <c r="B729" s="40">
        <v>14</v>
      </c>
    </row>
    <row r="730" spans="1:2" x14ac:dyDescent="0.2">
      <c r="A730" s="40" t="s">
        <v>3098</v>
      </c>
      <c r="B730" s="40">
        <v>51</v>
      </c>
    </row>
    <row r="731" spans="1:2" x14ac:dyDescent="0.2">
      <c r="A731" s="40" t="s">
        <v>3099</v>
      </c>
      <c r="B731" s="40">
        <v>51</v>
      </c>
    </row>
    <row r="732" spans="1:2" x14ac:dyDescent="0.2">
      <c r="A732" s="40" t="s">
        <v>3100</v>
      </c>
      <c r="B732" s="40">
        <v>51</v>
      </c>
    </row>
    <row r="733" spans="1:2" x14ac:dyDescent="0.2">
      <c r="A733" s="40" t="s">
        <v>3101</v>
      </c>
      <c r="B733" s="40">
        <v>51</v>
      </c>
    </row>
    <row r="734" spans="1:2" x14ac:dyDescent="0.2">
      <c r="A734" s="40" t="s">
        <v>2484</v>
      </c>
      <c r="B734" s="40">
        <v>10</v>
      </c>
    </row>
    <row r="735" spans="1:2" x14ac:dyDescent="0.2">
      <c r="A735" s="40" t="s">
        <v>3164</v>
      </c>
      <c r="B735" s="40">
        <v>55</v>
      </c>
    </row>
    <row r="736" spans="1:2" x14ac:dyDescent="0.2">
      <c r="A736" s="40" t="s">
        <v>2926</v>
      </c>
      <c r="B736" s="40">
        <v>43</v>
      </c>
    </row>
    <row r="737" spans="1:2" x14ac:dyDescent="0.2">
      <c r="A737" s="40" t="s">
        <v>2698</v>
      </c>
      <c r="B737" s="40">
        <v>29</v>
      </c>
    </row>
    <row r="738" spans="1:2" x14ac:dyDescent="0.2">
      <c r="A738" s="40" t="s">
        <v>3229</v>
      </c>
      <c r="B738" s="40">
        <v>60</v>
      </c>
    </row>
    <row r="739" spans="1:2" x14ac:dyDescent="0.2">
      <c r="A739" s="40" t="s">
        <v>3185</v>
      </c>
      <c r="B739" s="40">
        <v>57</v>
      </c>
    </row>
    <row r="740" spans="1:2" x14ac:dyDescent="0.2">
      <c r="A740" s="40" t="s">
        <v>3174</v>
      </c>
      <c r="B740" s="40">
        <v>56</v>
      </c>
    </row>
    <row r="741" spans="1:2" x14ac:dyDescent="0.2">
      <c r="A741" s="40" t="s">
        <v>3052</v>
      </c>
      <c r="B741" s="40">
        <v>50</v>
      </c>
    </row>
    <row r="742" spans="1:2" x14ac:dyDescent="0.2">
      <c r="A742" s="40" t="s">
        <v>2927</v>
      </c>
      <c r="B742" s="40">
        <v>43</v>
      </c>
    </row>
    <row r="743" spans="1:2" x14ac:dyDescent="0.2">
      <c r="A743" s="40" t="s">
        <v>3175</v>
      </c>
      <c r="B743" s="40">
        <v>56</v>
      </c>
    </row>
    <row r="744" spans="1:2" x14ac:dyDescent="0.2">
      <c r="A744" s="40" t="s">
        <v>3211</v>
      </c>
      <c r="B744" s="40">
        <v>59</v>
      </c>
    </row>
    <row r="745" spans="1:2" x14ac:dyDescent="0.2">
      <c r="A745" s="40" t="s">
        <v>2908</v>
      </c>
      <c r="B745" s="40">
        <v>42</v>
      </c>
    </row>
    <row r="746" spans="1:2" x14ac:dyDescent="0.2">
      <c r="A746" s="40" t="s">
        <v>3402</v>
      </c>
      <c r="B746" s="40">
        <v>69</v>
      </c>
    </row>
    <row r="747" spans="1:2" x14ac:dyDescent="0.2">
      <c r="A747" s="40" t="s">
        <v>3230</v>
      </c>
      <c r="B747" s="40">
        <v>60</v>
      </c>
    </row>
    <row r="748" spans="1:2" x14ac:dyDescent="0.2">
      <c r="A748" s="40" t="s">
        <v>3102</v>
      </c>
      <c r="B748" s="40">
        <v>51</v>
      </c>
    </row>
    <row r="749" spans="1:2" x14ac:dyDescent="0.2">
      <c r="A749" s="40" t="s">
        <v>2801</v>
      </c>
      <c r="B749" s="40">
        <v>36</v>
      </c>
    </row>
    <row r="750" spans="1:2" x14ac:dyDescent="0.2">
      <c r="A750" s="40" t="s">
        <v>2980</v>
      </c>
      <c r="B750" s="40">
        <v>47</v>
      </c>
    </row>
    <row r="751" spans="1:2" x14ac:dyDescent="0.2">
      <c r="A751" s="40" t="s">
        <v>3277</v>
      </c>
      <c r="B751" s="40">
        <v>63</v>
      </c>
    </row>
    <row r="752" spans="1:2" x14ac:dyDescent="0.2">
      <c r="A752" s="40" t="s">
        <v>3310</v>
      </c>
      <c r="B752" s="40">
        <v>65</v>
      </c>
    </row>
    <row r="753" spans="1:2" x14ac:dyDescent="0.2">
      <c r="A753" s="40" t="s">
        <v>3212</v>
      </c>
      <c r="B753" s="40">
        <v>59</v>
      </c>
    </row>
    <row r="754" spans="1:2" x14ac:dyDescent="0.2">
      <c r="A754" s="40" t="s">
        <v>3213</v>
      </c>
      <c r="B754" s="40">
        <v>59</v>
      </c>
    </row>
    <row r="755" spans="1:2" x14ac:dyDescent="0.2">
      <c r="A755" s="40" t="s">
        <v>3126</v>
      </c>
      <c r="B755" s="40">
        <v>52</v>
      </c>
    </row>
    <row r="756" spans="1:2" x14ac:dyDescent="0.2">
      <c r="A756" s="40" t="s">
        <v>2802</v>
      </c>
      <c r="B756" s="40">
        <v>36</v>
      </c>
    </row>
    <row r="757" spans="1:2" x14ac:dyDescent="0.2">
      <c r="A757" s="40" t="s">
        <v>2802</v>
      </c>
      <c r="B757" s="40">
        <v>78</v>
      </c>
    </row>
    <row r="758" spans="1:2" x14ac:dyDescent="0.2">
      <c r="A758" s="40" t="s">
        <v>3053</v>
      </c>
      <c r="B758" s="40">
        <v>50</v>
      </c>
    </row>
    <row r="759" spans="1:2" x14ac:dyDescent="0.2">
      <c r="A759" s="40" t="s">
        <v>2770</v>
      </c>
      <c r="B759" s="40">
        <v>34</v>
      </c>
    </row>
    <row r="760" spans="1:2" x14ac:dyDescent="0.2">
      <c r="A760" s="40" t="s">
        <v>2652</v>
      </c>
      <c r="B760" s="40">
        <v>25</v>
      </c>
    </row>
    <row r="761" spans="1:2" x14ac:dyDescent="0.2">
      <c r="A761" s="40" t="s">
        <v>3525</v>
      </c>
      <c r="B761" s="40">
        <v>87</v>
      </c>
    </row>
    <row r="762" spans="1:2" x14ac:dyDescent="0.2">
      <c r="A762" s="40" t="s">
        <v>2411</v>
      </c>
      <c r="B762" s="40">
        <v>58</v>
      </c>
    </row>
    <row r="763" spans="1:2" x14ac:dyDescent="0.2">
      <c r="A763" s="40" t="s">
        <v>3127</v>
      </c>
      <c r="B763" s="40">
        <v>52</v>
      </c>
    </row>
    <row r="764" spans="1:2" x14ac:dyDescent="0.2">
      <c r="A764" s="40" t="s">
        <v>3351</v>
      </c>
      <c r="B764" s="40">
        <v>66</v>
      </c>
    </row>
    <row r="765" spans="1:2" x14ac:dyDescent="0.2">
      <c r="A765" s="40" t="s">
        <v>3128</v>
      </c>
      <c r="B765" s="40">
        <v>52</v>
      </c>
    </row>
    <row r="766" spans="1:2" x14ac:dyDescent="0.2">
      <c r="A766" s="40" t="s">
        <v>3054</v>
      </c>
      <c r="B766" s="40">
        <v>50</v>
      </c>
    </row>
    <row r="767" spans="1:2" ht="25.5" x14ac:dyDescent="0.2">
      <c r="A767" s="40" t="s">
        <v>3488</v>
      </c>
      <c r="B767" s="40">
        <v>76</v>
      </c>
    </row>
    <row r="768" spans="1:2" x14ac:dyDescent="0.2">
      <c r="A768" s="40" t="s">
        <v>3214</v>
      </c>
      <c r="B768" s="40">
        <v>59</v>
      </c>
    </row>
    <row r="769" spans="1:2" x14ac:dyDescent="0.2">
      <c r="A769" s="40" t="s">
        <v>3140</v>
      </c>
      <c r="B769" s="40">
        <v>53</v>
      </c>
    </row>
    <row r="770" spans="1:2" x14ac:dyDescent="0.2">
      <c r="A770" s="40" t="s">
        <v>3502</v>
      </c>
      <c r="B770" s="40">
        <v>78</v>
      </c>
    </row>
    <row r="771" spans="1:2" x14ac:dyDescent="0.2">
      <c r="A771" s="40" t="s">
        <v>2771</v>
      </c>
      <c r="B771" s="40">
        <v>34</v>
      </c>
    </row>
    <row r="772" spans="1:2" x14ac:dyDescent="0.2">
      <c r="A772" s="40" t="s">
        <v>3294</v>
      </c>
      <c r="B772" s="40">
        <v>64</v>
      </c>
    </row>
    <row r="773" spans="1:2" ht="25.5" x14ac:dyDescent="0.2">
      <c r="A773" s="40" t="s">
        <v>3479</v>
      </c>
      <c r="B773" s="40">
        <v>75</v>
      </c>
    </row>
    <row r="774" spans="1:2" x14ac:dyDescent="0.2">
      <c r="A774" s="40" t="s">
        <v>2485</v>
      </c>
      <c r="B774" s="40">
        <v>10</v>
      </c>
    </row>
    <row r="775" spans="1:2" ht="25.5" x14ac:dyDescent="0.2">
      <c r="A775" s="40" t="s">
        <v>2896</v>
      </c>
      <c r="B775" s="40">
        <v>41</v>
      </c>
    </row>
    <row r="776" spans="1:2" x14ac:dyDescent="0.2">
      <c r="A776" s="40" t="s">
        <v>2949</v>
      </c>
      <c r="B776" s="40">
        <v>45</v>
      </c>
    </row>
    <row r="777" spans="1:2" x14ac:dyDescent="0.2">
      <c r="A777" s="40" t="s">
        <v>2750</v>
      </c>
      <c r="B777" s="40">
        <v>33</v>
      </c>
    </row>
    <row r="778" spans="1:2" x14ac:dyDescent="0.2">
      <c r="A778" s="40" t="s">
        <v>2496</v>
      </c>
      <c r="B778" s="40">
        <v>11</v>
      </c>
    </row>
    <row r="779" spans="1:2" x14ac:dyDescent="0.2">
      <c r="A779" s="40" t="s">
        <v>3231</v>
      </c>
      <c r="B779" s="40">
        <v>60</v>
      </c>
    </row>
    <row r="780" spans="1:2" x14ac:dyDescent="0.2">
      <c r="A780" s="40" t="s">
        <v>2981</v>
      </c>
      <c r="B780" s="40">
        <v>47</v>
      </c>
    </row>
    <row r="781" spans="1:2" x14ac:dyDescent="0.2">
      <c r="A781" s="40" t="s">
        <v>2860</v>
      </c>
      <c r="B781" s="40">
        <v>39</v>
      </c>
    </row>
    <row r="782" spans="1:2" x14ac:dyDescent="0.2">
      <c r="A782" s="40" t="s">
        <v>2486</v>
      </c>
      <c r="B782" s="40">
        <v>10</v>
      </c>
    </row>
    <row r="783" spans="1:2" x14ac:dyDescent="0.2">
      <c r="A783" s="40" t="s">
        <v>3426</v>
      </c>
      <c r="B783" s="40">
        <v>71</v>
      </c>
    </row>
    <row r="784" spans="1:2" x14ac:dyDescent="0.2">
      <c r="A784" s="40" t="s">
        <v>3462</v>
      </c>
      <c r="B784" s="40">
        <v>74</v>
      </c>
    </row>
    <row r="785" spans="1:2" x14ac:dyDescent="0.2">
      <c r="A785" s="40" t="s">
        <v>2815</v>
      </c>
      <c r="B785" s="40">
        <v>37</v>
      </c>
    </row>
    <row r="786" spans="1:2" x14ac:dyDescent="0.2">
      <c r="A786" s="40" t="s">
        <v>2803</v>
      </c>
      <c r="B786" s="40">
        <v>36</v>
      </c>
    </row>
    <row r="787" spans="1:2" x14ac:dyDescent="0.2">
      <c r="A787" s="40" t="s">
        <v>3543</v>
      </c>
      <c r="B787" s="40">
        <v>91</v>
      </c>
    </row>
    <row r="788" spans="1:2" x14ac:dyDescent="0.2">
      <c r="A788" s="40" t="s">
        <v>50</v>
      </c>
      <c r="B788" s="40">
        <v>50</v>
      </c>
    </row>
    <row r="789" spans="1:2" x14ac:dyDescent="0.2">
      <c r="A789" s="40" t="s">
        <v>2982</v>
      </c>
      <c r="B789" s="40">
        <v>47</v>
      </c>
    </row>
    <row r="790" spans="1:2" x14ac:dyDescent="0.2">
      <c r="A790" s="40" t="s">
        <v>3516</v>
      </c>
      <c r="B790" s="40">
        <v>86</v>
      </c>
    </row>
    <row r="791" spans="1:2" x14ac:dyDescent="0.2">
      <c r="A791" s="40" t="s">
        <v>2751</v>
      </c>
      <c r="B791" s="40">
        <v>33</v>
      </c>
    </row>
    <row r="792" spans="1:2" x14ac:dyDescent="0.2">
      <c r="A792" s="40" t="s">
        <v>2520</v>
      </c>
      <c r="B792" s="40">
        <v>14</v>
      </c>
    </row>
    <row r="793" spans="1:2" x14ac:dyDescent="0.2">
      <c r="A793" s="40" t="s">
        <v>3352</v>
      </c>
      <c r="B793" s="40">
        <v>66</v>
      </c>
    </row>
    <row r="794" spans="1:2" x14ac:dyDescent="0.2">
      <c r="A794" s="40" t="s">
        <v>2861</v>
      </c>
      <c r="B794" s="40">
        <v>39</v>
      </c>
    </row>
    <row r="795" spans="1:2" x14ac:dyDescent="0.2">
      <c r="A795" s="40" t="s">
        <v>2909</v>
      </c>
      <c r="B795" s="40">
        <v>42</v>
      </c>
    </row>
    <row r="796" spans="1:2" x14ac:dyDescent="0.2">
      <c r="A796" s="40" t="s">
        <v>3103</v>
      </c>
      <c r="B796" s="40">
        <v>51</v>
      </c>
    </row>
    <row r="797" spans="1:2" x14ac:dyDescent="0.2">
      <c r="A797" s="40" t="s">
        <v>3104</v>
      </c>
      <c r="B797" s="40">
        <v>51</v>
      </c>
    </row>
    <row r="798" spans="1:2" x14ac:dyDescent="0.2">
      <c r="A798" s="40" t="s">
        <v>3311</v>
      </c>
      <c r="B798" s="40">
        <v>65</v>
      </c>
    </row>
    <row r="799" spans="1:2" x14ac:dyDescent="0.2">
      <c r="A799" s="40" t="s">
        <v>3232</v>
      </c>
      <c r="B799" s="40">
        <v>60</v>
      </c>
    </row>
    <row r="800" spans="1:2" x14ac:dyDescent="0.2">
      <c r="A800" s="40" t="s">
        <v>3278</v>
      </c>
      <c r="B800" s="40">
        <v>63</v>
      </c>
    </row>
    <row r="801" spans="1:2" x14ac:dyDescent="0.2">
      <c r="A801" s="40" t="s">
        <v>2728</v>
      </c>
      <c r="B801" s="40">
        <v>32</v>
      </c>
    </row>
    <row r="802" spans="1:2" x14ac:dyDescent="0.2">
      <c r="A802" s="40" t="s">
        <v>3371</v>
      </c>
      <c r="B802" s="40">
        <v>67</v>
      </c>
    </row>
    <row r="803" spans="1:2" x14ac:dyDescent="0.2">
      <c r="A803" s="40" t="s">
        <v>3489</v>
      </c>
      <c r="B803" s="40">
        <v>76</v>
      </c>
    </row>
    <row r="804" spans="1:2" x14ac:dyDescent="0.2">
      <c r="A804" s="40" t="s">
        <v>2862</v>
      </c>
      <c r="B804" s="40">
        <v>39</v>
      </c>
    </row>
    <row r="805" spans="1:2" x14ac:dyDescent="0.2">
      <c r="A805" s="40" t="s">
        <v>2816</v>
      </c>
      <c r="B805" s="40">
        <v>37</v>
      </c>
    </row>
    <row r="806" spans="1:2" x14ac:dyDescent="0.2">
      <c r="A806" s="40" t="s">
        <v>2863</v>
      </c>
      <c r="B806" s="40">
        <v>39</v>
      </c>
    </row>
    <row r="807" spans="1:2" x14ac:dyDescent="0.2">
      <c r="A807" s="40" t="s">
        <v>2863</v>
      </c>
      <c r="B807" s="40">
        <v>47</v>
      </c>
    </row>
    <row r="808" spans="1:2" x14ac:dyDescent="0.2">
      <c r="A808" s="40" t="s">
        <v>2612</v>
      </c>
      <c r="B808" s="40">
        <v>23</v>
      </c>
    </row>
    <row r="809" spans="1:2" x14ac:dyDescent="0.2">
      <c r="A809" s="40" t="s">
        <v>2983</v>
      </c>
      <c r="B809" s="40">
        <v>47</v>
      </c>
    </row>
    <row r="810" spans="1:2" x14ac:dyDescent="0.2">
      <c r="A810" s="40" t="s">
        <v>2910</v>
      </c>
      <c r="B810" s="40">
        <v>42</v>
      </c>
    </row>
    <row r="811" spans="1:2" x14ac:dyDescent="0.2">
      <c r="A811" s="40" t="s">
        <v>3253</v>
      </c>
      <c r="B811" s="40">
        <v>61</v>
      </c>
    </row>
    <row r="812" spans="1:2" x14ac:dyDescent="0.2">
      <c r="A812" s="40" t="s">
        <v>3055</v>
      </c>
      <c r="B812" s="40">
        <v>50</v>
      </c>
    </row>
    <row r="813" spans="1:2" x14ac:dyDescent="0.2">
      <c r="A813" s="40" t="s">
        <v>2467</v>
      </c>
      <c r="B813" s="40">
        <v>7</v>
      </c>
    </row>
    <row r="814" spans="1:2" x14ac:dyDescent="0.2">
      <c r="A814" s="40" t="s">
        <v>3233</v>
      </c>
      <c r="B814" s="40">
        <v>60</v>
      </c>
    </row>
    <row r="815" spans="1:2" x14ac:dyDescent="0.2">
      <c r="A815" s="40" t="s">
        <v>3295</v>
      </c>
      <c r="B815" s="40">
        <v>64</v>
      </c>
    </row>
    <row r="816" spans="1:2" x14ac:dyDescent="0.2">
      <c r="A816" s="40" t="s">
        <v>2487</v>
      </c>
      <c r="B816" s="40">
        <v>10</v>
      </c>
    </row>
    <row r="817" spans="1:2" x14ac:dyDescent="0.2">
      <c r="A817" s="40" t="s">
        <v>3234</v>
      </c>
      <c r="B817" s="40">
        <v>60</v>
      </c>
    </row>
    <row r="818" spans="1:2" x14ac:dyDescent="0.2">
      <c r="A818" s="40" t="s">
        <v>2817</v>
      </c>
      <c r="B818" s="40">
        <v>37</v>
      </c>
    </row>
    <row r="819" spans="1:2" x14ac:dyDescent="0.2">
      <c r="A819" s="40" t="s">
        <v>3503</v>
      </c>
      <c r="B819" s="40">
        <v>78</v>
      </c>
    </row>
    <row r="820" spans="1:2" x14ac:dyDescent="0.2">
      <c r="A820" s="40" t="s">
        <v>3056</v>
      </c>
      <c r="B820" s="40">
        <v>50</v>
      </c>
    </row>
    <row r="821" spans="1:2" x14ac:dyDescent="0.2">
      <c r="A821" s="40" t="s">
        <v>3057</v>
      </c>
      <c r="B821" s="40">
        <v>50</v>
      </c>
    </row>
    <row r="822" spans="1:2" x14ac:dyDescent="0.2">
      <c r="A822" s="40" t="s">
        <v>3235</v>
      </c>
      <c r="B822" s="40">
        <v>60</v>
      </c>
    </row>
    <row r="823" spans="1:2" x14ac:dyDescent="0.2">
      <c r="A823" s="40" t="s">
        <v>3517</v>
      </c>
      <c r="B823" s="40">
        <v>86</v>
      </c>
    </row>
    <row r="824" spans="1:2" x14ac:dyDescent="0.2">
      <c r="A824" s="40" t="s">
        <v>2672</v>
      </c>
      <c r="B824" s="40">
        <v>26</v>
      </c>
    </row>
    <row r="825" spans="1:2" x14ac:dyDescent="0.2">
      <c r="A825" s="40" t="s">
        <v>2752</v>
      </c>
      <c r="B825" s="40">
        <v>33</v>
      </c>
    </row>
    <row r="826" spans="1:2" x14ac:dyDescent="0.2">
      <c r="A826" s="40" t="s">
        <v>2752</v>
      </c>
      <c r="B826" s="40">
        <v>86</v>
      </c>
    </row>
    <row r="827" spans="1:2" x14ac:dyDescent="0.2">
      <c r="A827" s="40" t="s">
        <v>2685</v>
      </c>
      <c r="B827" s="40">
        <v>28</v>
      </c>
    </row>
    <row r="828" spans="1:2" x14ac:dyDescent="0.2">
      <c r="A828" s="40" t="s">
        <v>3058</v>
      </c>
      <c r="B828" s="40">
        <v>50</v>
      </c>
    </row>
    <row r="829" spans="1:2" x14ac:dyDescent="0.2">
      <c r="A829" s="40" t="s">
        <v>3383</v>
      </c>
      <c r="B829" s="40">
        <v>68</v>
      </c>
    </row>
    <row r="830" spans="1:2" x14ac:dyDescent="0.2">
      <c r="A830" s="40" t="s">
        <v>3353</v>
      </c>
      <c r="B830" s="40">
        <v>66</v>
      </c>
    </row>
    <row r="831" spans="1:2" x14ac:dyDescent="0.2">
      <c r="A831" s="40" t="s">
        <v>3354</v>
      </c>
      <c r="B831" s="40">
        <v>66</v>
      </c>
    </row>
    <row r="832" spans="1:2" x14ac:dyDescent="0.2">
      <c r="A832" s="40" t="s">
        <v>3059</v>
      </c>
      <c r="B832" s="40">
        <v>50</v>
      </c>
    </row>
    <row r="833" spans="1:2" x14ac:dyDescent="0.2">
      <c r="A833" s="40" t="s">
        <v>3403</v>
      </c>
      <c r="B833" s="40">
        <v>69</v>
      </c>
    </row>
    <row r="834" spans="1:2" x14ac:dyDescent="0.2">
      <c r="A834" s="40" t="s">
        <v>2818</v>
      </c>
      <c r="B834" s="40">
        <v>37</v>
      </c>
    </row>
    <row r="835" spans="1:2" x14ac:dyDescent="0.2">
      <c r="A835" s="40" t="s">
        <v>3372</v>
      </c>
      <c r="B835" s="40">
        <v>67</v>
      </c>
    </row>
    <row r="836" spans="1:2" x14ac:dyDescent="0.2">
      <c r="A836" s="40" t="s">
        <v>2804</v>
      </c>
      <c r="B836" s="40">
        <v>36</v>
      </c>
    </row>
    <row r="837" spans="1:2" x14ac:dyDescent="0.2">
      <c r="A837" s="40" t="s">
        <v>3490</v>
      </c>
      <c r="B837" s="40">
        <v>76</v>
      </c>
    </row>
    <row r="838" spans="1:2" x14ac:dyDescent="0.2">
      <c r="A838" s="40" t="s">
        <v>3254</v>
      </c>
      <c r="B838" s="40">
        <v>61</v>
      </c>
    </row>
    <row r="839" spans="1:2" x14ac:dyDescent="0.2">
      <c r="A839" s="40" t="s">
        <v>3060</v>
      </c>
      <c r="B839" s="40">
        <v>50</v>
      </c>
    </row>
    <row r="840" spans="1:2" x14ac:dyDescent="0.2">
      <c r="A840" s="40" t="s">
        <v>3296</v>
      </c>
      <c r="B840" s="40">
        <v>64</v>
      </c>
    </row>
    <row r="841" spans="1:2" x14ac:dyDescent="0.2">
      <c r="A841" s="40" t="s">
        <v>2592</v>
      </c>
      <c r="B841" s="40">
        <v>22</v>
      </c>
    </row>
    <row r="842" spans="1:2" x14ac:dyDescent="0.2">
      <c r="A842" s="40" t="s">
        <v>3373</v>
      </c>
      <c r="B842" s="40">
        <v>67</v>
      </c>
    </row>
    <row r="843" spans="1:2" x14ac:dyDescent="0.2">
      <c r="A843" s="40" t="s">
        <v>3061</v>
      </c>
      <c r="B843" s="40">
        <v>50</v>
      </c>
    </row>
    <row r="844" spans="1:2" x14ac:dyDescent="0.2">
      <c r="A844" s="40" t="s">
        <v>2509</v>
      </c>
      <c r="B844" s="40">
        <v>13</v>
      </c>
    </row>
    <row r="845" spans="1:2" x14ac:dyDescent="0.2">
      <c r="A845" s="40" t="s">
        <v>3491</v>
      </c>
      <c r="B845" s="40">
        <v>76</v>
      </c>
    </row>
    <row r="846" spans="1:2" x14ac:dyDescent="0.2">
      <c r="A846" s="40" t="s">
        <v>3264</v>
      </c>
      <c r="B846" s="40">
        <v>62</v>
      </c>
    </row>
    <row r="847" spans="1:2" x14ac:dyDescent="0.2">
      <c r="A847" s="40" t="s">
        <v>2958</v>
      </c>
      <c r="B847" s="40">
        <v>46</v>
      </c>
    </row>
    <row r="848" spans="1:2" x14ac:dyDescent="0.2">
      <c r="A848" s="40" t="s">
        <v>3265</v>
      </c>
      <c r="B848" s="40">
        <v>62</v>
      </c>
    </row>
    <row r="849" spans="1:2" x14ac:dyDescent="0.2">
      <c r="A849" s="40" t="s">
        <v>3266</v>
      </c>
      <c r="B849" s="40">
        <v>62</v>
      </c>
    </row>
    <row r="850" spans="1:2" x14ac:dyDescent="0.2">
      <c r="A850" s="40" t="s">
        <v>3544</v>
      </c>
      <c r="B850" s="40">
        <v>91</v>
      </c>
    </row>
    <row r="851" spans="1:2" x14ac:dyDescent="0.2">
      <c r="A851" s="40" t="s">
        <v>3544</v>
      </c>
      <c r="B851" s="40">
        <v>91</v>
      </c>
    </row>
    <row r="852" spans="1:2" x14ac:dyDescent="0.2">
      <c r="A852" s="40" t="s">
        <v>2435</v>
      </c>
      <c r="B852" s="40">
        <v>2</v>
      </c>
    </row>
    <row r="853" spans="1:2" x14ac:dyDescent="0.2">
      <c r="A853" s="40" t="s">
        <v>2911</v>
      </c>
      <c r="B853" s="40">
        <v>42</v>
      </c>
    </row>
    <row r="854" spans="1:2" x14ac:dyDescent="0.2">
      <c r="A854" s="40" t="s">
        <v>3532</v>
      </c>
      <c r="B854" s="40">
        <v>89</v>
      </c>
    </row>
    <row r="855" spans="1:2" x14ac:dyDescent="0.2">
      <c r="A855" s="40" t="s">
        <v>3255</v>
      </c>
      <c r="B855" s="40">
        <v>61</v>
      </c>
    </row>
    <row r="856" spans="1:2" x14ac:dyDescent="0.2">
      <c r="A856" s="40" t="s">
        <v>3279</v>
      </c>
      <c r="B856" s="40">
        <v>63</v>
      </c>
    </row>
    <row r="857" spans="1:2" x14ac:dyDescent="0.2">
      <c r="A857" s="40" t="s">
        <v>41</v>
      </c>
      <c r="B857" s="40">
        <v>78</v>
      </c>
    </row>
    <row r="858" spans="1:2" x14ac:dyDescent="0.2">
      <c r="A858" s="40" t="s">
        <v>2510</v>
      </c>
      <c r="B858" s="40">
        <v>13</v>
      </c>
    </row>
    <row r="859" spans="1:2" x14ac:dyDescent="0.2">
      <c r="A859" s="40" t="s">
        <v>2563</v>
      </c>
      <c r="B859" s="40">
        <v>18</v>
      </c>
    </row>
    <row r="860" spans="1:2" x14ac:dyDescent="0.2">
      <c r="A860" s="40" t="s">
        <v>3297</v>
      </c>
      <c r="B860" s="40">
        <v>64</v>
      </c>
    </row>
    <row r="861" spans="1:2" x14ac:dyDescent="0.2">
      <c r="A861" s="40" t="s">
        <v>3129</v>
      </c>
      <c r="B861" s="40">
        <v>52</v>
      </c>
    </row>
    <row r="862" spans="1:2" x14ac:dyDescent="0.2">
      <c r="A862" s="40" t="s">
        <v>3267</v>
      </c>
      <c r="B862" s="40">
        <v>62</v>
      </c>
    </row>
    <row r="863" spans="1:2" x14ac:dyDescent="0.2">
      <c r="A863" s="40" t="s">
        <v>3463</v>
      </c>
      <c r="B863" s="40">
        <v>74</v>
      </c>
    </row>
    <row r="864" spans="1:2" x14ac:dyDescent="0.2">
      <c r="A864" s="40" t="s">
        <v>3374</v>
      </c>
      <c r="B864" s="40">
        <v>67</v>
      </c>
    </row>
    <row r="865" spans="1:2" x14ac:dyDescent="0.2">
      <c r="A865" s="40" t="s">
        <v>2566</v>
      </c>
      <c r="B865" s="40">
        <v>19</v>
      </c>
    </row>
    <row r="866" spans="1:2" x14ac:dyDescent="0.2">
      <c r="A866" s="40" t="s">
        <v>2837</v>
      </c>
      <c r="B866" s="40">
        <v>38</v>
      </c>
    </row>
    <row r="867" spans="1:2" x14ac:dyDescent="0.2">
      <c r="A867" s="40" t="s">
        <v>2864</v>
      </c>
      <c r="B867" s="40">
        <v>39</v>
      </c>
    </row>
    <row r="868" spans="1:2" x14ac:dyDescent="0.2">
      <c r="A868" s="40" t="s">
        <v>2673</v>
      </c>
      <c r="B868" s="40">
        <v>26</v>
      </c>
    </row>
    <row r="869" spans="1:2" x14ac:dyDescent="0.2">
      <c r="A869" s="40" t="s">
        <v>2865</v>
      </c>
      <c r="B869" s="40">
        <v>39</v>
      </c>
    </row>
    <row r="870" spans="1:2" x14ac:dyDescent="0.2">
      <c r="A870" s="40" t="s">
        <v>2984</v>
      </c>
      <c r="B870" s="40">
        <v>47</v>
      </c>
    </row>
    <row r="871" spans="1:2" x14ac:dyDescent="0.2">
      <c r="A871" s="40" t="s">
        <v>2838</v>
      </c>
      <c r="B871" s="40">
        <v>38</v>
      </c>
    </row>
    <row r="872" spans="1:2" x14ac:dyDescent="0.2">
      <c r="A872" s="40" t="s">
        <v>2686</v>
      </c>
      <c r="B872" s="40">
        <v>28</v>
      </c>
    </row>
    <row r="873" spans="1:2" x14ac:dyDescent="0.2">
      <c r="A873" s="40" t="s">
        <v>3236</v>
      </c>
      <c r="B873" s="40">
        <v>60</v>
      </c>
    </row>
    <row r="874" spans="1:2" x14ac:dyDescent="0.2">
      <c r="A874" s="40" t="s">
        <v>3552</v>
      </c>
      <c r="B874" s="40">
        <v>92</v>
      </c>
    </row>
    <row r="875" spans="1:2" x14ac:dyDescent="0.2">
      <c r="A875" s="40" t="s">
        <v>2446</v>
      </c>
      <c r="B875" s="40">
        <v>3</v>
      </c>
    </row>
    <row r="876" spans="1:2" x14ac:dyDescent="0.2">
      <c r="A876" s="40" t="s">
        <v>2699</v>
      </c>
      <c r="B876" s="40">
        <v>29</v>
      </c>
    </row>
    <row r="877" spans="1:2" x14ac:dyDescent="0.2">
      <c r="A877" s="40" t="s">
        <v>3312</v>
      </c>
      <c r="B877" s="40">
        <v>65</v>
      </c>
    </row>
    <row r="878" spans="1:2" x14ac:dyDescent="0.2">
      <c r="A878" s="40" t="s">
        <v>3105</v>
      </c>
      <c r="B878" s="40">
        <v>51</v>
      </c>
    </row>
    <row r="879" spans="1:2" x14ac:dyDescent="0.2">
      <c r="A879" s="40" t="s">
        <v>3355</v>
      </c>
      <c r="B879" s="40">
        <v>66</v>
      </c>
    </row>
    <row r="880" spans="1:2" x14ac:dyDescent="0.2">
      <c r="A880" s="40" t="s">
        <v>3412</v>
      </c>
      <c r="B880" s="40">
        <v>70</v>
      </c>
    </row>
    <row r="881" spans="1:2" x14ac:dyDescent="0.2">
      <c r="A881" s="40" t="s">
        <v>2729</v>
      </c>
      <c r="B881" s="40">
        <v>32</v>
      </c>
    </row>
    <row r="882" spans="1:2" x14ac:dyDescent="0.2">
      <c r="A882" s="40" t="s">
        <v>2488</v>
      </c>
      <c r="B882" s="40">
        <v>10</v>
      </c>
    </row>
    <row r="883" spans="1:2" x14ac:dyDescent="0.2">
      <c r="A883" s="40" t="s">
        <v>2730</v>
      </c>
      <c r="B883" s="40">
        <v>32</v>
      </c>
    </row>
    <row r="884" spans="1:2" x14ac:dyDescent="0.2">
      <c r="A884" s="40" t="s">
        <v>3130</v>
      </c>
      <c r="B884" s="40">
        <v>52</v>
      </c>
    </row>
    <row r="885" spans="1:2" x14ac:dyDescent="0.2">
      <c r="A885" s="40" t="s">
        <v>3256</v>
      </c>
      <c r="B885" s="40">
        <v>61</v>
      </c>
    </row>
    <row r="886" spans="1:2" x14ac:dyDescent="0.2">
      <c r="A886" s="40" t="s">
        <v>2805</v>
      </c>
      <c r="B886" s="40">
        <v>36</v>
      </c>
    </row>
    <row r="887" spans="1:2" x14ac:dyDescent="0.2">
      <c r="A887" s="40" t="s">
        <v>3442</v>
      </c>
      <c r="B887" s="40">
        <v>73</v>
      </c>
    </row>
    <row r="888" spans="1:2" x14ac:dyDescent="0.2">
      <c r="A888" s="40" t="s">
        <v>2772</v>
      </c>
      <c r="B888" s="40">
        <v>34</v>
      </c>
    </row>
    <row r="889" spans="1:2" x14ac:dyDescent="0.2">
      <c r="A889" s="40" t="s">
        <v>3131</v>
      </c>
      <c r="B889" s="40">
        <v>52</v>
      </c>
    </row>
    <row r="890" spans="1:2" x14ac:dyDescent="0.2">
      <c r="A890" s="40" t="s">
        <v>3062</v>
      </c>
      <c r="B890" s="40">
        <v>50</v>
      </c>
    </row>
    <row r="891" spans="1:2" x14ac:dyDescent="0.2">
      <c r="A891" s="40" t="s">
        <v>3063</v>
      </c>
      <c r="B891" s="40">
        <v>50</v>
      </c>
    </row>
    <row r="892" spans="1:2" x14ac:dyDescent="0.2">
      <c r="A892" s="40" t="s">
        <v>3194</v>
      </c>
      <c r="B892" s="40">
        <v>58</v>
      </c>
    </row>
    <row r="893" spans="1:2" x14ac:dyDescent="0.2">
      <c r="A893" s="40" t="s">
        <v>3356</v>
      </c>
      <c r="B893" s="40">
        <v>66</v>
      </c>
    </row>
    <row r="894" spans="1:2" x14ac:dyDescent="0.2">
      <c r="A894" s="40" t="s">
        <v>3064</v>
      </c>
      <c r="B894" s="40">
        <v>50</v>
      </c>
    </row>
    <row r="895" spans="1:2" x14ac:dyDescent="0.2">
      <c r="A895" s="40" t="s">
        <v>2985</v>
      </c>
      <c r="B895" s="40">
        <v>47</v>
      </c>
    </row>
    <row r="896" spans="1:2" x14ac:dyDescent="0.2">
      <c r="A896" s="40" t="s">
        <v>3504</v>
      </c>
      <c r="B896" s="40">
        <v>78</v>
      </c>
    </row>
    <row r="897" spans="1:2" x14ac:dyDescent="0.2">
      <c r="A897" s="40" t="s">
        <v>2436</v>
      </c>
      <c r="B897" s="40">
        <v>2</v>
      </c>
    </row>
    <row r="898" spans="1:2" x14ac:dyDescent="0.2">
      <c r="A898" s="40" t="s">
        <v>3464</v>
      </c>
      <c r="B898" s="40">
        <v>74</v>
      </c>
    </row>
    <row r="899" spans="1:2" x14ac:dyDescent="0.2">
      <c r="A899" s="40" t="s">
        <v>3545</v>
      </c>
      <c r="B899" s="40">
        <v>91</v>
      </c>
    </row>
    <row r="900" spans="1:2" x14ac:dyDescent="0.2">
      <c r="A900" s="40" t="s">
        <v>2687</v>
      </c>
      <c r="B900" s="40">
        <v>28</v>
      </c>
    </row>
    <row r="901" spans="1:2" x14ac:dyDescent="0.2">
      <c r="A901" s="40" t="s">
        <v>3268</v>
      </c>
      <c r="B901" s="40">
        <v>62</v>
      </c>
    </row>
    <row r="902" spans="1:2" x14ac:dyDescent="0.2">
      <c r="A902" s="40" t="s">
        <v>2593</v>
      </c>
      <c r="B902" s="40">
        <v>22</v>
      </c>
    </row>
    <row r="903" spans="1:2" x14ac:dyDescent="0.2">
      <c r="A903" s="40" t="s">
        <v>2866</v>
      </c>
      <c r="B903" s="40">
        <v>39</v>
      </c>
    </row>
    <row r="904" spans="1:2" ht="25.5" x14ac:dyDescent="0.2">
      <c r="A904" s="40" t="s">
        <v>2613</v>
      </c>
      <c r="B904" s="40">
        <v>23</v>
      </c>
    </row>
    <row r="905" spans="1:2" x14ac:dyDescent="0.2">
      <c r="A905" s="40" t="s">
        <v>2986</v>
      </c>
      <c r="B905" s="40">
        <v>47</v>
      </c>
    </row>
    <row r="906" spans="1:2" x14ac:dyDescent="0.2">
      <c r="A906" s="40" t="s">
        <v>2928</v>
      </c>
      <c r="B906" s="40">
        <v>43</v>
      </c>
    </row>
    <row r="907" spans="1:2" x14ac:dyDescent="0.2">
      <c r="A907" s="40" t="s">
        <v>2839</v>
      </c>
      <c r="B907" s="40">
        <v>38</v>
      </c>
    </row>
    <row r="908" spans="1:2" x14ac:dyDescent="0.2">
      <c r="A908" s="40" t="s">
        <v>3375</v>
      </c>
      <c r="B908" s="40">
        <v>67</v>
      </c>
    </row>
    <row r="909" spans="1:2" x14ac:dyDescent="0.2">
      <c r="A909" s="40" t="s">
        <v>3065</v>
      </c>
      <c r="B909" s="40">
        <v>50</v>
      </c>
    </row>
    <row r="910" spans="1:2" x14ac:dyDescent="0.2">
      <c r="A910" s="40" t="s">
        <v>3465</v>
      </c>
      <c r="B910" s="40">
        <v>74</v>
      </c>
    </row>
    <row r="911" spans="1:2" x14ac:dyDescent="0.2">
      <c r="A911" s="40" t="s">
        <v>3106</v>
      </c>
      <c r="B911" s="40">
        <v>51</v>
      </c>
    </row>
    <row r="912" spans="1:2" x14ac:dyDescent="0.2">
      <c r="A912" s="40" t="s">
        <v>2753</v>
      </c>
      <c r="B912" s="40">
        <v>33</v>
      </c>
    </row>
    <row r="913" spans="1:2" x14ac:dyDescent="0.2">
      <c r="A913" s="40" t="s">
        <v>2867</v>
      </c>
      <c r="B913" s="40">
        <v>39</v>
      </c>
    </row>
    <row r="914" spans="1:2" x14ac:dyDescent="0.2">
      <c r="A914" s="40" t="s">
        <v>2867</v>
      </c>
      <c r="B914" s="40">
        <v>43</v>
      </c>
    </row>
    <row r="915" spans="1:2" x14ac:dyDescent="0.2">
      <c r="A915" s="40" t="s">
        <v>2867</v>
      </c>
      <c r="B915" s="40">
        <v>71</v>
      </c>
    </row>
    <row r="916" spans="1:2" x14ac:dyDescent="0.2">
      <c r="A916" s="40" t="s">
        <v>2680</v>
      </c>
      <c r="B916" s="40">
        <v>27</v>
      </c>
    </row>
    <row r="917" spans="1:2" x14ac:dyDescent="0.2">
      <c r="A917" s="40" t="s">
        <v>3518</v>
      </c>
      <c r="B917" s="40">
        <v>86</v>
      </c>
    </row>
    <row r="918" spans="1:2" x14ac:dyDescent="0.2">
      <c r="A918" s="40" t="s">
        <v>2786</v>
      </c>
      <c r="B918" s="40">
        <v>35</v>
      </c>
    </row>
    <row r="919" spans="1:2" x14ac:dyDescent="0.2">
      <c r="A919" s="40" t="s">
        <v>2941</v>
      </c>
      <c r="B919" s="40">
        <v>44</v>
      </c>
    </row>
    <row r="920" spans="1:2" x14ac:dyDescent="0.2">
      <c r="A920" s="40" t="s">
        <v>3215</v>
      </c>
      <c r="B920" s="40">
        <v>59</v>
      </c>
    </row>
    <row r="921" spans="1:2" x14ac:dyDescent="0.2">
      <c r="A921" s="40" t="s">
        <v>3066</v>
      </c>
      <c r="B921" s="40">
        <v>50</v>
      </c>
    </row>
    <row r="922" spans="1:2" x14ac:dyDescent="0.2">
      <c r="A922" s="40" t="s">
        <v>3067</v>
      </c>
      <c r="B922" s="40">
        <v>50</v>
      </c>
    </row>
    <row r="923" spans="1:2" x14ac:dyDescent="0.2">
      <c r="A923" s="40" t="s">
        <v>3068</v>
      </c>
      <c r="B923" s="40">
        <v>50</v>
      </c>
    </row>
    <row r="924" spans="1:2" x14ac:dyDescent="0.2">
      <c r="A924" s="40" t="s">
        <v>3069</v>
      </c>
      <c r="B924" s="40">
        <v>50</v>
      </c>
    </row>
    <row r="925" spans="1:2" x14ac:dyDescent="0.2">
      <c r="A925" s="40" t="s">
        <v>3070</v>
      </c>
      <c r="B925" s="40">
        <v>50</v>
      </c>
    </row>
    <row r="926" spans="1:2" x14ac:dyDescent="0.2">
      <c r="A926" s="40" t="s">
        <v>2700</v>
      </c>
      <c r="B926" s="40">
        <v>29</v>
      </c>
    </row>
    <row r="927" spans="1:2" x14ac:dyDescent="0.2">
      <c r="A927" s="40" t="s">
        <v>3176</v>
      </c>
      <c r="B927" s="40">
        <v>56</v>
      </c>
    </row>
    <row r="928" spans="1:2" x14ac:dyDescent="0.2">
      <c r="A928" s="40" t="s">
        <v>3141</v>
      </c>
      <c r="B928" s="40">
        <v>53</v>
      </c>
    </row>
    <row r="929" spans="1:2" x14ac:dyDescent="0.2">
      <c r="A929" s="40" t="s">
        <v>3142</v>
      </c>
      <c r="B929" s="40">
        <v>53</v>
      </c>
    </row>
    <row r="930" spans="1:2" x14ac:dyDescent="0.2">
      <c r="A930" s="40" t="s">
        <v>3177</v>
      </c>
      <c r="B930" s="40">
        <v>56</v>
      </c>
    </row>
    <row r="931" spans="1:2" x14ac:dyDescent="0.2">
      <c r="A931" s="40" t="s">
        <v>2567</v>
      </c>
      <c r="B931" s="40">
        <v>19</v>
      </c>
    </row>
    <row r="932" spans="1:2" x14ac:dyDescent="0.2">
      <c r="A932" s="40" t="s">
        <v>2489</v>
      </c>
      <c r="B932" s="40">
        <v>10</v>
      </c>
    </row>
    <row r="933" spans="1:2" x14ac:dyDescent="0.2">
      <c r="A933" s="40" t="s">
        <v>2887</v>
      </c>
      <c r="B933" s="40">
        <v>40</v>
      </c>
    </row>
    <row r="934" spans="1:2" x14ac:dyDescent="0.2">
      <c r="A934" s="40" t="s">
        <v>2929</v>
      </c>
      <c r="B934" s="40">
        <v>43</v>
      </c>
    </row>
    <row r="935" spans="1:2" x14ac:dyDescent="0.2">
      <c r="A935" s="40" t="s">
        <v>2640</v>
      </c>
      <c r="B935" s="40">
        <v>24</v>
      </c>
    </row>
    <row r="936" spans="1:2" x14ac:dyDescent="0.2">
      <c r="A936" s="40" t="s">
        <v>2987</v>
      </c>
      <c r="B936" s="40">
        <v>47</v>
      </c>
    </row>
    <row r="937" spans="1:2" x14ac:dyDescent="0.2">
      <c r="A937" s="40" t="s">
        <v>2497</v>
      </c>
      <c r="B937" s="40">
        <v>11</v>
      </c>
    </row>
    <row r="938" spans="1:2" x14ac:dyDescent="0.2">
      <c r="A938" s="40" t="s">
        <v>2614</v>
      </c>
      <c r="B938" s="40">
        <v>23</v>
      </c>
    </row>
    <row r="939" spans="1:2" x14ac:dyDescent="0.2">
      <c r="A939" s="40" t="s">
        <v>2888</v>
      </c>
      <c r="B939" s="40">
        <v>40</v>
      </c>
    </row>
    <row r="940" spans="1:2" x14ac:dyDescent="0.2">
      <c r="A940" s="40" t="s">
        <v>3269</v>
      </c>
      <c r="B940" s="40">
        <v>62</v>
      </c>
    </row>
    <row r="941" spans="1:2" x14ac:dyDescent="0.2">
      <c r="A941" s="40" t="s">
        <v>3195</v>
      </c>
      <c r="B941" s="40">
        <v>58</v>
      </c>
    </row>
    <row r="942" spans="1:2" x14ac:dyDescent="0.2">
      <c r="A942" s="40" t="s">
        <v>2653</v>
      </c>
      <c r="B942" s="40">
        <v>25</v>
      </c>
    </row>
    <row r="943" spans="1:2" x14ac:dyDescent="0.2">
      <c r="A943" s="40" t="s">
        <v>3270</v>
      </c>
      <c r="B943" s="40">
        <v>62</v>
      </c>
    </row>
    <row r="944" spans="1:2" x14ac:dyDescent="0.2">
      <c r="A944" s="40" t="s">
        <v>2521</v>
      </c>
      <c r="B944" s="40">
        <v>14</v>
      </c>
    </row>
    <row r="945" spans="1:2" x14ac:dyDescent="0.2">
      <c r="A945" s="40" t="s">
        <v>3357</v>
      </c>
      <c r="B945" s="40">
        <v>66</v>
      </c>
    </row>
    <row r="946" spans="1:2" x14ac:dyDescent="0.2">
      <c r="A946" s="40" t="s">
        <v>3480</v>
      </c>
      <c r="B946" s="40">
        <v>75</v>
      </c>
    </row>
    <row r="947" spans="1:2" x14ac:dyDescent="0.2">
      <c r="A947" s="40" t="s">
        <v>2674</v>
      </c>
      <c r="B947" s="40">
        <v>26</v>
      </c>
    </row>
    <row r="948" spans="1:2" x14ac:dyDescent="0.2">
      <c r="A948" s="40" t="s">
        <v>3071</v>
      </c>
      <c r="B948" s="40">
        <v>50</v>
      </c>
    </row>
    <row r="949" spans="1:2" x14ac:dyDescent="0.2">
      <c r="A949" s="40" t="s">
        <v>3143</v>
      </c>
      <c r="B949" s="40">
        <v>53</v>
      </c>
    </row>
    <row r="950" spans="1:2" x14ac:dyDescent="0.2">
      <c r="A950" s="40" t="s">
        <v>3404</v>
      </c>
      <c r="B950" s="40">
        <v>69</v>
      </c>
    </row>
    <row r="951" spans="1:2" x14ac:dyDescent="0.2">
      <c r="A951" s="40" t="s">
        <v>2731</v>
      </c>
      <c r="B951" s="40">
        <v>32</v>
      </c>
    </row>
    <row r="952" spans="1:2" x14ac:dyDescent="0.2">
      <c r="A952" s="40" t="s">
        <v>3546</v>
      </c>
      <c r="B952" s="40">
        <v>91</v>
      </c>
    </row>
    <row r="953" spans="1:2" x14ac:dyDescent="0.2">
      <c r="A953" s="40" t="s">
        <v>2717</v>
      </c>
      <c r="B953" s="40">
        <v>31</v>
      </c>
    </row>
    <row r="954" spans="1:2" x14ac:dyDescent="0.2">
      <c r="A954" s="40" t="s">
        <v>2437</v>
      </c>
      <c r="B954" s="40">
        <v>2</v>
      </c>
    </row>
    <row r="955" spans="1:2" x14ac:dyDescent="0.2">
      <c r="A955" s="40" t="s">
        <v>3413</v>
      </c>
      <c r="B955" s="40">
        <v>70</v>
      </c>
    </row>
    <row r="956" spans="1:2" x14ac:dyDescent="0.2">
      <c r="A956" s="40" t="s">
        <v>2718</v>
      </c>
      <c r="B956" s="40">
        <v>31</v>
      </c>
    </row>
    <row r="957" spans="1:2" x14ac:dyDescent="0.2">
      <c r="A957" s="40" t="s">
        <v>2754</v>
      </c>
      <c r="B957" s="40">
        <v>33</v>
      </c>
    </row>
    <row r="958" spans="1:2" x14ac:dyDescent="0.2">
      <c r="A958" s="40" t="s">
        <v>3072</v>
      </c>
      <c r="B958" s="40">
        <v>50</v>
      </c>
    </row>
    <row r="959" spans="1:2" x14ac:dyDescent="0.2">
      <c r="A959" s="40" t="s">
        <v>3427</v>
      </c>
      <c r="B959" s="40">
        <v>71</v>
      </c>
    </row>
    <row r="960" spans="1:2" x14ac:dyDescent="0.2">
      <c r="A960" s="40" t="s">
        <v>3547</v>
      </c>
      <c r="B960" s="40">
        <v>91</v>
      </c>
    </row>
    <row r="961" spans="1:2" x14ac:dyDescent="0.2">
      <c r="A961" s="40" t="s">
        <v>2959</v>
      </c>
      <c r="B961" s="40">
        <v>46</v>
      </c>
    </row>
    <row r="962" spans="1:2" x14ac:dyDescent="0.2">
      <c r="A962" s="40" t="s">
        <v>2755</v>
      </c>
      <c r="B962" s="40">
        <v>33</v>
      </c>
    </row>
    <row r="963" spans="1:2" x14ac:dyDescent="0.2">
      <c r="A963" s="40" t="s">
        <v>2756</v>
      </c>
      <c r="B963" s="40">
        <v>33</v>
      </c>
    </row>
    <row r="964" spans="1:2" x14ac:dyDescent="0.2">
      <c r="A964" s="40" t="s">
        <v>2490</v>
      </c>
      <c r="B964" s="40">
        <v>10</v>
      </c>
    </row>
    <row r="965" spans="1:2" x14ac:dyDescent="0.2">
      <c r="A965" s="40" t="s">
        <v>2732</v>
      </c>
      <c r="B965" s="40">
        <v>32</v>
      </c>
    </row>
    <row r="966" spans="1:2" x14ac:dyDescent="0.2">
      <c r="A966" s="40" t="s">
        <v>3519</v>
      </c>
      <c r="B966" s="40">
        <v>86</v>
      </c>
    </row>
    <row r="967" spans="1:2" x14ac:dyDescent="0.2">
      <c r="A967" s="40" t="s">
        <v>2773</v>
      </c>
      <c r="B967" s="40">
        <v>34</v>
      </c>
    </row>
    <row r="968" spans="1:2" x14ac:dyDescent="0.2">
      <c r="A968" s="40" t="s">
        <v>3196</v>
      </c>
      <c r="B968" s="40">
        <v>58</v>
      </c>
    </row>
    <row r="969" spans="1:2" x14ac:dyDescent="0.2">
      <c r="A969" s="40" t="s">
        <v>3001</v>
      </c>
      <c r="B969" s="40">
        <v>49</v>
      </c>
    </row>
    <row r="970" spans="1:2" x14ac:dyDescent="0.2">
      <c r="A970" s="40" t="s">
        <v>2889</v>
      </c>
      <c r="B970" s="40">
        <v>40</v>
      </c>
    </row>
    <row r="971" spans="1:2" x14ac:dyDescent="0.2">
      <c r="A971" s="40" t="s">
        <v>3358</v>
      </c>
      <c r="B971" s="40">
        <v>66</v>
      </c>
    </row>
    <row r="972" spans="1:2" x14ac:dyDescent="0.2">
      <c r="A972" s="40" t="s">
        <v>3280</v>
      </c>
      <c r="B972" s="40">
        <v>63</v>
      </c>
    </row>
    <row r="973" spans="1:2" x14ac:dyDescent="0.2">
      <c r="A973" s="40" t="s">
        <v>2498</v>
      </c>
      <c r="B973" s="40">
        <v>11</v>
      </c>
    </row>
    <row r="974" spans="1:2" x14ac:dyDescent="0.2">
      <c r="A974" s="40" t="s">
        <v>3359</v>
      </c>
      <c r="B974" s="40">
        <v>66</v>
      </c>
    </row>
    <row r="975" spans="1:2" x14ac:dyDescent="0.2">
      <c r="A975" s="40" t="s">
        <v>3376</v>
      </c>
      <c r="B975" s="40">
        <v>67</v>
      </c>
    </row>
    <row r="976" spans="1:2" x14ac:dyDescent="0.2">
      <c r="A976" s="40" t="s">
        <v>2988</v>
      </c>
      <c r="B976" s="40">
        <v>47</v>
      </c>
    </row>
    <row r="977" spans="1:2" x14ac:dyDescent="0.2">
      <c r="A977" s="40" t="s">
        <v>3360</v>
      </c>
      <c r="B977" s="40">
        <v>66</v>
      </c>
    </row>
    <row r="978" spans="1:2" x14ac:dyDescent="0.2">
      <c r="A978" s="40" t="s">
        <v>3257</v>
      </c>
      <c r="B978" s="40">
        <v>61</v>
      </c>
    </row>
    <row r="979" spans="1:2" x14ac:dyDescent="0.2">
      <c r="A979" s="40" t="s">
        <v>2912</v>
      </c>
      <c r="B979" s="40">
        <v>42</v>
      </c>
    </row>
    <row r="980" spans="1:2" x14ac:dyDescent="0.2">
      <c r="A980" s="40" t="s">
        <v>2840</v>
      </c>
      <c r="B980" s="40">
        <v>38</v>
      </c>
    </row>
    <row r="981" spans="1:2" x14ac:dyDescent="0.2">
      <c r="A981" s="40" t="s">
        <v>3073</v>
      </c>
      <c r="B981" s="40">
        <v>50</v>
      </c>
    </row>
    <row r="982" spans="1:2" x14ac:dyDescent="0.2">
      <c r="A982" s="40" t="s">
        <v>3361</v>
      </c>
      <c r="B982" s="40">
        <v>66</v>
      </c>
    </row>
    <row r="983" spans="1:2" x14ac:dyDescent="0.2">
      <c r="A983" s="40" t="s">
        <v>3384</v>
      </c>
      <c r="B983" s="40">
        <v>68</v>
      </c>
    </row>
    <row r="984" spans="1:2" x14ac:dyDescent="0.2">
      <c r="A984" s="40" t="s">
        <v>3165</v>
      </c>
      <c r="B984" s="40">
        <v>55</v>
      </c>
    </row>
    <row r="985" spans="1:2" x14ac:dyDescent="0.2">
      <c r="A985" s="40" t="s">
        <v>3533</v>
      </c>
      <c r="B985" s="40">
        <v>89</v>
      </c>
    </row>
    <row r="986" spans="1:2" x14ac:dyDescent="0.2">
      <c r="A986" s="40" t="s">
        <v>2890</v>
      </c>
      <c r="B986" s="40">
        <v>40</v>
      </c>
    </row>
    <row r="987" spans="1:2" x14ac:dyDescent="0.2">
      <c r="A987" s="40" t="s">
        <v>3156</v>
      </c>
      <c r="B987" s="40">
        <v>54</v>
      </c>
    </row>
    <row r="988" spans="1:2" x14ac:dyDescent="0.2">
      <c r="A988" s="40" t="s">
        <v>2913</v>
      </c>
      <c r="B988" s="40">
        <v>42</v>
      </c>
    </row>
    <row r="989" spans="1:2" x14ac:dyDescent="0.2">
      <c r="A989" s="40" t="s">
        <v>3405</v>
      </c>
      <c r="B989" s="40">
        <v>69</v>
      </c>
    </row>
    <row r="990" spans="1:2" x14ac:dyDescent="0.2">
      <c r="A990" s="40" t="s">
        <v>2475</v>
      </c>
      <c r="B990" s="40">
        <v>9</v>
      </c>
    </row>
    <row r="991" spans="1:2" x14ac:dyDescent="0.2">
      <c r="A991" s="40" t="s">
        <v>2819</v>
      </c>
      <c r="B991" s="40">
        <v>37</v>
      </c>
    </row>
    <row r="992" spans="1:2" x14ac:dyDescent="0.2">
      <c r="A992" s="40" t="s">
        <v>2511</v>
      </c>
      <c r="B992" s="40">
        <v>13</v>
      </c>
    </row>
    <row r="993" spans="1:2" x14ac:dyDescent="0.2">
      <c r="A993" s="40" t="s">
        <v>2615</v>
      </c>
      <c r="B993" s="40">
        <v>23</v>
      </c>
    </row>
    <row r="994" spans="1:2" x14ac:dyDescent="0.2">
      <c r="A994" s="40" t="s">
        <v>2468</v>
      </c>
      <c r="B994" s="40">
        <v>7</v>
      </c>
    </row>
    <row r="995" spans="1:2" x14ac:dyDescent="0.2">
      <c r="A995" s="40" t="s">
        <v>2551</v>
      </c>
      <c r="B995" s="40">
        <v>16</v>
      </c>
    </row>
    <row r="996" spans="1:2" x14ac:dyDescent="0.2">
      <c r="A996" s="40" t="s">
        <v>2616</v>
      </c>
      <c r="B996" s="40">
        <v>23</v>
      </c>
    </row>
    <row r="997" spans="1:2" x14ac:dyDescent="0.2">
      <c r="A997" s="40" t="s">
        <v>2989</v>
      </c>
      <c r="B997" s="40">
        <v>47</v>
      </c>
    </row>
    <row r="998" spans="1:2" x14ac:dyDescent="0.2">
      <c r="A998" s="40" t="s">
        <v>2617</v>
      </c>
      <c r="B998" s="40">
        <v>23</v>
      </c>
    </row>
    <row r="999" spans="1:2" x14ac:dyDescent="0.2">
      <c r="A999" s="40" t="s">
        <v>3435</v>
      </c>
      <c r="B999" s="40">
        <v>72</v>
      </c>
    </row>
    <row r="1000" spans="1:2" x14ac:dyDescent="0.2">
      <c r="A1000" s="40" t="s">
        <v>3157</v>
      </c>
      <c r="B1000" s="40">
        <v>54</v>
      </c>
    </row>
    <row r="1001" spans="1:2" x14ac:dyDescent="0.2">
      <c r="A1001" s="40" t="s">
        <v>3281</v>
      </c>
      <c r="B1001" s="40">
        <v>63</v>
      </c>
    </row>
    <row r="1002" spans="1:2" x14ac:dyDescent="0.2">
      <c r="A1002" s="40" t="s">
        <v>3313</v>
      </c>
      <c r="B1002" s="40">
        <v>65</v>
      </c>
    </row>
    <row r="1003" spans="1:2" x14ac:dyDescent="0.2">
      <c r="A1003" s="40" t="s">
        <v>2522</v>
      </c>
      <c r="B1003" s="40">
        <v>14</v>
      </c>
    </row>
    <row r="1004" spans="1:2" x14ac:dyDescent="0.2">
      <c r="A1004" s="40" t="s">
        <v>3414</v>
      </c>
      <c r="B1004" s="40">
        <v>70</v>
      </c>
    </row>
    <row r="1005" spans="1:2" x14ac:dyDescent="0.2">
      <c r="A1005" s="40" t="s">
        <v>2914</v>
      </c>
      <c r="B1005" s="40">
        <v>42</v>
      </c>
    </row>
    <row r="1006" spans="1:2" x14ac:dyDescent="0.2">
      <c r="A1006" s="40" t="s">
        <v>3406</v>
      </c>
      <c r="B1006" s="40">
        <v>69</v>
      </c>
    </row>
    <row r="1007" spans="1:2" x14ac:dyDescent="0.2">
      <c r="A1007" s="40" t="s">
        <v>3407</v>
      </c>
      <c r="B1007" s="40">
        <v>69</v>
      </c>
    </row>
    <row r="1008" spans="1:2" x14ac:dyDescent="0.2">
      <c r="A1008" s="40" t="s">
        <v>2990</v>
      </c>
      <c r="B1008" s="40">
        <v>47</v>
      </c>
    </row>
    <row r="1009" spans="1:2" x14ac:dyDescent="0.2">
      <c r="A1009" s="40" t="s">
        <v>2787</v>
      </c>
      <c r="B1009" s="40">
        <v>35</v>
      </c>
    </row>
    <row r="1010" spans="1:2" x14ac:dyDescent="0.2">
      <c r="A1010" s="40" t="s">
        <v>3466</v>
      </c>
      <c r="B1010" s="40">
        <v>74</v>
      </c>
    </row>
    <row r="1011" spans="1:2" x14ac:dyDescent="0.2">
      <c r="A1011" s="40" t="s">
        <v>3467</v>
      </c>
      <c r="B1011" s="40">
        <v>74</v>
      </c>
    </row>
    <row r="1012" spans="1:2" x14ac:dyDescent="0.2">
      <c r="A1012" s="40" t="s">
        <v>3468</v>
      </c>
      <c r="B1012" s="40">
        <v>74</v>
      </c>
    </row>
    <row r="1013" spans="1:2" x14ac:dyDescent="0.2">
      <c r="A1013" s="40" t="s">
        <v>3468</v>
      </c>
      <c r="B1013" s="40">
        <v>77</v>
      </c>
    </row>
    <row r="1014" spans="1:2" x14ac:dyDescent="0.2">
      <c r="A1014" s="40" t="s">
        <v>2733</v>
      </c>
      <c r="B1014" s="40">
        <v>32</v>
      </c>
    </row>
    <row r="1015" spans="1:2" x14ac:dyDescent="0.2">
      <c r="A1015" s="40" t="s">
        <v>2618</v>
      </c>
      <c r="B1015" s="40">
        <v>23</v>
      </c>
    </row>
    <row r="1016" spans="1:2" x14ac:dyDescent="0.2">
      <c r="A1016" s="40" t="s">
        <v>2438</v>
      </c>
      <c r="B1016" s="40">
        <v>2</v>
      </c>
    </row>
    <row r="1017" spans="1:2" x14ac:dyDescent="0.2">
      <c r="A1017" s="40" t="s">
        <v>3428</v>
      </c>
      <c r="B1017" s="40">
        <v>71</v>
      </c>
    </row>
    <row r="1018" spans="1:2" x14ac:dyDescent="0.2">
      <c r="A1018" s="40" t="s">
        <v>2841</v>
      </c>
      <c r="B1018" s="40">
        <v>38</v>
      </c>
    </row>
    <row r="1019" spans="1:2" x14ac:dyDescent="0.2">
      <c r="A1019" s="40" t="s">
        <v>2555</v>
      </c>
      <c r="B1019" s="40">
        <v>17</v>
      </c>
    </row>
    <row r="1020" spans="1:2" x14ac:dyDescent="0.2">
      <c r="A1020" s="40" t="s">
        <v>3362</v>
      </c>
      <c r="B1020" s="40">
        <v>66</v>
      </c>
    </row>
    <row r="1021" spans="1:2" x14ac:dyDescent="0.2">
      <c r="A1021" s="40" t="s">
        <v>3492</v>
      </c>
      <c r="B1021" s="40">
        <v>76</v>
      </c>
    </row>
    <row r="1022" spans="1:2" x14ac:dyDescent="0.2">
      <c r="A1022" s="40" t="s">
        <v>2688</v>
      </c>
      <c r="B1022" s="40">
        <v>28</v>
      </c>
    </row>
    <row r="1023" spans="1:2" x14ac:dyDescent="0.2">
      <c r="A1023" s="40" t="s">
        <v>2469</v>
      </c>
      <c r="B1023" s="40">
        <v>7</v>
      </c>
    </row>
    <row r="1024" spans="1:2" x14ac:dyDescent="0.2">
      <c r="A1024" s="40" t="s">
        <v>3166</v>
      </c>
      <c r="B1024" s="40">
        <v>55</v>
      </c>
    </row>
    <row r="1025" spans="1:2" x14ac:dyDescent="0.2">
      <c r="A1025" s="40" t="s">
        <v>3436</v>
      </c>
      <c r="B1025" s="40">
        <v>72</v>
      </c>
    </row>
    <row r="1026" spans="1:2" x14ac:dyDescent="0.2">
      <c r="A1026" s="40" t="s">
        <v>3385</v>
      </c>
      <c r="B1026" s="40">
        <v>68</v>
      </c>
    </row>
    <row r="1027" spans="1:2" x14ac:dyDescent="0.2">
      <c r="A1027" s="40" t="s">
        <v>3314</v>
      </c>
      <c r="B1027" s="40">
        <v>65</v>
      </c>
    </row>
    <row r="1028" spans="1:2" x14ac:dyDescent="0.2">
      <c r="A1028" s="40" t="s">
        <v>3493</v>
      </c>
      <c r="B1028" s="40">
        <v>76</v>
      </c>
    </row>
    <row r="1029" spans="1:2" x14ac:dyDescent="0.2">
      <c r="A1029" s="40" t="s">
        <v>2523</v>
      </c>
      <c r="B1029" s="40">
        <v>14</v>
      </c>
    </row>
    <row r="1030" spans="1:2" x14ac:dyDescent="0.2">
      <c r="A1030" s="40" t="s">
        <v>3408</v>
      </c>
      <c r="B1030" s="40">
        <v>69</v>
      </c>
    </row>
    <row r="1031" spans="1:2" x14ac:dyDescent="0.2">
      <c r="A1031" s="40" t="s">
        <v>2641</v>
      </c>
      <c r="B1031" s="40">
        <v>24</v>
      </c>
    </row>
    <row r="1032" spans="1:2" x14ac:dyDescent="0.2">
      <c r="A1032" s="40" t="s">
        <v>3429</v>
      </c>
      <c r="B1032" s="40">
        <v>71</v>
      </c>
    </row>
    <row r="1033" spans="1:2" x14ac:dyDescent="0.2">
      <c r="A1033" s="40" t="s">
        <v>2447</v>
      </c>
      <c r="B1033" s="40">
        <v>3</v>
      </c>
    </row>
    <row r="1034" spans="1:2" x14ac:dyDescent="0.2">
      <c r="A1034" s="40" t="s">
        <v>3443</v>
      </c>
      <c r="B1034" s="40">
        <v>73</v>
      </c>
    </row>
    <row r="1035" spans="1:2" x14ac:dyDescent="0.2">
      <c r="A1035" s="40" t="s">
        <v>2734</v>
      </c>
      <c r="B1035" s="40">
        <v>32</v>
      </c>
    </row>
    <row r="1036" spans="1:2" x14ac:dyDescent="0.2">
      <c r="A1036" s="40" t="s">
        <v>3520</v>
      </c>
      <c r="B1036" s="40">
        <v>86</v>
      </c>
    </row>
    <row r="1037" spans="1:2" x14ac:dyDescent="0.2">
      <c r="A1037" s="40" t="s">
        <v>3132</v>
      </c>
      <c r="B1037" s="40">
        <v>52</v>
      </c>
    </row>
    <row r="1038" spans="1:2" x14ac:dyDescent="0.2">
      <c r="A1038" s="40" t="s">
        <v>2930</v>
      </c>
      <c r="B1038" s="40">
        <v>43</v>
      </c>
    </row>
    <row r="1039" spans="1:2" x14ac:dyDescent="0.2">
      <c r="A1039" s="40" t="s">
        <v>2572</v>
      </c>
      <c r="B1039" s="40">
        <v>20</v>
      </c>
    </row>
    <row r="1040" spans="1:2" x14ac:dyDescent="0.2">
      <c r="A1040" s="40" t="s">
        <v>2774</v>
      </c>
      <c r="B1040" s="40">
        <v>34</v>
      </c>
    </row>
    <row r="1041" spans="1:2" x14ac:dyDescent="0.2">
      <c r="A1041" s="40" t="s">
        <v>2499</v>
      </c>
      <c r="B1041" s="40">
        <v>11</v>
      </c>
    </row>
    <row r="1042" spans="1:2" x14ac:dyDescent="0.2">
      <c r="A1042" s="40" t="s">
        <v>2998</v>
      </c>
      <c r="B1042" s="40">
        <v>48</v>
      </c>
    </row>
    <row r="1043" spans="1:2" x14ac:dyDescent="0.2">
      <c r="A1043" s="40" t="s">
        <v>3216</v>
      </c>
      <c r="B1043" s="40">
        <v>59</v>
      </c>
    </row>
    <row r="1044" spans="1:2" x14ac:dyDescent="0.2">
      <c r="A1044" s="40" t="s">
        <v>2842</v>
      </c>
      <c r="B1044" s="40">
        <v>38</v>
      </c>
    </row>
    <row r="1045" spans="1:2" x14ac:dyDescent="0.2">
      <c r="A1045" s="40" t="s">
        <v>2654</v>
      </c>
      <c r="B1045" s="40">
        <v>25</v>
      </c>
    </row>
    <row r="1046" spans="1:2" x14ac:dyDescent="0.2">
      <c r="A1046" s="40" t="s">
        <v>2476</v>
      </c>
      <c r="B1046" s="40">
        <v>9</v>
      </c>
    </row>
    <row r="1047" spans="1:2" x14ac:dyDescent="0.2">
      <c r="A1047" s="40" t="s">
        <v>2843</v>
      </c>
      <c r="B1047" s="40">
        <v>38</v>
      </c>
    </row>
    <row r="1048" spans="1:2" x14ac:dyDescent="0.2">
      <c r="A1048" s="40" t="s">
        <v>3469</v>
      </c>
      <c r="B1048" s="40">
        <v>74</v>
      </c>
    </row>
    <row r="1049" spans="1:2" x14ac:dyDescent="0.2">
      <c r="A1049" s="40" t="s">
        <v>2844</v>
      </c>
      <c r="B1049" s="40">
        <v>38</v>
      </c>
    </row>
    <row r="1050" spans="1:2" x14ac:dyDescent="0.2">
      <c r="A1050" s="40" t="s">
        <v>2619</v>
      </c>
      <c r="B1050" s="40">
        <v>23</v>
      </c>
    </row>
    <row r="1051" spans="1:2" x14ac:dyDescent="0.2">
      <c r="A1051" s="40" t="s">
        <v>2788</v>
      </c>
      <c r="B1051" s="40">
        <v>35</v>
      </c>
    </row>
    <row r="1052" spans="1:2" x14ac:dyDescent="0.2">
      <c r="A1052" s="40" t="s">
        <v>2439</v>
      </c>
      <c r="B1052" s="40">
        <v>2</v>
      </c>
    </row>
    <row r="1053" spans="1:2" x14ac:dyDescent="0.2">
      <c r="A1053" s="40" t="s">
        <v>2500</v>
      </c>
      <c r="B1053" s="40">
        <v>11</v>
      </c>
    </row>
    <row r="1054" spans="1:2" x14ac:dyDescent="0.2">
      <c r="A1054" s="40" t="s">
        <v>2440</v>
      </c>
      <c r="B1054" s="40">
        <v>2</v>
      </c>
    </row>
    <row r="1055" spans="1:2" x14ac:dyDescent="0.2">
      <c r="A1055" s="40" t="s">
        <v>2642</v>
      </c>
      <c r="B1055" s="40">
        <v>24</v>
      </c>
    </row>
    <row r="1056" spans="1:2" x14ac:dyDescent="0.2">
      <c r="A1056" s="40" t="s">
        <v>2960</v>
      </c>
      <c r="B1056" s="40">
        <v>46</v>
      </c>
    </row>
    <row r="1057" spans="1:2" x14ac:dyDescent="0.2">
      <c r="A1057" s="40" t="s">
        <v>3548</v>
      </c>
      <c r="B1057" s="40">
        <v>91</v>
      </c>
    </row>
    <row r="1058" spans="1:2" x14ac:dyDescent="0.2">
      <c r="A1058" s="40" t="s">
        <v>2655</v>
      </c>
      <c r="B1058" s="40">
        <v>25</v>
      </c>
    </row>
    <row r="1059" spans="1:2" x14ac:dyDescent="0.2">
      <c r="A1059" s="40" t="s">
        <v>2655</v>
      </c>
      <c r="B1059" s="40">
        <v>32</v>
      </c>
    </row>
    <row r="1060" spans="1:2" x14ac:dyDescent="0.2">
      <c r="A1060" s="40" t="s">
        <v>2775</v>
      </c>
      <c r="B1060" s="40">
        <v>34</v>
      </c>
    </row>
    <row r="1061" spans="1:2" x14ac:dyDescent="0.2">
      <c r="A1061" s="40" t="s">
        <v>3074</v>
      </c>
      <c r="B1061" s="40">
        <v>50</v>
      </c>
    </row>
    <row r="1062" spans="1:2" x14ac:dyDescent="0.2">
      <c r="A1062" s="40" t="s">
        <v>2820</v>
      </c>
      <c r="B1062" s="40">
        <v>37</v>
      </c>
    </row>
    <row r="1063" spans="1:2" x14ac:dyDescent="0.2">
      <c r="A1063" s="40" t="s">
        <v>2681</v>
      </c>
      <c r="B1063" s="40">
        <v>27</v>
      </c>
    </row>
    <row r="1064" spans="1:2" x14ac:dyDescent="0.2">
      <c r="A1064" s="40" t="s">
        <v>2620</v>
      </c>
      <c r="B1064" s="40">
        <v>23</v>
      </c>
    </row>
    <row r="1065" spans="1:2" x14ac:dyDescent="0.2">
      <c r="A1065" s="40" t="s">
        <v>3521</v>
      </c>
      <c r="B1065" s="40">
        <v>86</v>
      </c>
    </row>
    <row r="1066" spans="1:2" x14ac:dyDescent="0.2">
      <c r="A1066" s="40" t="s">
        <v>2708</v>
      </c>
      <c r="B1066" s="40">
        <v>30</v>
      </c>
    </row>
    <row r="1067" spans="1:2" x14ac:dyDescent="0.2">
      <c r="A1067" s="40" t="s">
        <v>2789</v>
      </c>
      <c r="B1067" s="40">
        <v>35</v>
      </c>
    </row>
    <row r="1068" spans="1:2" x14ac:dyDescent="0.2">
      <c r="A1068" s="40" t="s">
        <v>2457</v>
      </c>
      <c r="B1068" s="40">
        <v>5</v>
      </c>
    </row>
    <row r="1069" spans="1:2" x14ac:dyDescent="0.2">
      <c r="A1069" s="40" t="s">
        <v>3298</v>
      </c>
      <c r="B1069" s="40">
        <v>64</v>
      </c>
    </row>
    <row r="1070" spans="1:2" x14ac:dyDescent="0.2">
      <c r="A1070" s="40" t="s">
        <v>3481</v>
      </c>
      <c r="B1070" s="40">
        <v>75</v>
      </c>
    </row>
    <row r="1071" spans="1:2" x14ac:dyDescent="0.2">
      <c r="A1071" s="40" t="s">
        <v>3075</v>
      </c>
      <c r="B1071" s="40">
        <v>50</v>
      </c>
    </row>
    <row r="1072" spans="1:2" x14ac:dyDescent="0.2">
      <c r="A1072" s="40" t="s">
        <v>3144</v>
      </c>
      <c r="B1072" s="40">
        <v>53</v>
      </c>
    </row>
    <row r="1073" spans="1:2" x14ac:dyDescent="0.2">
      <c r="A1073" s="40" t="s">
        <v>3315</v>
      </c>
      <c r="B1073" s="40">
        <v>65</v>
      </c>
    </row>
    <row r="1074" spans="1:2" x14ac:dyDescent="0.2">
      <c r="A1074" s="40" t="s">
        <v>3076</v>
      </c>
      <c r="B1074" s="40">
        <v>50</v>
      </c>
    </row>
    <row r="1075" spans="1:2" x14ac:dyDescent="0.2">
      <c r="A1075" s="40" t="s">
        <v>2579</v>
      </c>
      <c r="B1075" s="40">
        <v>21</v>
      </c>
    </row>
    <row r="1076" spans="1:2" x14ac:dyDescent="0.2">
      <c r="A1076" s="40" t="s">
        <v>3258</v>
      </c>
      <c r="B1076" s="40">
        <v>61</v>
      </c>
    </row>
    <row r="1077" spans="1:2" x14ac:dyDescent="0.2">
      <c r="A1077" s="40" t="s">
        <v>2556</v>
      </c>
      <c r="B1077" s="40">
        <v>17</v>
      </c>
    </row>
    <row r="1078" spans="1:2" x14ac:dyDescent="0.2">
      <c r="A1078" s="40" t="s">
        <v>3217</v>
      </c>
      <c r="B1078" s="40">
        <v>59</v>
      </c>
    </row>
    <row r="1079" spans="1:2" x14ac:dyDescent="0.2">
      <c r="A1079" s="40" t="s">
        <v>3282</v>
      </c>
      <c r="B1079" s="40">
        <v>63</v>
      </c>
    </row>
    <row r="1080" spans="1:2" x14ac:dyDescent="0.2">
      <c r="A1080" s="40" t="s">
        <v>2999</v>
      </c>
      <c r="B1080" s="40">
        <v>48</v>
      </c>
    </row>
    <row r="1081" spans="1:2" x14ac:dyDescent="0.2">
      <c r="A1081" s="40" t="s">
        <v>3470</v>
      </c>
      <c r="B1081" s="40">
        <v>74</v>
      </c>
    </row>
    <row r="1082" spans="1:2" x14ac:dyDescent="0.2">
      <c r="A1082" s="40" t="s">
        <v>2580</v>
      </c>
      <c r="B1082" s="40">
        <v>21</v>
      </c>
    </row>
    <row r="1083" spans="1:2" x14ac:dyDescent="0.2">
      <c r="A1083" s="40" t="s">
        <v>2470</v>
      </c>
      <c r="B1083" s="40">
        <v>7</v>
      </c>
    </row>
    <row r="1084" spans="1:2" x14ac:dyDescent="0.2">
      <c r="A1084" s="40" t="s">
        <v>3430</v>
      </c>
      <c r="B1084" s="40">
        <v>71</v>
      </c>
    </row>
    <row r="1085" spans="1:2" x14ac:dyDescent="0.2">
      <c r="A1085" s="40" t="s">
        <v>3471</v>
      </c>
      <c r="B1085" s="40">
        <v>74</v>
      </c>
    </row>
    <row r="1086" spans="1:2" x14ac:dyDescent="0.2">
      <c r="A1086" s="40" t="s">
        <v>3218</v>
      </c>
      <c r="B1086" s="40">
        <v>59</v>
      </c>
    </row>
    <row r="1087" spans="1:2" x14ac:dyDescent="0.2">
      <c r="A1087" s="40" t="s">
        <v>2845</v>
      </c>
      <c r="B1087" s="40">
        <v>38</v>
      </c>
    </row>
    <row r="1088" spans="1:2" x14ac:dyDescent="0.2">
      <c r="A1088" s="40" t="s">
        <v>3158</v>
      </c>
      <c r="B1088" s="40">
        <v>54</v>
      </c>
    </row>
    <row r="1089" spans="1:2" x14ac:dyDescent="0.2">
      <c r="A1089" s="40" t="s">
        <v>2790</v>
      </c>
      <c r="B1089" s="40">
        <v>35</v>
      </c>
    </row>
    <row r="1090" spans="1:2" x14ac:dyDescent="0.2">
      <c r="A1090" s="40" t="s">
        <v>2477</v>
      </c>
      <c r="B1090" s="40">
        <v>9</v>
      </c>
    </row>
    <row r="1091" spans="1:2" x14ac:dyDescent="0.2">
      <c r="A1091" s="40" t="s">
        <v>3219</v>
      </c>
      <c r="B1091" s="40">
        <v>59</v>
      </c>
    </row>
    <row r="1092" spans="1:2" x14ac:dyDescent="0.2">
      <c r="A1092" s="40" t="s">
        <v>3077</v>
      </c>
      <c r="B1092" s="40">
        <v>50</v>
      </c>
    </row>
    <row r="1093" spans="1:2" x14ac:dyDescent="0.2">
      <c r="A1093" s="40" t="s">
        <v>2568</v>
      </c>
      <c r="B1093" s="40">
        <v>19</v>
      </c>
    </row>
    <row r="1094" spans="1:2" x14ac:dyDescent="0.2">
      <c r="A1094" s="40" t="s">
        <v>3220</v>
      </c>
      <c r="B1094" s="40">
        <v>59</v>
      </c>
    </row>
    <row r="1095" spans="1:2" x14ac:dyDescent="0.2">
      <c r="A1095" s="40" t="s">
        <v>2868</v>
      </c>
      <c r="B1095" s="40">
        <v>39</v>
      </c>
    </row>
    <row r="1096" spans="1:2" x14ac:dyDescent="0.2">
      <c r="A1096" s="40" t="s">
        <v>3078</v>
      </c>
      <c r="B1096" s="40">
        <v>50</v>
      </c>
    </row>
    <row r="1097" spans="1:2" x14ac:dyDescent="0.2">
      <c r="A1097" s="40" t="s">
        <v>3079</v>
      </c>
      <c r="B1097" s="40">
        <v>50</v>
      </c>
    </row>
    <row r="1098" spans="1:2" x14ac:dyDescent="0.2">
      <c r="A1098" s="40" t="s">
        <v>3080</v>
      </c>
      <c r="B1098" s="40">
        <v>50</v>
      </c>
    </row>
    <row r="1099" spans="1:2" x14ac:dyDescent="0.2">
      <c r="A1099" s="40" t="s">
        <v>3081</v>
      </c>
      <c r="B1099" s="40">
        <v>50</v>
      </c>
    </row>
    <row r="1100" spans="1:2" x14ac:dyDescent="0.2">
      <c r="A1100" s="40" t="s">
        <v>2552</v>
      </c>
      <c r="B1100" s="40">
        <v>16</v>
      </c>
    </row>
    <row r="1101" spans="1:2" x14ac:dyDescent="0.2">
      <c r="A1101" s="40" t="s">
        <v>3482</v>
      </c>
      <c r="B1101" s="40">
        <v>75</v>
      </c>
    </row>
    <row r="1102" spans="1:2" x14ac:dyDescent="0.2">
      <c r="A1102" s="40" t="s">
        <v>3133</v>
      </c>
      <c r="B1102" s="40">
        <v>52</v>
      </c>
    </row>
    <row r="1103" spans="1:2" x14ac:dyDescent="0.2">
      <c r="A1103" s="40" t="s">
        <v>3145</v>
      </c>
      <c r="B1103" s="40">
        <v>53</v>
      </c>
    </row>
    <row r="1104" spans="1:2" x14ac:dyDescent="0.2">
      <c r="A1104" s="40" t="s">
        <v>3159</v>
      </c>
      <c r="B1104" s="40">
        <v>54</v>
      </c>
    </row>
    <row r="1105" spans="1:2" x14ac:dyDescent="0.2">
      <c r="A1105" s="40" t="s">
        <v>3160</v>
      </c>
      <c r="B1105" s="40">
        <v>54</v>
      </c>
    </row>
    <row r="1106" spans="1:2" x14ac:dyDescent="0.2">
      <c r="A1106" s="40" t="s">
        <v>3221</v>
      </c>
      <c r="B1106" s="40">
        <v>59</v>
      </c>
    </row>
    <row r="1107" spans="1:2" x14ac:dyDescent="0.2">
      <c r="A1107" s="40" t="s">
        <v>2942</v>
      </c>
      <c r="B1107" s="40">
        <v>44</v>
      </c>
    </row>
    <row r="1108" spans="1:2" x14ac:dyDescent="0.2">
      <c r="A1108" s="40" t="s">
        <v>2557</v>
      </c>
      <c r="B1108" s="40">
        <v>17</v>
      </c>
    </row>
    <row r="1109" spans="1:2" x14ac:dyDescent="0.2">
      <c r="A1109" s="40" t="s">
        <v>2950</v>
      </c>
      <c r="B1109" s="40">
        <v>45</v>
      </c>
    </row>
    <row r="1110" spans="1:2" x14ac:dyDescent="0.2">
      <c r="A1110" s="40" t="s">
        <v>2573</v>
      </c>
      <c r="B1110" s="40">
        <v>20</v>
      </c>
    </row>
    <row r="1111" spans="1:2" x14ac:dyDescent="0.2">
      <c r="A1111" s="40" t="s">
        <v>2643</v>
      </c>
      <c r="B1111" s="40">
        <v>24</v>
      </c>
    </row>
    <row r="1112" spans="1:2" x14ac:dyDescent="0.2">
      <c r="A1112" s="40" t="s">
        <v>2943</v>
      </c>
      <c r="B1112" s="40">
        <v>44</v>
      </c>
    </row>
    <row r="1113" spans="1:2" x14ac:dyDescent="0.2">
      <c r="A1113" s="40" t="s">
        <v>3082</v>
      </c>
      <c r="B1113" s="40">
        <v>50</v>
      </c>
    </row>
    <row r="1114" spans="1:2" x14ac:dyDescent="0.2">
      <c r="A1114" s="40" t="s">
        <v>3316</v>
      </c>
      <c r="B1114" s="40">
        <v>65</v>
      </c>
    </row>
    <row r="1115" spans="1:2" x14ac:dyDescent="0.2">
      <c r="A1115" s="40" t="s">
        <v>3259</v>
      </c>
      <c r="B1115" s="40">
        <v>61</v>
      </c>
    </row>
    <row r="1116" spans="1:2" x14ac:dyDescent="0.2">
      <c r="A1116" s="40" t="s">
        <v>3134</v>
      </c>
      <c r="B1116" s="40">
        <v>52</v>
      </c>
    </row>
    <row r="1117" spans="1:2" x14ac:dyDescent="0.2">
      <c r="A1117" s="40" t="s">
        <v>3271</v>
      </c>
      <c r="B1117" s="40">
        <v>62</v>
      </c>
    </row>
    <row r="1118" spans="1:2" x14ac:dyDescent="0.2">
      <c r="A1118" s="40" t="s">
        <v>2719</v>
      </c>
      <c r="B1118" s="40">
        <v>31</v>
      </c>
    </row>
    <row r="1119" spans="1:2" x14ac:dyDescent="0.2">
      <c r="A1119" s="40" t="s">
        <v>2846</v>
      </c>
      <c r="B1119" s="40">
        <v>38</v>
      </c>
    </row>
    <row r="1120" spans="1:2" x14ac:dyDescent="0.2">
      <c r="A1120" s="40" t="s">
        <v>2701</v>
      </c>
      <c r="B1120" s="40">
        <v>29</v>
      </c>
    </row>
    <row r="1121" spans="1:2" x14ac:dyDescent="0.2">
      <c r="A1121" s="40" t="s">
        <v>3483</v>
      </c>
      <c r="B1121" s="40">
        <v>75</v>
      </c>
    </row>
    <row r="1122" spans="1:2" x14ac:dyDescent="0.2">
      <c r="A1122" s="40" t="s">
        <v>2689</v>
      </c>
      <c r="B1122" s="40">
        <v>28</v>
      </c>
    </row>
    <row r="1123" spans="1:2" x14ac:dyDescent="0.2">
      <c r="A1123" s="40" t="s">
        <v>3299</v>
      </c>
      <c r="B1123" s="40">
        <v>64</v>
      </c>
    </row>
    <row r="1124" spans="1:2" x14ac:dyDescent="0.2">
      <c r="A1124" s="40" t="s">
        <v>2991</v>
      </c>
      <c r="B1124" s="40">
        <v>47</v>
      </c>
    </row>
    <row r="1125" spans="1:2" x14ac:dyDescent="0.2">
      <c r="A1125" s="40" t="s">
        <v>2581</v>
      </c>
      <c r="B1125" s="40">
        <v>21</v>
      </c>
    </row>
    <row r="1126" spans="1:2" x14ac:dyDescent="0.2">
      <c r="A1126" s="40" t="s">
        <v>2951</v>
      </c>
      <c r="B1126" s="40">
        <v>45</v>
      </c>
    </row>
    <row r="1127" spans="1:2" x14ac:dyDescent="0.2">
      <c r="A1127" s="40" t="s">
        <v>2821</v>
      </c>
      <c r="B1127" s="40">
        <v>37</v>
      </c>
    </row>
    <row r="1128" spans="1:2" x14ac:dyDescent="0.2">
      <c r="A1128" s="40" t="s">
        <v>3431</v>
      </c>
      <c r="B1128" s="40">
        <v>71</v>
      </c>
    </row>
    <row r="1129" spans="1:2" x14ac:dyDescent="0.2">
      <c r="A1129" s="40" t="s">
        <v>3549</v>
      </c>
      <c r="B1129" s="40">
        <v>91</v>
      </c>
    </row>
    <row r="1130" spans="1:2" x14ac:dyDescent="0.2">
      <c r="A1130" s="40" t="s">
        <v>3083</v>
      </c>
      <c r="B1130" s="40">
        <v>50</v>
      </c>
    </row>
    <row r="1131" spans="1:2" x14ac:dyDescent="0.2">
      <c r="A1131" s="40" t="s">
        <v>3497</v>
      </c>
      <c r="B1131" s="40">
        <v>77</v>
      </c>
    </row>
    <row r="1132" spans="1:2" x14ac:dyDescent="0.2">
      <c r="A1132" s="40" t="s">
        <v>2961</v>
      </c>
      <c r="B1132" s="40">
        <v>46</v>
      </c>
    </row>
    <row r="1133" spans="1:2" x14ac:dyDescent="0.2">
      <c r="A1133" s="40" t="s">
        <v>2952</v>
      </c>
      <c r="B1133" s="40">
        <v>45</v>
      </c>
    </row>
    <row r="1134" spans="1:2" x14ac:dyDescent="0.2">
      <c r="A1134" s="40" t="s">
        <v>3084</v>
      </c>
      <c r="B1134" s="40">
        <v>50</v>
      </c>
    </row>
    <row r="1135" spans="1:2" x14ac:dyDescent="0.2">
      <c r="A1135" s="40" t="s">
        <v>3085</v>
      </c>
      <c r="B1135" s="40">
        <v>50</v>
      </c>
    </row>
    <row r="1136" spans="1:2" x14ac:dyDescent="0.2">
      <c r="A1136" s="40" t="s">
        <v>3086</v>
      </c>
      <c r="B1136" s="40">
        <v>50</v>
      </c>
    </row>
    <row r="1137" spans="1:2" x14ac:dyDescent="0.2">
      <c r="A1137" s="40" t="s">
        <v>2473</v>
      </c>
      <c r="B1137" s="40">
        <v>8</v>
      </c>
    </row>
    <row r="1138" spans="1:2" x14ac:dyDescent="0.2">
      <c r="A1138" s="40" t="s">
        <v>3300</v>
      </c>
      <c r="B1138" s="40">
        <v>64</v>
      </c>
    </row>
    <row r="1139" spans="1:2" x14ac:dyDescent="0.2">
      <c r="A1139" s="40" t="s">
        <v>3301</v>
      </c>
      <c r="B1139" s="40">
        <v>64</v>
      </c>
    </row>
    <row r="1140" spans="1:2" x14ac:dyDescent="0.2">
      <c r="A1140" s="40" t="s">
        <v>3302</v>
      </c>
      <c r="B1140" s="40">
        <v>64</v>
      </c>
    </row>
    <row r="1141" spans="1:2" x14ac:dyDescent="0.2">
      <c r="A1141" s="40" t="s">
        <v>2806</v>
      </c>
      <c r="B1141" s="40">
        <v>36</v>
      </c>
    </row>
    <row r="1142" spans="1:2" x14ac:dyDescent="0.2">
      <c r="A1142" s="40" t="s">
        <v>3087</v>
      </c>
      <c r="B1142" s="40">
        <v>50</v>
      </c>
    </row>
    <row r="1143" spans="1:2" x14ac:dyDescent="0.2">
      <c r="A1143" s="40" t="s">
        <v>3522</v>
      </c>
      <c r="B1143" s="40">
        <v>86</v>
      </c>
    </row>
    <row r="1144" spans="1:2" x14ac:dyDescent="0.2">
      <c r="A1144" s="40" t="s">
        <v>2822</v>
      </c>
      <c r="B1144" s="40">
        <v>37</v>
      </c>
    </row>
    <row r="1145" spans="1:2" x14ac:dyDescent="0.2">
      <c r="A1145" s="40" t="s">
        <v>3317</v>
      </c>
      <c r="B1145" s="40">
        <v>65</v>
      </c>
    </row>
    <row r="1146" spans="1:2" x14ac:dyDescent="0.2">
      <c r="A1146" s="40" t="s">
        <v>2458</v>
      </c>
      <c r="B1146" s="40">
        <v>5</v>
      </c>
    </row>
    <row r="1147" spans="1:2" x14ac:dyDescent="0.2">
      <c r="A1147" s="40" t="s">
        <v>3472</v>
      </c>
      <c r="B1147" s="40">
        <v>74</v>
      </c>
    </row>
    <row r="1148" spans="1:2" x14ac:dyDescent="0.2">
      <c r="A1148" s="40" t="s">
        <v>2915</v>
      </c>
      <c r="B1148" s="40">
        <v>42</v>
      </c>
    </row>
    <row r="1149" spans="1:2" x14ac:dyDescent="0.2">
      <c r="A1149" s="40" t="s">
        <v>2823</v>
      </c>
      <c r="B1149" s="40">
        <v>37</v>
      </c>
    </row>
    <row r="1150" spans="1:2" x14ac:dyDescent="0.2">
      <c r="A1150" s="40" t="s">
        <v>2757</v>
      </c>
      <c r="B1150" s="40">
        <v>33</v>
      </c>
    </row>
    <row r="1151" spans="1:2" x14ac:dyDescent="0.2">
      <c r="A1151" s="40" t="s">
        <v>3473</v>
      </c>
      <c r="B1151" s="40">
        <v>74</v>
      </c>
    </row>
    <row r="1152" spans="1:2" x14ac:dyDescent="0.2">
      <c r="A1152" s="40" t="s">
        <v>2891</v>
      </c>
      <c r="B1152" s="40">
        <v>40</v>
      </c>
    </row>
    <row r="1153" spans="1:2" x14ac:dyDescent="0.2">
      <c r="A1153" s="40" t="s">
        <v>2892</v>
      </c>
      <c r="B1153" s="40">
        <v>40</v>
      </c>
    </row>
    <row r="1154" spans="1:2" x14ac:dyDescent="0.2">
      <c r="A1154" s="40" t="s">
        <v>2893</v>
      </c>
      <c r="B1154" s="40">
        <v>40</v>
      </c>
    </row>
    <row r="1155" spans="1:2" x14ac:dyDescent="0.2">
      <c r="A1155" s="40" t="s">
        <v>2582</v>
      </c>
      <c r="B1155" s="40">
        <v>21</v>
      </c>
    </row>
    <row r="1156" spans="1:2" x14ac:dyDescent="0.2">
      <c r="A1156" s="40" t="s">
        <v>2524</v>
      </c>
      <c r="B1156" s="40">
        <v>14</v>
      </c>
    </row>
    <row r="1157" spans="1:2" x14ac:dyDescent="0.2">
      <c r="A1157" s="40" t="s">
        <v>3550</v>
      </c>
      <c r="B1157" s="40">
        <v>91</v>
      </c>
    </row>
    <row r="1158" spans="1:2" x14ac:dyDescent="0.2">
      <c r="A1158" s="40" t="s">
        <v>3437</v>
      </c>
      <c r="B1158" s="40">
        <v>72</v>
      </c>
    </row>
    <row r="1159" spans="1:2" x14ac:dyDescent="0.2">
      <c r="A1159" s="40" t="s">
        <v>2441</v>
      </c>
      <c r="B1159" s="40">
        <v>2</v>
      </c>
    </row>
    <row r="1160" spans="1:2" x14ac:dyDescent="0.2">
      <c r="A1160" s="40" t="s">
        <v>2931</v>
      </c>
      <c r="B1160" s="40">
        <v>43</v>
      </c>
    </row>
    <row r="1161" spans="1:2" x14ac:dyDescent="0.2">
      <c r="A1161" s="40" t="s">
        <v>2594</v>
      </c>
      <c r="B1161" s="40">
        <v>22</v>
      </c>
    </row>
    <row r="1162" spans="1:2" x14ac:dyDescent="0.2">
      <c r="A1162" s="40" t="s">
        <v>3494</v>
      </c>
      <c r="B1162" s="40">
        <v>76</v>
      </c>
    </row>
    <row r="1163" spans="1:2" x14ac:dyDescent="0.2">
      <c r="A1163" s="40" t="s">
        <v>3377</v>
      </c>
      <c r="B1163" s="40">
        <v>67</v>
      </c>
    </row>
    <row r="1164" spans="1:2" x14ac:dyDescent="0.2">
      <c r="A1164" s="40" t="s">
        <v>3432</v>
      </c>
      <c r="B1164" s="40">
        <v>71</v>
      </c>
    </row>
    <row r="1165" spans="1:2" x14ac:dyDescent="0.2">
      <c r="A1165" s="40" t="s">
        <v>3178</v>
      </c>
      <c r="B1165" s="40">
        <v>56</v>
      </c>
    </row>
    <row r="1166" spans="1:2" x14ac:dyDescent="0.2">
      <c r="A1166" s="40" t="s">
        <v>3088</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6"/>
  <sheetViews>
    <sheetView workbookViewId="0">
      <selection activeCell="J12" sqref="J12"/>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6" t="s">
        <v>28</v>
      </c>
      <c r="B1" s="36" t="s">
        <v>62</v>
      </c>
      <c r="C1" s="36" t="s">
        <v>63</v>
      </c>
      <c r="D1" s="36" t="s">
        <v>2414</v>
      </c>
      <c r="E1" s="36" t="s">
        <v>65</v>
      </c>
      <c r="F1" s="36" t="s">
        <v>2415</v>
      </c>
    </row>
    <row r="2" spans="1:6" x14ac:dyDescent="0.25">
      <c r="A2" s="34" t="s">
        <v>37</v>
      </c>
      <c r="B2" s="34">
        <v>6731002766</v>
      </c>
      <c r="C2" s="34">
        <v>673201001</v>
      </c>
      <c r="D2" s="34" t="s">
        <v>38</v>
      </c>
      <c r="E2" s="42" t="s">
        <v>3375</v>
      </c>
      <c r="F2" s="34">
        <v>2</v>
      </c>
    </row>
    <row r="3" spans="1:6" x14ac:dyDescent="0.25">
      <c r="A3" s="34" t="s">
        <v>39</v>
      </c>
      <c r="B3" s="34">
        <v>7806155468</v>
      </c>
      <c r="C3" s="34">
        <v>780601001</v>
      </c>
      <c r="D3" s="34" t="s">
        <v>40</v>
      </c>
      <c r="E3" s="34" t="s">
        <v>41</v>
      </c>
      <c r="F3" s="34">
        <v>1</v>
      </c>
    </row>
    <row r="4" spans="1:6" x14ac:dyDescent="0.25">
      <c r="A4" s="34" t="s">
        <v>42</v>
      </c>
      <c r="B4" s="34">
        <v>7839109650</v>
      </c>
      <c r="C4" s="34">
        <v>783901001</v>
      </c>
      <c r="D4" s="34" t="s">
        <v>43</v>
      </c>
      <c r="E4" s="34" t="s">
        <v>41</v>
      </c>
      <c r="F4" s="34">
        <v>2</v>
      </c>
    </row>
    <row r="5" spans="1:6" x14ac:dyDescent="0.25">
      <c r="A5" s="34" t="s">
        <v>46</v>
      </c>
      <c r="B5" s="34">
        <v>7804274156</v>
      </c>
      <c r="C5" s="34">
        <v>780401001</v>
      </c>
      <c r="D5" s="34" t="s">
        <v>47</v>
      </c>
      <c r="E5" s="34" t="s">
        <v>41</v>
      </c>
      <c r="F5" s="34">
        <v>2</v>
      </c>
    </row>
    <row r="6" spans="1:6" x14ac:dyDescent="0.25">
      <c r="A6" s="35" t="s">
        <v>44</v>
      </c>
      <c r="B6" s="35">
        <v>7810216924</v>
      </c>
      <c r="C6" s="35">
        <v>7814455001</v>
      </c>
      <c r="D6" s="35" t="s">
        <v>45</v>
      </c>
      <c r="E6" s="34" t="s">
        <v>41</v>
      </c>
      <c r="F6" s="35">
        <v>2</v>
      </c>
    </row>
    <row r="7" spans="1:6" x14ac:dyDescent="0.25">
      <c r="A7" s="34" t="s">
        <v>48</v>
      </c>
      <c r="B7" s="34">
        <v>5036002480</v>
      </c>
      <c r="C7" s="34">
        <v>503601001</v>
      </c>
      <c r="D7" s="34" t="s">
        <v>49</v>
      </c>
      <c r="E7" s="34" t="s">
        <v>50</v>
      </c>
      <c r="F7" s="34">
        <v>2</v>
      </c>
    </row>
    <row r="8" spans="1:6" x14ac:dyDescent="0.25">
      <c r="A8" s="35" t="s">
        <v>53</v>
      </c>
      <c r="B8" s="35">
        <v>5433191298</v>
      </c>
      <c r="C8" s="35">
        <v>543301001</v>
      </c>
      <c r="D8" s="35" t="s">
        <v>54</v>
      </c>
      <c r="E8" s="34" t="s">
        <v>41</v>
      </c>
      <c r="F8" s="35">
        <v>2</v>
      </c>
    </row>
    <row r="9" spans="1:6" x14ac:dyDescent="0.25">
      <c r="A9" s="34" t="s">
        <v>58</v>
      </c>
      <c r="B9" s="34">
        <v>7715777616</v>
      </c>
      <c r="C9" s="34">
        <v>774301001</v>
      </c>
      <c r="D9" s="34" t="s">
        <v>59</v>
      </c>
      <c r="E9" s="34" t="s">
        <v>57</v>
      </c>
      <c r="F9" s="34">
        <v>2</v>
      </c>
    </row>
    <row r="10" spans="1:6" x14ac:dyDescent="0.25">
      <c r="A10" s="35" t="s">
        <v>55</v>
      </c>
      <c r="B10" s="35">
        <v>4703126149</v>
      </c>
      <c r="C10" s="35">
        <v>470301001</v>
      </c>
      <c r="D10" s="35" t="s">
        <v>56</v>
      </c>
      <c r="E10" s="34" t="s">
        <v>41</v>
      </c>
      <c r="F10" s="35">
        <v>2</v>
      </c>
    </row>
    <row r="11" spans="1:6" x14ac:dyDescent="0.25">
      <c r="A11" s="34" t="s">
        <v>60</v>
      </c>
      <c r="B11" s="34">
        <v>7839504097</v>
      </c>
      <c r="C11" s="34">
        <v>784201001</v>
      </c>
      <c r="D11" s="34" t="s">
        <v>61</v>
      </c>
      <c r="E11" s="34" t="s">
        <v>41</v>
      </c>
      <c r="F11" s="34">
        <v>2</v>
      </c>
    </row>
    <row r="12" spans="1:6" x14ac:dyDescent="0.25">
      <c r="A12" s="35" t="s">
        <v>2350</v>
      </c>
      <c r="B12" s="35">
        <v>7802806380</v>
      </c>
      <c r="C12" s="35">
        <v>780201001</v>
      </c>
      <c r="D12" s="35" t="s">
        <v>2351</v>
      </c>
      <c r="E12" s="34" t="s">
        <v>41</v>
      </c>
      <c r="F12" s="35">
        <v>1</v>
      </c>
    </row>
    <row r="13" spans="1:6" x14ac:dyDescent="0.25">
      <c r="A13" s="34" t="s">
        <v>2407</v>
      </c>
      <c r="B13" s="34">
        <v>7723889433</v>
      </c>
      <c r="C13" s="34">
        <v>772401001</v>
      </c>
      <c r="D13" s="34" t="s">
        <v>2408</v>
      </c>
      <c r="E13" s="34" t="s">
        <v>2409</v>
      </c>
      <c r="F13" s="34">
        <v>2</v>
      </c>
    </row>
    <row r="14" spans="1:6" x14ac:dyDescent="0.25">
      <c r="A14" s="35" t="s">
        <v>2410</v>
      </c>
      <c r="B14" s="35">
        <v>5838002196</v>
      </c>
      <c r="C14" s="35">
        <v>583801001</v>
      </c>
      <c r="D14" s="35" t="s">
        <v>2412</v>
      </c>
      <c r="E14" s="34" t="s">
        <v>2411</v>
      </c>
      <c r="F14" s="35">
        <v>2</v>
      </c>
    </row>
    <row r="15" spans="1:6" x14ac:dyDescent="0.25">
      <c r="A15" s="37" t="s">
        <v>2416</v>
      </c>
      <c r="B15" s="37">
        <v>7802348846</v>
      </c>
      <c r="C15" s="37">
        <v>997350001</v>
      </c>
      <c r="D15" s="34" t="s">
        <v>2417</v>
      </c>
      <c r="E15" s="34" t="s">
        <v>41</v>
      </c>
      <c r="F15" s="37">
        <v>2</v>
      </c>
    </row>
    <row r="16" spans="1:6" x14ac:dyDescent="0.25">
      <c r="A16" s="37" t="s">
        <v>4057</v>
      </c>
      <c r="B16" s="37">
        <v>7729108750</v>
      </c>
      <c r="C16" s="37">
        <v>770201001</v>
      </c>
      <c r="D16" s="34" t="s">
        <v>4058</v>
      </c>
      <c r="E16" s="37" t="s">
        <v>2409</v>
      </c>
      <c r="F16" s="37">
        <v>2</v>
      </c>
    </row>
  </sheetData>
  <sheetProtection sheet="1" objects="1" scenarios="1"/>
  <protectedRanges>
    <protectedRange sqref="A1:D1048576 F1:F1048576" name="Все кроме города"/>
  </protectedRanges>
  <conditionalFormatting sqref="A5:A6">
    <cfRule type="duplicateValues" dxfId="27" priority="55"/>
  </conditionalFormatting>
  <conditionalFormatting sqref="A5:A6">
    <cfRule type="duplicateValues" dxfId="26" priority="15"/>
  </conditionalFormatting>
  <conditionalFormatting sqref="A1 A15:A1048576 A5:A6">
    <cfRule type="duplicateValues" dxfId="25" priority="14"/>
  </conditionalFormatting>
  <conditionalFormatting sqref="A1:C1 A15:C1048576 A5:C6">
    <cfRule type="duplicateValues" dxfId="24" priority="13"/>
  </conditionalFormatting>
  <conditionalFormatting sqref="A7:A14">
    <cfRule type="duplicateValues" dxfId="23" priority="12"/>
  </conditionalFormatting>
  <conditionalFormatting sqref="A7:A14">
    <cfRule type="duplicateValues" dxfId="22" priority="11"/>
  </conditionalFormatting>
  <conditionalFormatting sqref="A7:A14">
    <cfRule type="duplicateValues" dxfId="21" priority="10"/>
  </conditionalFormatting>
  <conditionalFormatting sqref="A7:C14">
    <cfRule type="duplicateValues" dxfId="20" priority="9"/>
  </conditionalFormatting>
  <conditionalFormatting sqref="A2 A4">
    <cfRule type="duplicateValues" dxfId="19" priority="8"/>
  </conditionalFormatting>
  <conditionalFormatting sqref="A2 A4">
    <cfRule type="duplicateValues" dxfId="18" priority="7"/>
  </conditionalFormatting>
  <conditionalFormatting sqref="A2 A4">
    <cfRule type="duplicateValues" dxfId="17" priority="6"/>
  </conditionalFormatting>
  <conditionalFormatting sqref="A2:C2 A4:C4">
    <cfRule type="duplicateValues" dxfId="16" priority="5"/>
  </conditionalFormatting>
  <conditionalFormatting sqref="A3">
    <cfRule type="duplicateValues" dxfId="15" priority="4"/>
  </conditionalFormatting>
  <conditionalFormatting sqref="A3">
    <cfRule type="duplicateValues" dxfId="14" priority="3"/>
  </conditionalFormatting>
  <conditionalFormatting sqref="A3">
    <cfRule type="duplicateValues" dxfId="13" priority="2"/>
  </conditionalFormatting>
  <conditionalFormatting sqref="A3:C3">
    <cfRule type="duplicateValues" dxfId="12" priority="1"/>
  </conditionalFormatting>
  <hyperlinks>
    <hyperlink ref="D12" r:id="rId1"/>
    <hyperlink ref="D13" r:id="rId2"/>
    <hyperlink ref="D14" r:id="rId3" display="mailto:info@nppsensor.ru"/>
    <hyperlink ref="D15" r:id="rId4"/>
    <hyperlink ref="D11" r:id="rId5"/>
    <hyperlink ref="D16" r:id="rId6"/>
  </hyperlinks>
  <pageMargins left="0.7" right="0.7" top="0.75" bottom="0.75" header="0.3" footer="0.3"/>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sheetProtection sheet="1" objects="1" scenario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3" t="s">
        <v>27</v>
      </c>
      <c r="B2" t="s">
        <v>37</v>
      </c>
      <c r="C2">
        <v>6731002766</v>
      </c>
      <c r="D2">
        <v>673201001</v>
      </c>
      <c r="E2" t="s">
        <v>38</v>
      </c>
      <c r="F2" t="s">
        <v>3375</v>
      </c>
      <c r="G2">
        <v>2</v>
      </c>
    </row>
    <row r="3" spans="1:7" x14ac:dyDescent="0.25">
      <c r="A3" s="32" t="s">
        <v>2299</v>
      </c>
      <c r="B3" t="s">
        <v>37</v>
      </c>
      <c r="C3">
        <v>6731002766</v>
      </c>
      <c r="D3">
        <v>673201001</v>
      </c>
      <c r="E3" t="s">
        <v>38</v>
      </c>
      <c r="F3" t="s">
        <v>3375</v>
      </c>
      <c r="G3">
        <v>2</v>
      </c>
    </row>
    <row r="4" spans="1:7" x14ac:dyDescent="0.25">
      <c r="A4" s="33" t="s">
        <v>2241</v>
      </c>
      <c r="B4" t="s">
        <v>37</v>
      </c>
      <c r="C4">
        <v>6731002766</v>
      </c>
      <c r="D4">
        <v>673201001</v>
      </c>
      <c r="E4" t="s">
        <v>38</v>
      </c>
      <c r="F4" t="s">
        <v>3375</v>
      </c>
      <c r="G4">
        <v>2</v>
      </c>
    </row>
    <row r="5" spans="1:7" x14ac:dyDescent="0.25">
      <c r="A5" s="32" t="s">
        <v>2242</v>
      </c>
      <c r="B5" t="s">
        <v>37</v>
      </c>
      <c r="C5">
        <v>6731002766</v>
      </c>
      <c r="D5">
        <v>673201001</v>
      </c>
      <c r="E5" t="s">
        <v>38</v>
      </c>
      <c r="F5" t="s">
        <v>3375</v>
      </c>
      <c r="G5">
        <v>2</v>
      </c>
    </row>
    <row r="6" spans="1:7" ht="30" x14ac:dyDescent="0.25">
      <c r="A6" s="33" t="s">
        <v>2300</v>
      </c>
      <c r="B6" t="s">
        <v>39</v>
      </c>
      <c r="C6">
        <v>7806155468</v>
      </c>
      <c r="D6">
        <v>780601001</v>
      </c>
      <c r="E6" t="s">
        <v>40</v>
      </c>
      <c r="F6" t="s">
        <v>41</v>
      </c>
      <c r="G6">
        <v>1</v>
      </c>
    </row>
    <row r="7" spans="1:7" x14ac:dyDescent="0.25">
      <c r="A7" s="32" t="s">
        <v>2301</v>
      </c>
      <c r="B7" t="s">
        <v>39</v>
      </c>
      <c r="C7">
        <v>7806155468</v>
      </c>
      <c r="D7">
        <v>780601001</v>
      </c>
      <c r="E7" t="s">
        <v>40</v>
      </c>
      <c r="F7" t="s">
        <v>41</v>
      </c>
      <c r="G7">
        <v>1</v>
      </c>
    </row>
    <row r="8" spans="1:7" x14ac:dyDescent="0.25">
      <c r="A8" s="33" t="s">
        <v>2302</v>
      </c>
      <c r="B8" t="s">
        <v>39</v>
      </c>
      <c r="C8">
        <v>7806155468</v>
      </c>
      <c r="D8">
        <v>780601001</v>
      </c>
      <c r="E8" t="s">
        <v>40</v>
      </c>
      <c r="F8" t="s">
        <v>41</v>
      </c>
      <c r="G8">
        <v>1</v>
      </c>
    </row>
    <row r="9" spans="1:7" x14ac:dyDescent="0.25">
      <c r="A9" s="32" t="s">
        <v>2303</v>
      </c>
      <c r="B9" t="s">
        <v>42</v>
      </c>
      <c r="C9">
        <v>7839109650</v>
      </c>
      <c r="D9">
        <v>783901001</v>
      </c>
      <c r="E9" t="s">
        <v>43</v>
      </c>
      <c r="F9" t="s">
        <v>41</v>
      </c>
      <c r="G9">
        <v>2</v>
      </c>
    </row>
    <row r="10" spans="1:7" x14ac:dyDescent="0.25">
      <c r="A10" s="33" t="s">
        <v>2304</v>
      </c>
      <c r="B10" t="s">
        <v>42</v>
      </c>
      <c r="C10">
        <v>7839109650</v>
      </c>
      <c r="D10">
        <v>783901001</v>
      </c>
      <c r="E10" t="s">
        <v>43</v>
      </c>
      <c r="F10" t="s">
        <v>41</v>
      </c>
      <c r="G10">
        <v>2</v>
      </c>
    </row>
    <row r="11" spans="1:7" x14ac:dyDescent="0.25">
      <c r="A11" s="32" t="s">
        <v>2305</v>
      </c>
      <c r="B11" t="s">
        <v>42</v>
      </c>
      <c r="C11">
        <v>7839109650</v>
      </c>
      <c r="D11">
        <v>783901001</v>
      </c>
      <c r="E11" t="s">
        <v>43</v>
      </c>
      <c r="F11" t="s">
        <v>41</v>
      </c>
      <c r="G11">
        <v>2</v>
      </c>
    </row>
    <row r="12" spans="1:7" x14ac:dyDescent="0.25">
      <c r="A12" s="33" t="s">
        <v>2243</v>
      </c>
      <c r="B12" t="s">
        <v>42</v>
      </c>
      <c r="C12">
        <v>7839109650</v>
      </c>
      <c r="D12">
        <v>783901001</v>
      </c>
      <c r="E12" t="s">
        <v>43</v>
      </c>
      <c r="F12" t="s">
        <v>41</v>
      </c>
      <c r="G12">
        <v>2</v>
      </c>
    </row>
    <row r="13" spans="1:7" x14ac:dyDescent="0.25">
      <c r="A13" s="32" t="s">
        <v>2306</v>
      </c>
      <c r="B13" t="s">
        <v>37</v>
      </c>
      <c r="C13">
        <v>6731002766</v>
      </c>
      <c r="D13">
        <v>673201001</v>
      </c>
      <c r="E13" t="s">
        <v>38</v>
      </c>
      <c r="F13" t="s">
        <v>3375</v>
      </c>
      <c r="G13">
        <v>2</v>
      </c>
    </row>
    <row r="14" spans="1:7" x14ac:dyDescent="0.25">
      <c r="A14" s="33" t="s">
        <v>2307</v>
      </c>
      <c r="B14" t="s">
        <v>37</v>
      </c>
      <c r="C14">
        <v>6731002766</v>
      </c>
      <c r="D14">
        <v>673201001</v>
      </c>
      <c r="E14" t="s">
        <v>38</v>
      </c>
      <c r="F14" t="s">
        <v>3375</v>
      </c>
      <c r="G14">
        <v>2</v>
      </c>
    </row>
    <row r="15" spans="1:7" x14ac:dyDescent="0.25">
      <c r="A15" s="32" t="s">
        <v>2308</v>
      </c>
      <c r="B15" t="s">
        <v>37</v>
      </c>
      <c r="C15">
        <v>6731002766</v>
      </c>
      <c r="D15">
        <v>673201001</v>
      </c>
      <c r="E15" t="s">
        <v>38</v>
      </c>
      <c r="F15" t="s">
        <v>3375</v>
      </c>
      <c r="G15">
        <v>2</v>
      </c>
    </row>
    <row r="16" spans="1:7" x14ac:dyDescent="0.25">
      <c r="A16" s="33" t="s">
        <v>2309</v>
      </c>
      <c r="B16" t="s">
        <v>37</v>
      </c>
      <c r="C16">
        <v>6731002766</v>
      </c>
      <c r="D16">
        <v>673201001</v>
      </c>
      <c r="E16" t="s">
        <v>38</v>
      </c>
      <c r="F16" t="s">
        <v>3375</v>
      </c>
      <c r="G16">
        <v>2</v>
      </c>
    </row>
    <row r="17" spans="1:7" x14ac:dyDescent="0.25">
      <c r="A17" s="32" t="s">
        <v>2244</v>
      </c>
      <c r="B17" t="s">
        <v>42</v>
      </c>
      <c r="C17">
        <v>7839109650</v>
      </c>
      <c r="D17">
        <v>783901001</v>
      </c>
      <c r="E17" t="s">
        <v>43</v>
      </c>
      <c r="F17" t="s">
        <v>41</v>
      </c>
      <c r="G17">
        <v>2</v>
      </c>
    </row>
    <row r="18" spans="1:7" x14ac:dyDescent="0.25">
      <c r="A18" s="33" t="s">
        <v>2310</v>
      </c>
      <c r="B18" t="s">
        <v>42</v>
      </c>
      <c r="C18">
        <v>7839109650</v>
      </c>
      <c r="D18">
        <v>783901001</v>
      </c>
      <c r="E18" t="s">
        <v>43</v>
      </c>
      <c r="F18" t="s">
        <v>41</v>
      </c>
      <c r="G18">
        <v>2</v>
      </c>
    </row>
    <row r="19" spans="1:7" x14ac:dyDescent="0.25">
      <c r="A19" s="32" t="s">
        <v>2245</v>
      </c>
      <c r="B19" t="s">
        <v>44</v>
      </c>
      <c r="C19">
        <v>7810216924</v>
      </c>
      <c r="D19">
        <v>7814455001</v>
      </c>
      <c r="E19" t="s">
        <v>45</v>
      </c>
      <c r="F19" t="s">
        <v>41</v>
      </c>
      <c r="G19">
        <v>2</v>
      </c>
    </row>
    <row r="20" spans="1:7" x14ac:dyDescent="0.25">
      <c r="A20" s="33" t="s">
        <v>2246</v>
      </c>
      <c r="B20" t="s">
        <v>44</v>
      </c>
      <c r="C20">
        <v>7810216924</v>
      </c>
      <c r="D20">
        <v>7814455001</v>
      </c>
      <c r="E20" t="s">
        <v>45</v>
      </c>
      <c r="F20" t="s">
        <v>41</v>
      </c>
      <c r="G20">
        <v>2</v>
      </c>
    </row>
    <row r="21" spans="1:7" x14ac:dyDescent="0.25">
      <c r="A21" s="32" t="s">
        <v>2247</v>
      </c>
      <c r="B21" t="s">
        <v>44</v>
      </c>
      <c r="C21">
        <v>7810216924</v>
      </c>
      <c r="D21">
        <v>7814455001</v>
      </c>
      <c r="E21" t="s">
        <v>45</v>
      </c>
      <c r="F21" t="s">
        <v>41</v>
      </c>
      <c r="G21">
        <v>2</v>
      </c>
    </row>
    <row r="22" spans="1:7" x14ac:dyDescent="0.25">
      <c r="A22" s="33" t="s">
        <v>2248</v>
      </c>
      <c r="B22" t="s">
        <v>44</v>
      </c>
      <c r="C22">
        <v>7810216924</v>
      </c>
      <c r="D22">
        <v>7814455001</v>
      </c>
      <c r="E22" t="s">
        <v>45</v>
      </c>
      <c r="F22" t="s">
        <v>41</v>
      </c>
      <c r="G22">
        <v>2</v>
      </c>
    </row>
    <row r="23" spans="1:7" x14ac:dyDescent="0.25">
      <c r="A23" s="32" t="s">
        <v>2249</v>
      </c>
      <c r="B23" t="s">
        <v>46</v>
      </c>
      <c r="C23">
        <v>7804274156</v>
      </c>
      <c r="D23">
        <v>780401001</v>
      </c>
      <c r="E23" t="s">
        <v>47</v>
      </c>
      <c r="F23" t="s">
        <v>41</v>
      </c>
      <c r="G23">
        <v>2</v>
      </c>
    </row>
    <row r="24" spans="1:7" x14ac:dyDescent="0.25">
      <c r="A24" s="33" t="s">
        <v>2250</v>
      </c>
      <c r="B24" t="s">
        <v>44</v>
      </c>
      <c r="C24">
        <v>7810216924</v>
      </c>
      <c r="D24">
        <v>7814455001</v>
      </c>
      <c r="E24" t="s">
        <v>45</v>
      </c>
      <c r="F24" t="s">
        <v>41</v>
      </c>
      <c r="G24">
        <v>2</v>
      </c>
    </row>
    <row r="25" spans="1:7" x14ac:dyDescent="0.25">
      <c r="A25" s="32" t="s">
        <v>2251</v>
      </c>
      <c r="B25" t="s">
        <v>46</v>
      </c>
      <c r="C25">
        <v>7804274156</v>
      </c>
      <c r="D25">
        <v>780401001</v>
      </c>
      <c r="E25" t="s">
        <v>47</v>
      </c>
      <c r="F25" t="s">
        <v>41</v>
      </c>
      <c r="G25">
        <v>2</v>
      </c>
    </row>
    <row r="26" spans="1:7" x14ac:dyDescent="0.25">
      <c r="A26" s="33" t="s">
        <v>2252</v>
      </c>
      <c r="B26" t="s">
        <v>44</v>
      </c>
      <c r="C26">
        <v>7810216924</v>
      </c>
      <c r="D26">
        <v>7814455001</v>
      </c>
      <c r="E26" t="s">
        <v>45</v>
      </c>
      <c r="F26" t="s">
        <v>41</v>
      </c>
      <c r="G26">
        <v>2</v>
      </c>
    </row>
    <row r="27" spans="1:7" x14ac:dyDescent="0.25">
      <c r="A27" s="32" t="s">
        <v>2253</v>
      </c>
      <c r="B27" t="s">
        <v>44</v>
      </c>
      <c r="C27">
        <v>7810216924</v>
      </c>
      <c r="D27">
        <v>7814455001</v>
      </c>
      <c r="E27" t="s">
        <v>45</v>
      </c>
      <c r="F27" t="s">
        <v>41</v>
      </c>
      <c r="G27">
        <v>2</v>
      </c>
    </row>
    <row r="28" spans="1:7" x14ac:dyDescent="0.25">
      <c r="A28" s="33" t="s">
        <v>2254</v>
      </c>
      <c r="B28" t="s">
        <v>44</v>
      </c>
      <c r="C28">
        <v>7810216924</v>
      </c>
      <c r="D28">
        <v>7814455001</v>
      </c>
      <c r="E28" t="s">
        <v>45</v>
      </c>
      <c r="F28" t="s">
        <v>41</v>
      </c>
      <c r="G28">
        <v>2</v>
      </c>
    </row>
    <row r="29" spans="1:7" x14ac:dyDescent="0.25">
      <c r="A29" s="32" t="s">
        <v>2311</v>
      </c>
      <c r="B29" t="s">
        <v>37</v>
      </c>
      <c r="C29">
        <v>6731002766</v>
      </c>
      <c r="D29">
        <v>673201001</v>
      </c>
      <c r="E29" t="s">
        <v>38</v>
      </c>
      <c r="F29" t="s">
        <v>3375</v>
      </c>
      <c r="G29">
        <v>2</v>
      </c>
    </row>
    <row r="30" spans="1:7" x14ac:dyDescent="0.25">
      <c r="A30" s="33" t="s">
        <v>2312</v>
      </c>
      <c r="B30" t="s">
        <v>37</v>
      </c>
      <c r="C30">
        <v>6731002766</v>
      </c>
      <c r="D30">
        <v>673201001</v>
      </c>
      <c r="E30" t="s">
        <v>38</v>
      </c>
      <c r="F30" t="s">
        <v>3375</v>
      </c>
      <c r="G30">
        <v>2</v>
      </c>
    </row>
    <row r="31" spans="1:7" x14ac:dyDescent="0.25">
      <c r="A31" s="32" t="s">
        <v>2255</v>
      </c>
      <c r="B31" t="s">
        <v>37</v>
      </c>
      <c r="C31">
        <v>6731002766</v>
      </c>
      <c r="D31">
        <v>673201001</v>
      </c>
      <c r="E31" t="s">
        <v>38</v>
      </c>
      <c r="F31" t="s">
        <v>3375</v>
      </c>
      <c r="G31">
        <v>2</v>
      </c>
    </row>
    <row r="32" spans="1:7" ht="30" x14ac:dyDescent="0.25">
      <c r="A32" s="33" t="s">
        <v>2256</v>
      </c>
      <c r="B32" t="s">
        <v>48</v>
      </c>
      <c r="C32">
        <v>509950001</v>
      </c>
      <c r="D32">
        <v>5036002480</v>
      </c>
      <c r="E32" t="s">
        <v>49</v>
      </c>
      <c r="F32" t="s">
        <v>50</v>
      </c>
      <c r="G32">
        <v>2</v>
      </c>
    </row>
    <row r="33" spans="1:7" ht="30" x14ac:dyDescent="0.25">
      <c r="A33" s="32" t="s">
        <v>2257</v>
      </c>
      <c r="B33" t="s">
        <v>48</v>
      </c>
      <c r="C33">
        <v>509950001</v>
      </c>
      <c r="D33">
        <v>5036002480</v>
      </c>
      <c r="E33" t="s">
        <v>49</v>
      </c>
      <c r="F33" t="s">
        <v>50</v>
      </c>
      <c r="G33">
        <v>2</v>
      </c>
    </row>
    <row r="34" spans="1:7" ht="30" x14ac:dyDescent="0.25">
      <c r="A34" s="33" t="s">
        <v>2258</v>
      </c>
      <c r="B34" t="s">
        <v>48</v>
      </c>
      <c r="C34">
        <v>509950001</v>
      </c>
      <c r="D34">
        <v>5036002480</v>
      </c>
      <c r="E34" t="s">
        <v>49</v>
      </c>
      <c r="F34" t="s">
        <v>50</v>
      </c>
      <c r="G34">
        <v>2</v>
      </c>
    </row>
    <row r="35" spans="1:7" ht="30" x14ac:dyDescent="0.25">
      <c r="A35" s="32" t="s">
        <v>2259</v>
      </c>
      <c r="B35" t="s">
        <v>48</v>
      </c>
      <c r="C35">
        <v>509950001</v>
      </c>
      <c r="D35">
        <v>5036002480</v>
      </c>
      <c r="E35" t="s">
        <v>49</v>
      </c>
      <c r="F35" t="s">
        <v>50</v>
      </c>
      <c r="G35">
        <v>2</v>
      </c>
    </row>
    <row r="36" spans="1:7" ht="30" x14ac:dyDescent="0.25">
      <c r="A36" s="33" t="s">
        <v>2260</v>
      </c>
      <c r="B36" t="s">
        <v>48</v>
      </c>
      <c r="C36">
        <v>509950001</v>
      </c>
      <c r="D36">
        <v>5036002480</v>
      </c>
      <c r="E36" t="s">
        <v>49</v>
      </c>
      <c r="F36" t="s">
        <v>50</v>
      </c>
      <c r="G36">
        <v>2</v>
      </c>
    </row>
    <row r="37" spans="1:7" x14ac:dyDescent="0.25">
      <c r="A37" s="32" t="s">
        <v>2261</v>
      </c>
      <c r="B37" t="s">
        <v>48</v>
      </c>
      <c r="C37">
        <v>509950001</v>
      </c>
      <c r="D37">
        <v>5036002480</v>
      </c>
      <c r="E37" t="s">
        <v>49</v>
      </c>
      <c r="F37" t="s">
        <v>50</v>
      </c>
      <c r="G37">
        <v>2</v>
      </c>
    </row>
    <row r="38" spans="1:7" x14ac:dyDescent="0.25">
      <c r="A38" s="33" t="s">
        <v>2262</v>
      </c>
      <c r="B38" t="s">
        <v>51</v>
      </c>
      <c r="C38">
        <v>7802348846</v>
      </c>
      <c r="D38">
        <v>997350001</v>
      </c>
      <c r="E38" t="s">
        <v>52</v>
      </c>
      <c r="F38" t="s">
        <v>41</v>
      </c>
      <c r="G38">
        <v>2</v>
      </c>
    </row>
    <row r="39" spans="1:7" x14ac:dyDescent="0.25">
      <c r="A39" s="32" t="s">
        <v>2263</v>
      </c>
      <c r="B39" t="s">
        <v>51</v>
      </c>
      <c r="C39">
        <v>7802348846</v>
      </c>
      <c r="D39">
        <v>997350001</v>
      </c>
      <c r="E39" t="s">
        <v>52</v>
      </c>
      <c r="F39" t="s">
        <v>41</v>
      </c>
      <c r="G39">
        <v>2</v>
      </c>
    </row>
    <row r="40" spans="1:7" x14ac:dyDescent="0.25">
      <c r="A40" s="33" t="s">
        <v>2264</v>
      </c>
      <c r="B40" t="s">
        <v>46</v>
      </c>
      <c r="C40">
        <v>7802348846</v>
      </c>
      <c r="D40">
        <v>997350001</v>
      </c>
      <c r="E40" t="s">
        <v>47</v>
      </c>
      <c r="F40" t="s">
        <v>41</v>
      </c>
      <c r="G40">
        <v>2</v>
      </c>
    </row>
    <row r="41" spans="1:7" x14ac:dyDescent="0.25">
      <c r="A41" s="32" t="s">
        <v>2265</v>
      </c>
      <c r="B41" t="s">
        <v>42</v>
      </c>
      <c r="C41">
        <v>7802348846</v>
      </c>
      <c r="D41">
        <v>997350001</v>
      </c>
      <c r="E41" t="s">
        <v>43</v>
      </c>
      <c r="F41" t="s">
        <v>41</v>
      </c>
      <c r="G41">
        <v>2</v>
      </c>
    </row>
    <row r="42" spans="1:7" x14ac:dyDescent="0.25">
      <c r="A42" s="33" t="s">
        <v>2266</v>
      </c>
      <c r="B42" t="s">
        <v>42</v>
      </c>
      <c r="C42">
        <v>7802348846</v>
      </c>
      <c r="D42">
        <v>997350001</v>
      </c>
      <c r="E42" t="s">
        <v>43</v>
      </c>
      <c r="F42" t="s">
        <v>41</v>
      </c>
      <c r="G42">
        <v>2</v>
      </c>
    </row>
    <row r="43" spans="1:7" x14ac:dyDescent="0.25">
      <c r="A43" s="32" t="s">
        <v>2267</v>
      </c>
      <c r="B43" t="s">
        <v>46</v>
      </c>
      <c r="C43">
        <v>7802348846</v>
      </c>
      <c r="D43">
        <v>997350001</v>
      </c>
      <c r="E43" t="s">
        <v>47</v>
      </c>
      <c r="F43" t="s">
        <v>41</v>
      </c>
      <c r="G43">
        <v>2</v>
      </c>
    </row>
    <row r="44" spans="1:7" x14ac:dyDescent="0.25">
      <c r="A44" s="33" t="s">
        <v>2268</v>
      </c>
      <c r="B44" t="s">
        <v>51</v>
      </c>
      <c r="C44">
        <v>7802348846</v>
      </c>
      <c r="D44">
        <v>997350001</v>
      </c>
      <c r="E44" t="s">
        <v>52</v>
      </c>
      <c r="F44" t="s">
        <v>41</v>
      </c>
      <c r="G44">
        <v>2</v>
      </c>
    </row>
    <row r="45" spans="1:7" x14ac:dyDescent="0.25">
      <c r="A45" s="32" t="s">
        <v>2269</v>
      </c>
      <c r="B45" t="s">
        <v>53</v>
      </c>
      <c r="C45">
        <v>7802348846</v>
      </c>
      <c r="D45">
        <v>997350001</v>
      </c>
      <c r="E45" t="s">
        <v>54</v>
      </c>
      <c r="F45" t="s">
        <v>41</v>
      </c>
      <c r="G45">
        <v>2</v>
      </c>
    </row>
    <row r="46" spans="1:7" x14ac:dyDescent="0.25">
      <c r="A46" s="33" t="s">
        <v>2270</v>
      </c>
      <c r="B46" t="s">
        <v>51</v>
      </c>
      <c r="C46">
        <v>7802348846</v>
      </c>
      <c r="D46">
        <v>997350001</v>
      </c>
      <c r="E46" t="s">
        <v>52</v>
      </c>
      <c r="F46" t="s">
        <v>41</v>
      </c>
      <c r="G46">
        <v>2</v>
      </c>
    </row>
    <row r="47" spans="1:7" x14ac:dyDescent="0.25">
      <c r="A47" s="32" t="s">
        <v>2271</v>
      </c>
      <c r="B47" t="s">
        <v>53</v>
      </c>
      <c r="C47">
        <v>7802348846</v>
      </c>
      <c r="D47">
        <v>997350001</v>
      </c>
      <c r="E47" t="s">
        <v>54</v>
      </c>
      <c r="F47" t="s">
        <v>41</v>
      </c>
      <c r="G47">
        <v>2</v>
      </c>
    </row>
    <row r="48" spans="1:7" x14ac:dyDescent="0.25">
      <c r="A48" s="33" t="s">
        <v>2272</v>
      </c>
      <c r="B48" t="s">
        <v>53</v>
      </c>
      <c r="C48">
        <v>7802348846</v>
      </c>
      <c r="D48">
        <v>997350001</v>
      </c>
      <c r="E48" t="s">
        <v>54</v>
      </c>
      <c r="F48" t="s">
        <v>41</v>
      </c>
      <c r="G48">
        <v>2</v>
      </c>
    </row>
    <row r="49" spans="1:7" x14ac:dyDescent="0.25">
      <c r="A49" s="32" t="s">
        <v>2273</v>
      </c>
      <c r="B49" t="s">
        <v>51</v>
      </c>
      <c r="C49">
        <v>7802348846</v>
      </c>
      <c r="D49">
        <v>997350001</v>
      </c>
      <c r="E49" t="s">
        <v>52</v>
      </c>
      <c r="F49" t="s">
        <v>41</v>
      </c>
      <c r="G49">
        <v>2</v>
      </c>
    </row>
    <row r="50" spans="1:7" x14ac:dyDescent="0.25">
      <c r="A50" s="33" t="s">
        <v>2274</v>
      </c>
      <c r="B50" t="s">
        <v>51</v>
      </c>
      <c r="C50">
        <v>7802348846</v>
      </c>
      <c r="D50">
        <v>997350001</v>
      </c>
      <c r="E50" t="s">
        <v>52</v>
      </c>
      <c r="F50" t="s">
        <v>41</v>
      </c>
      <c r="G50">
        <v>2</v>
      </c>
    </row>
    <row r="51" spans="1:7" x14ac:dyDescent="0.25">
      <c r="A51" s="32" t="s">
        <v>2275</v>
      </c>
      <c r="B51" t="s">
        <v>51</v>
      </c>
      <c r="C51">
        <v>7802348846</v>
      </c>
      <c r="D51">
        <v>997350001</v>
      </c>
      <c r="E51" t="s">
        <v>52</v>
      </c>
      <c r="F51" t="s">
        <v>41</v>
      </c>
      <c r="G51">
        <v>2</v>
      </c>
    </row>
    <row r="52" spans="1:7" x14ac:dyDescent="0.25">
      <c r="A52" s="33" t="s">
        <v>2276</v>
      </c>
      <c r="B52" t="s">
        <v>55</v>
      </c>
      <c r="C52">
        <v>7802348846</v>
      </c>
      <c r="D52">
        <v>997350001</v>
      </c>
      <c r="E52" t="s">
        <v>56</v>
      </c>
      <c r="F52" t="s">
        <v>41</v>
      </c>
      <c r="G52">
        <v>2</v>
      </c>
    </row>
    <row r="53" spans="1:7" x14ac:dyDescent="0.25">
      <c r="A53" s="32" t="s">
        <v>2277</v>
      </c>
      <c r="B53" t="s">
        <v>55</v>
      </c>
      <c r="C53">
        <v>7802348846</v>
      </c>
      <c r="D53">
        <v>997350001</v>
      </c>
      <c r="E53" t="s">
        <v>56</v>
      </c>
      <c r="F53" t="s">
        <v>41</v>
      </c>
      <c r="G53">
        <v>2</v>
      </c>
    </row>
    <row r="54" spans="1:7" x14ac:dyDescent="0.25">
      <c r="A54" s="33" t="s">
        <v>2278</v>
      </c>
      <c r="B54" t="s">
        <v>55</v>
      </c>
      <c r="C54">
        <v>7802348846</v>
      </c>
      <c r="D54">
        <v>997350001</v>
      </c>
      <c r="E54" t="s">
        <v>56</v>
      </c>
      <c r="F54" t="s">
        <v>41</v>
      </c>
      <c r="G54">
        <v>2</v>
      </c>
    </row>
    <row r="55" spans="1:7" x14ac:dyDescent="0.25">
      <c r="A55" s="32" t="s">
        <v>2279</v>
      </c>
      <c r="B55" t="s">
        <v>58</v>
      </c>
      <c r="C55">
        <v>7802348846</v>
      </c>
      <c r="D55">
        <v>997350001</v>
      </c>
      <c r="E55" t="s">
        <v>59</v>
      </c>
      <c r="F55" t="s">
        <v>41</v>
      </c>
      <c r="G55">
        <v>2</v>
      </c>
    </row>
    <row r="56" spans="1:7" x14ac:dyDescent="0.25">
      <c r="A56" s="33" t="s">
        <v>2280</v>
      </c>
      <c r="B56" t="s">
        <v>51</v>
      </c>
      <c r="C56">
        <v>7802348846</v>
      </c>
      <c r="D56">
        <v>997350001</v>
      </c>
      <c r="E56" t="s">
        <v>52</v>
      </c>
      <c r="F56" t="s">
        <v>41</v>
      </c>
      <c r="G56">
        <v>2</v>
      </c>
    </row>
    <row r="57" spans="1:7" x14ac:dyDescent="0.25">
      <c r="A57" s="32" t="s">
        <v>2281</v>
      </c>
      <c r="B57" t="s">
        <v>51</v>
      </c>
      <c r="C57">
        <v>7802348846</v>
      </c>
      <c r="D57">
        <v>997350001</v>
      </c>
      <c r="E57" t="s">
        <v>52</v>
      </c>
      <c r="F57" t="s">
        <v>41</v>
      </c>
      <c r="G57">
        <v>2</v>
      </c>
    </row>
    <row r="58" spans="1:7" x14ac:dyDescent="0.25">
      <c r="A58" s="33" t="s">
        <v>2282</v>
      </c>
      <c r="B58" t="s">
        <v>55</v>
      </c>
      <c r="C58">
        <v>7802348846</v>
      </c>
      <c r="D58">
        <v>997350001</v>
      </c>
      <c r="E58" t="s">
        <v>56</v>
      </c>
      <c r="F58" t="s">
        <v>41</v>
      </c>
      <c r="G58">
        <v>2</v>
      </c>
    </row>
    <row r="59" spans="1:7" x14ac:dyDescent="0.25">
      <c r="A59" s="32" t="s">
        <v>2283</v>
      </c>
      <c r="B59" t="s">
        <v>55</v>
      </c>
      <c r="C59">
        <v>7802348846</v>
      </c>
      <c r="D59">
        <v>997350001</v>
      </c>
      <c r="E59" t="s">
        <v>56</v>
      </c>
      <c r="F59" t="s">
        <v>41</v>
      </c>
      <c r="G59">
        <v>2</v>
      </c>
    </row>
    <row r="60" spans="1:7" x14ac:dyDescent="0.25">
      <c r="A60" s="33" t="s">
        <v>2284</v>
      </c>
      <c r="B60" t="s">
        <v>55</v>
      </c>
      <c r="C60">
        <v>7802348846</v>
      </c>
      <c r="D60">
        <v>997350001</v>
      </c>
      <c r="E60" t="s">
        <v>56</v>
      </c>
      <c r="F60" t="s">
        <v>41</v>
      </c>
      <c r="G60">
        <v>2</v>
      </c>
    </row>
    <row r="61" spans="1:7" x14ac:dyDescent="0.25">
      <c r="A61" s="32" t="s">
        <v>2285</v>
      </c>
      <c r="B61" t="s">
        <v>55</v>
      </c>
      <c r="C61">
        <v>7802348846</v>
      </c>
      <c r="D61">
        <v>997350001</v>
      </c>
      <c r="E61" t="s">
        <v>56</v>
      </c>
      <c r="F61" t="s">
        <v>41</v>
      </c>
      <c r="G61">
        <v>2</v>
      </c>
    </row>
    <row r="62" spans="1:7" x14ac:dyDescent="0.25">
      <c r="A62" s="33" t="s">
        <v>2286</v>
      </c>
      <c r="B62" t="s">
        <v>55</v>
      </c>
      <c r="C62">
        <v>7802348846</v>
      </c>
      <c r="D62">
        <v>997350001</v>
      </c>
      <c r="E62" t="s">
        <v>56</v>
      </c>
      <c r="F62" t="s">
        <v>41</v>
      </c>
      <c r="G62">
        <v>2</v>
      </c>
    </row>
    <row r="63" spans="1:7" x14ac:dyDescent="0.25">
      <c r="A63" s="32" t="s">
        <v>2287</v>
      </c>
      <c r="B63" t="s">
        <v>55</v>
      </c>
      <c r="C63">
        <v>7802348846</v>
      </c>
      <c r="D63">
        <v>997350001</v>
      </c>
      <c r="E63" t="s">
        <v>56</v>
      </c>
      <c r="F63" t="s">
        <v>41</v>
      </c>
      <c r="G63">
        <v>2</v>
      </c>
    </row>
    <row r="64" spans="1:7" x14ac:dyDescent="0.25">
      <c r="A64" s="33" t="s">
        <v>2288</v>
      </c>
      <c r="B64" t="s">
        <v>55</v>
      </c>
      <c r="C64">
        <v>7802348846</v>
      </c>
      <c r="D64">
        <v>997350001</v>
      </c>
      <c r="E64" t="s">
        <v>56</v>
      </c>
      <c r="F64" t="s">
        <v>41</v>
      </c>
      <c r="G64">
        <v>2</v>
      </c>
    </row>
    <row r="65" spans="1:7" x14ac:dyDescent="0.25">
      <c r="A65" s="32" t="s">
        <v>2289</v>
      </c>
      <c r="B65" t="s">
        <v>55</v>
      </c>
      <c r="C65">
        <v>7802348846</v>
      </c>
      <c r="D65">
        <v>997350001</v>
      </c>
      <c r="E65" t="s">
        <v>56</v>
      </c>
      <c r="F65" t="s">
        <v>41</v>
      </c>
      <c r="G65">
        <v>2</v>
      </c>
    </row>
    <row r="66" spans="1:7" x14ac:dyDescent="0.25">
      <c r="A66" s="33" t="s">
        <v>2290</v>
      </c>
      <c r="B66" t="s">
        <v>55</v>
      </c>
      <c r="C66">
        <v>7802348846</v>
      </c>
      <c r="D66">
        <v>997350001</v>
      </c>
      <c r="E66" t="s">
        <v>56</v>
      </c>
      <c r="F66" t="s">
        <v>41</v>
      </c>
      <c r="G66">
        <v>2</v>
      </c>
    </row>
    <row r="67" spans="1:7" x14ac:dyDescent="0.25">
      <c r="A67" s="32" t="s">
        <v>2291</v>
      </c>
      <c r="B67" t="s">
        <v>55</v>
      </c>
      <c r="C67">
        <v>7802348846</v>
      </c>
      <c r="D67">
        <v>997350001</v>
      </c>
      <c r="E67" t="s">
        <v>56</v>
      </c>
      <c r="F67" t="s">
        <v>41</v>
      </c>
      <c r="G67">
        <v>2</v>
      </c>
    </row>
    <row r="68" spans="1:7" x14ac:dyDescent="0.25">
      <c r="A68" s="33" t="s">
        <v>2292</v>
      </c>
      <c r="B68" t="s">
        <v>51</v>
      </c>
      <c r="C68">
        <v>7802348846</v>
      </c>
      <c r="D68">
        <v>997350001</v>
      </c>
      <c r="E68" t="s">
        <v>52</v>
      </c>
      <c r="F68" t="s">
        <v>41</v>
      </c>
      <c r="G68">
        <v>2</v>
      </c>
    </row>
    <row r="69" spans="1:7" x14ac:dyDescent="0.25">
      <c r="A69" s="32" t="s">
        <v>2293</v>
      </c>
      <c r="B69" t="s">
        <v>60</v>
      </c>
      <c r="C69">
        <v>7802348846</v>
      </c>
      <c r="D69">
        <v>997350001</v>
      </c>
      <c r="E69" t="s">
        <v>61</v>
      </c>
      <c r="F69" t="s">
        <v>41</v>
      </c>
      <c r="G69">
        <v>2</v>
      </c>
    </row>
    <row r="70" spans="1:7" x14ac:dyDescent="0.25">
      <c r="A70" s="33" t="s">
        <v>2294</v>
      </c>
      <c r="B70" t="s">
        <v>51</v>
      </c>
      <c r="C70">
        <v>7802348846</v>
      </c>
      <c r="D70">
        <v>997350001</v>
      </c>
      <c r="E70" t="s">
        <v>52</v>
      </c>
      <c r="F70" t="s">
        <v>41</v>
      </c>
      <c r="G70">
        <v>2</v>
      </c>
    </row>
    <row r="71" spans="1:7" x14ac:dyDescent="0.25">
      <c r="A71" s="32" t="s">
        <v>2295</v>
      </c>
      <c r="B71" t="s">
        <v>51</v>
      </c>
      <c r="C71">
        <v>7802348846</v>
      </c>
      <c r="D71">
        <v>997350001</v>
      </c>
      <c r="E71" t="s">
        <v>52</v>
      </c>
      <c r="F71" t="s">
        <v>41</v>
      </c>
      <c r="G71">
        <v>2</v>
      </c>
    </row>
    <row r="72" spans="1:7" x14ac:dyDescent="0.25">
      <c r="A72" s="33" t="s">
        <v>2296</v>
      </c>
      <c r="B72" t="s">
        <v>44</v>
      </c>
      <c r="C72">
        <v>7802348846</v>
      </c>
      <c r="D72">
        <v>997350001</v>
      </c>
      <c r="E72" t="s">
        <v>45</v>
      </c>
      <c r="F72" t="s">
        <v>41</v>
      </c>
      <c r="G72">
        <v>2</v>
      </c>
    </row>
    <row r="73" spans="1:7" x14ac:dyDescent="0.25">
      <c r="A73" s="32" t="s">
        <v>2297</v>
      </c>
      <c r="B73" t="s">
        <v>46</v>
      </c>
      <c r="C73">
        <v>7802348846</v>
      </c>
      <c r="D73">
        <v>997350001</v>
      </c>
      <c r="E73" t="s">
        <v>47</v>
      </c>
      <c r="F73" t="s">
        <v>41</v>
      </c>
      <c r="G73">
        <v>2</v>
      </c>
    </row>
    <row r="74" spans="1:7" x14ac:dyDescent="0.25">
      <c r="A74" s="33" t="s">
        <v>2298</v>
      </c>
      <c r="B74" t="s">
        <v>46</v>
      </c>
      <c r="C74">
        <v>7802348846</v>
      </c>
      <c r="D74">
        <v>997350001</v>
      </c>
      <c r="E74" t="s">
        <v>47</v>
      </c>
      <c r="F74" t="s">
        <v>41</v>
      </c>
      <c r="G74">
        <v>2</v>
      </c>
    </row>
    <row r="75" spans="1:7" ht="45" x14ac:dyDescent="0.25">
      <c r="A75" s="32" t="s">
        <v>2313</v>
      </c>
      <c r="B75" t="s">
        <v>39</v>
      </c>
      <c r="C75">
        <v>7802348846</v>
      </c>
      <c r="D75">
        <v>997350001</v>
      </c>
      <c r="E75" t="s">
        <v>40</v>
      </c>
      <c r="F75" t="s">
        <v>3375</v>
      </c>
      <c r="G75">
        <v>2</v>
      </c>
    </row>
    <row r="76" spans="1:7" x14ac:dyDescent="0.25">
      <c r="A76" s="33" t="s">
        <v>2314</v>
      </c>
      <c r="B76" t="s">
        <v>51</v>
      </c>
      <c r="C76">
        <v>7802348846</v>
      </c>
      <c r="D76">
        <v>997350001</v>
      </c>
      <c r="E76" t="s">
        <v>52</v>
      </c>
      <c r="F76" t="s">
        <v>41</v>
      </c>
      <c r="G76">
        <v>2</v>
      </c>
    </row>
    <row r="77" spans="1:7" x14ac:dyDescent="0.25">
      <c r="A77" s="32" t="s">
        <v>2316</v>
      </c>
      <c r="B77" t="s">
        <v>46</v>
      </c>
      <c r="C77">
        <v>7802348846</v>
      </c>
      <c r="D77">
        <v>997350001</v>
      </c>
      <c r="E77" t="s">
        <v>47</v>
      </c>
      <c r="F77" t="s">
        <v>41</v>
      </c>
      <c r="G77">
        <v>2</v>
      </c>
    </row>
    <row r="78" spans="1:7" x14ac:dyDescent="0.25">
      <c r="A78" s="33" t="s">
        <v>2315</v>
      </c>
      <c r="B78" t="s">
        <v>46</v>
      </c>
      <c r="C78">
        <v>7802348846</v>
      </c>
      <c r="D78">
        <v>997350001</v>
      </c>
      <c r="E78" t="s">
        <v>47</v>
      </c>
      <c r="F78" t="s">
        <v>41</v>
      </c>
      <c r="G78">
        <v>2</v>
      </c>
    </row>
    <row r="79" spans="1:7" x14ac:dyDescent="0.25">
      <c r="A79" s="32" t="s">
        <v>2324</v>
      </c>
      <c r="B79" t="s">
        <v>46</v>
      </c>
      <c r="C79">
        <v>7802348846</v>
      </c>
      <c r="D79">
        <v>997350001</v>
      </c>
      <c r="E79" t="s">
        <v>47</v>
      </c>
      <c r="F79" t="s">
        <v>41</v>
      </c>
      <c r="G79">
        <v>2</v>
      </c>
    </row>
    <row r="80" spans="1:7" x14ac:dyDescent="0.25">
      <c r="A80" s="33" t="s">
        <v>2325</v>
      </c>
      <c r="B80" t="s">
        <v>46</v>
      </c>
      <c r="C80">
        <v>7802348846</v>
      </c>
      <c r="D80">
        <v>997350001</v>
      </c>
      <c r="E80" t="s">
        <v>47</v>
      </c>
      <c r="F80" t="s">
        <v>41</v>
      </c>
      <c r="G80">
        <v>2</v>
      </c>
    </row>
    <row r="81" spans="1:7" x14ac:dyDescent="0.25">
      <c r="A81" s="32" t="s">
        <v>2327</v>
      </c>
      <c r="B81" t="s">
        <v>37</v>
      </c>
      <c r="C81">
        <v>7802348846</v>
      </c>
      <c r="D81">
        <v>997350001</v>
      </c>
      <c r="E81" t="s">
        <v>38</v>
      </c>
      <c r="F81" t="s">
        <v>3375</v>
      </c>
      <c r="G81">
        <v>2</v>
      </c>
    </row>
    <row r="82" spans="1:7" x14ac:dyDescent="0.25">
      <c r="A82" s="33" t="s">
        <v>2328</v>
      </c>
      <c r="B82" t="s">
        <v>37</v>
      </c>
      <c r="C82">
        <v>7802348846</v>
      </c>
      <c r="D82">
        <v>997350001</v>
      </c>
      <c r="E82" t="s">
        <v>38</v>
      </c>
      <c r="F82" t="s">
        <v>3375</v>
      </c>
      <c r="G82">
        <v>2</v>
      </c>
    </row>
    <row r="83" spans="1:7" x14ac:dyDescent="0.25">
      <c r="A83" s="32" t="s">
        <v>2329</v>
      </c>
      <c r="B83" t="s">
        <v>37</v>
      </c>
      <c r="C83">
        <v>7802348846</v>
      </c>
      <c r="D83">
        <v>997350001</v>
      </c>
      <c r="E83" t="s">
        <v>38</v>
      </c>
      <c r="F83" t="s">
        <v>3375</v>
      </c>
      <c r="G83">
        <v>2</v>
      </c>
    </row>
    <row r="84" spans="1:7" x14ac:dyDescent="0.25">
      <c r="A84" s="33" t="s">
        <v>2330</v>
      </c>
      <c r="B84" t="s">
        <v>37</v>
      </c>
      <c r="C84">
        <v>7802348846</v>
      </c>
      <c r="D84">
        <v>997350001</v>
      </c>
      <c r="E84" t="s">
        <v>38</v>
      </c>
      <c r="F84" t="s">
        <v>3375</v>
      </c>
      <c r="G84">
        <v>2</v>
      </c>
    </row>
    <row r="85" spans="1:7" x14ac:dyDescent="0.25">
      <c r="A85" s="32" t="s">
        <v>2342</v>
      </c>
      <c r="B85" t="s">
        <v>37</v>
      </c>
      <c r="C85">
        <v>7802348846</v>
      </c>
      <c r="D85">
        <v>997350001</v>
      </c>
      <c r="E85" t="s">
        <v>38</v>
      </c>
      <c r="F85" t="s">
        <v>3375</v>
      </c>
      <c r="G85">
        <v>2</v>
      </c>
    </row>
    <row r="86" spans="1:7" x14ac:dyDescent="0.25">
      <c r="A86" s="33" t="s">
        <v>2331</v>
      </c>
      <c r="B86" t="s">
        <v>37</v>
      </c>
      <c r="C86">
        <v>7802348846</v>
      </c>
      <c r="D86">
        <v>997350001</v>
      </c>
      <c r="E86" t="s">
        <v>38</v>
      </c>
      <c r="F86" t="s">
        <v>3375</v>
      </c>
      <c r="G86">
        <v>2</v>
      </c>
    </row>
    <row r="87" spans="1:7" x14ac:dyDescent="0.25">
      <c r="A87" s="32" t="s">
        <v>2332</v>
      </c>
      <c r="B87" t="s">
        <v>37</v>
      </c>
      <c r="C87">
        <v>7802348846</v>
      </c>
      <c r="D87">
        <v>997350001</v>
      </c>
      <c r="E87" t="s">
        <v>38</v>
      </c>
      <c r="F87" t="s">
        <v>3375</v>
      </c>
      <c r="G87">
        <v>2</v>
      </c>
    </row>
    <row r="88" spans="1:7" x14ac:dyDescent="0.25">
      <c r="A88" s="33" t="s">
        <v>2334</v>
      </c>
      <c r="B88" t="s">
        <v>37</v>
      </c>
      <c r="C88">
        <v>7802348846</v>
      </c>
      <c r="D88">
        <v>997350001</v>
      </c>
      <c r="E88" t="s">
        <v>38</v>
      </c>
      <c r="F88" t="s">
        <v>3375</v>
      </c>
      <c r="G88">
        <v>2</v>
      </c>
    </row>
    <row r="89" spans="1:7" x14ac:dyDescent="0.25">
      <c r="A89" s="32" t="s">
        <v>2335</v>
      </c>
      <c r="B89" t="s">
        <v>37</v>
      </c>
      <c r="C89">
        <v>7802348846</v>
      </c>
      <c r="D89">
        <v>997350001</v>
      </c>
      <c r="E89" t="s">
        <v>38</v>
      </c>
      <c r="F89" t="s">
        <v>3375</v>
      </c>
      <c r="G89">
        <v>2</v>
      </c>
    </row>
    <row r="90" spans="1:7" x14ac:dyDescent="0.25">
      <c r="A90" s="33" t="s">
        <v>2336</v>
      </c>
      <c r="B90" t="s">
        <v>37</v>
      </c>
      <c r="C90">
        <v>7802348846</v>
      </c>
      <c r="D90">
        <v>997350001</v>
      </c>
      <c r="E90" t="s">
        <v>38</v>
      </c>
      <c r="F90" t="s">
        <v>3375</v>
      </c>
      <c r="G90">
        <v>2</v>
      </c>
    </row>
    <row r="91" spans="1:7" x14ac:dyDescent="0.25">
      <c r="A91" s="32" t="s">
        <v>2337</v>
      </c>
      <c r="B91" t="s">
        <v>37</v>
      </c>
      <c r="C91">
        <v>7802348846</v>
      </c>
      <c r="D91">
        <v>997350001</v>
      </c>
      <c r="E91" t="s">
        <v>38</v>
      </c>
      <c r="F91" t="s">
        <v>3375</v>
      </c>
      <c r="G91">
        <v>2</v>
      </c>
    </row>
    <row r="92" spans="1:7" x14ac:dyDescent="0.25">
      <c r="A92" s="33" t="s">
        <v>2333</v>
      </c>
      <c r="B92" t="s">
        <v>37</v>
      </c>
      <c r="C92">
        <v>7802348846</v>
      </c>
      <c r="D92">
        <v>997350001</v>
      </c>
      <c r="E92" t="s">
        <v>38</v>
      </c>
      <c r="F92" t="s">
        <v>3375</v>
      </c>
      <c r="G92">
        <v>2</v>
      </c>
    </row>
    <row r="93" spans="1:7" x14ac:dyDescent="0.25">
      <c r="A93" s="32" t="s">
        <v>2338</v>
      </c>
      <c r="B93" t="s">
        <v>37</v>
      </c>
      <c r="C93">
        <v>7802348846</v>
      </c>
      <c r="D93">
        <v>997350001</v>
      </c>
      <c r="E93" t="s">
        <v>38</v>
      </c>
      <c r="F93" t="s">
        <v>3375</v>
      </c>
      <c r="G93">
        <v>2</v>
      </c>
    </row>
    <row r="94" spans="1:7" x14ac:dyDescent="0.25">
      <c r="A94" s="33" t="s">
        <v>2339</v>
      </c>
      <c r="B94" t="s">
        <v>37</v>
      </c>
      <c r="C94">
        <v>7802348846</v>
      </c>
      <c r="D94">
        <v>997350001</v>
      </c>
      <c r="E94" t="s">
        <v>38</v>
      </c>
      <c r="F94" t="s">
        <v>3375</v>
      </c>
      <c r="G94">
        <v>2</v>
      </c>
    </row>
    <row r="95" spans="1:7" x14ac:dyDescent="0.25">
      <c r="A95" s="32" t="s">
        <v>2340</v>
      </c>
      <c r="B95" t="s">
        <v>37</v>
      </c>
      <c r="C95">
        <v>7802348846</v>
      </c>
      <c r="D95">
        <v>997350001</v>
      </c>
      <c r="E95" t="s">
        <v>38</v>
      </c>
      <c r="F95" t="s">
        <v>3375</v>
      </c>
      <c r="G95">
        <v>2</v>
      </c>
    </row>
    <row r="96" spans="1:7" x14ac:dyDescent="0.25">
      <c r="A96" s="33" t="s">
        <v>2341</v>
      </c>
      <c r="B96" t="s">
        <v>37</v>
      </c>
      <c r="C96">
        <v>7802348846</v>
      </c>
      <c r="D96">
        <v>997350001</v>
      </c>
      <c r="E96" t="s">
        <v>38</v>
      </c>
      <c r="F96" t="s">
        <v>3375</v>
      </c>
      <c r="G96">
        <v>2</v>
      </c>
    </row>
    <row r="97" spans="1:7" x14ac:dyDescent="0.25">
      <c r="A97" s="32" t="s">
        <v>2343</v>
      </c>
      <c r="B97" t="s">
        <v>2350</v>
      </c>
      <c r="C97" s="31">
        <v>7802348846</v>
      </c>
      <c r="D97" s="31">
        <v>997350001</v>
      </c>
      <c r="E97" t="s">
        <v>2351</v>
      </c>
      <c r="F97" t="s">
        <v>41</v>
      </c>
      <c r="G97">
        <v>1</v>
      </c>
    </row>
    <row r="98" spans="1:7" x14ac:dyDescent="0.25">
      <c r="A98" s="33" t="s">
        <v>2344</v>
      </c>
      <c r="B98" t="s">
        <v>2350</v>
      </c>
      <c r="C98" s="31">
        <v>7802348846</v>
      </c>
      <c r="D98" s="31">
        <v>997350001</v>
      </c>
      <c r="E98" t="s">
        <v>2351</v>
      </c>
      <c r="F98" t="s">
        <v>41</v>
      </c>
      <c r="G98">
        <v>1</v>
      </c>
    </row>
    <row r="99" spans="1:7" x14ac:dyDescent="0.25">
      <c r="A99" s="32" t="s">
        <v>2345</v>
      </c>
      <c r="B99" t="s">
        <v>2350</v>
      </c>
      <c r="C99" s="31">
        <v>7802348846</v>
      </c>
      <c r="D99" s="31">
        <v>997350001</v>
      </c>
      <c r="E99" t="s">
        <v>2351</v>
      </c>
      <c r="F99" t="s">
        <v>41</v>
      </c>
      <c r="G99">
        <v>1</v>
      </c>
    </row>
    <row r="100" spans="1:7" x14ac:dyDescent="0.25">
      <c r="A100" s="33" t="s">
        <v>2346</v>
      </c>
      <c r="B100" t="s">
        <v>2350</v>
      </c>
      <c r="C100" s="31">
        <v>7802348846</v>
      </c>
      <c r="D100" s="31">
        <v>997350001</v>
      </c>
      <c r="E100" t="s">
        <v>2351</v>
      </c>
      <c r="F100" t="s">
        <v>41</v>
      </c>
      <c r="G100">
        <v>1</v>
      </c>
    </row>
    <row r="101" spans="1:7" x14ac:dyDescent="0.25">
      <c r="A101" s="32" t="s">
        <v>2347</v>
      </c>
      <c r="B101" t="s">
        <v>2350</v>
      </c>
      <c r="C101" s="31">
        <v>7802348846</v>
      </c>
      <c r="D101" s="31">
        <v>997350001</v>
      </c>
      <c r="E101" t="s">
        <v>2351</v>
      </c>
      <c r="F101" t="s">
        <v>41</v>
      </c>
      <c r="G101">
        <v>1</v>
      </c>
    </row>
    <row r="102" spans="1:7" x14ac:dyDescent="0.25">
      <c r="A102" s="33" t="s">
        <v>2348</v>
      </c>
      <c r="B102" t="s">
        <v>2350</v>
      </c>
      <c r="C102" s="31">
        <v>7802348846</v>
      </c>
      <c r="D102" s="31">
        <v>997350001</v>
      </c>
      <c r="E102" t="s">
        <v>2351</v>
      </c>
      <c r="F102" t="s">
        <v>41</v>
      </c>
      <c r="G102">
        <v>1</v>
      </c>
    </row>
    <row r="103" spans="1:7" x14ac:dyDescent="0.25">
      <c r="A103" s="32" t="s">
        <v>2349</v>
      </c>
      <c r="B103" t="s">
        <v>2350</v>
      </c>
      <c r="C103" s="31">
        <v>7802348846</v>
      </c>
      <c r="D103" s="31">
        <v>997350001</v>
      </c>
      <c r="E103" t="s">
        <v>2351</v>
      </c>
      <c r="F103" t="s">
        <v>41</v>
      </c>
      <c r="G103">
        <v>1</v>
      </c>
    </row>
    <row r="104" spans="1:7" x14ac:dyDescent="0.25">
      <c r="A104" s="33" t="s">
        <v>2352</v>
      </c>
      <c r="B104" t="s">
        <v>39</v>
      </c>
      <c r="C104">
        <v>7802348846</v>
      </c>
      <c r="D104">
        <v>997350001</v>
      </c>
      <c r="E104" t="s">
        <v>40</v>
      </c>
      <c r="F104" t="s">
        <v>41</v>
      </c>
      <c r="G104">
        <v>1</v>
      </c>
    </row>
    <row r="105" spans="1:7" ht="60" x14ac:dyDescent="0.25">
      <c r="A105" s="32" t="s">
        <v>2353</v>
      </c>
      <c r="B105" t="s">
        <v>39</v>
      </c>
      <c r="C105">
        <v>7802348846</v>
      </c>
      <c r="D105">
        <v>997350001</v>
      </c>
      <c r="E105" t="s">
        <v>40</v>
      </c>
      <c r="F105" t="s">
        <v>41</v>
      </c>
      <c r="G105">
        <v>1</v>
      </c>
    </row>
    <row r="106" spans="1:7" ht="60" x14ac:dyDescent="0.25">
      <c r="A106" s="33" t="s">
        <v>2354</v>
      </c>
      <c r="B106" t="s">
        <v>39</v>
      </c>
      <c r="C106">
        <v>7802348846</v>
      </c>
      <c r="D106">
        <v>997350001</v>
      </c>
      <c r="E106" t="s">
        <v>40</v>
      </c>
      <c r="F106" t="s">
        <v>41</v>
      </c>
      <c r="G106">
        <v>1</v>
      </c>
    </row>
    <row r="107" spans="1:7" ht="60" x14ac:dyDescent="0.25">
      <c r="A107" s="32" t="s">
        <v>2355</v>
      </c>
      <c r="B107" t="s">
        <v>39</v>
      </c>
      <c r="C107">
        <v>7802348846</v>
      </c>
      <c r="D107">
        <v>997350001</v>
      </c>
      <c r="E107" t="s">
        <v>40</v>
      </c>
      <c r="F107" t="s">
        <v>41</v>
      </c>
      <c r="G107">
        <v>1</v>
      </c>
    </row>
    <row r="108" spans="1:7" x14ac:dyDescent="0.25">
      <c r="A108" s="33" t="s">
        <v>2356</v>
      </c>
      <c r="B108" t="s">
        <v>39</v>
      </c>
      <c r="C108">
        <v>7802348846</v>
      </c>
      <c r="D108">
        <v>997350001</v>
      </c>
      <c r="E108" t="s">
        <v>40</v>
      </c>
      <c r="F108" t="s">
        <v>41</v>
      </c>
      <c r="G108">
        <v>1</v>
      </c>
    </row>
    <row r="109" spans="1:7" x14ac:dyDescent="0.25">
      <c r="A109" s="32" t="s">
        <v>2357</v>
      </c>
      <c r="B109" t="s">
        <v>39</v>
      </c>
      <c r="C109">
        <v>7802348846</v>
      </c>
      <c r="D109">
        <v>997350001</v>
      </c>
      <c r="E109" t="s">
        <v>40</v>
      </c>
      <c r="F109" t="s">
        <v>41</v>
      </c>
      <c r="G109">
        <v>1</v>
      </c>
    </row>
    <row r="110" spans="1:7" x14ac:dyDescent="0.25">
      <c r="A110" s="33" t="s">
        <v>2358</v>
      </c>
      <c r="B110" t="s">
        <v>39</v>
      </c>
      <c r="C110">
        <v>7802348846</v>
      </c>
      <c r="D110">
        <v>997350001</v>
      </c>
      <c r="E110" t="s">
        <v>40</v>
      </c>
      <c r="F110" t="s">
        <v>41</v>
      </c>
      <c r="G110">
        <v>1</v>
      </c>
    </row>
    <row r="111" spans="1:7" ht="13.5" customHeight="1" x14ac:dyDescent="0.25">
      <c r="A111" s="32" t="s">
        <v>2359</v>
      </c>
      <c r="B111" t="s">
        <v>39</v>
      </c>
      <c r="C111">
        <v>7802348846</v>
      </c>
      <c r="D111">
        <v>997350001</v>
      </c>
      <c r="E111" t="s">
        <v>40</v>
      </c>
      <c r="F111" t="s">
        <v>41</v>
      </c>
      <c r="G111">
        <v>1</v>
      </c>
    </row>
    <row r="112" spans="1:7" x14ac:dyDescent="0.25">
      <c r="A112" s="33" t="s">
        <v>2360</v>
      </c>
      <c r="B112" t="s">
        <v>39</v>
      </c>
      <c r="C112">
        <v>7802348846</v>
      </c>
      <c r="D112">
        <v>997350001</v>
      </c>
      <c r="E112" t="s">
        <v>40</v>
      </c>
      <c r="F112" t="s">
        <v>41</v>
      </c>
      <c r="G112">
        <v>1</v>
      </c>
    </row>
    <row r="113" spans="1:7" x14ac:dyDescent="0.25">
      <c r="A113" s="32" t="s">
        <v>2361</v>
      </c>
      <c r="B113" t="s">
        <v>39</v>
      </c>
      <c r="C113">
        <v>7802348846</v>
      </c>
      <c r="D113">
        <v>997350001</v>
      </c>
      <c r="E113" t="s">
        <v>40</v>
      </c>
      <c r="F113" t="s">
        <v>41</v>
      </c>
      <c r="G113">
        <v>1</v>
      </c>
    </row>
    <row r="114" spans="1:7" ht="30" x14ac:dyDescent="0.25">
      <c r="A114" s="33" t="s">
        <v>2362</v>
      </c>
      <c r="B114" t="s">
        <v>39</v>
      </c>
      <c r="C114">
        <v>7802348846</v>
      </c>
      <c r="D114">
        <v>997350001</v>
      </c>
      <c r="E114" t="s">
        <v>40</v>
      </c>
      <c r="F114" t="s">
        <v>41</v>
      </c>
      <c r="G114">
        <v>1</v>
      </c>
    </row>
    <row r="115" spans="1:7" x14ac:dyDescent="0.25">
      <c r="A115" s="32" t="s">
        <v>2363</v>
      </c>
      <c r="B115" t="s">
        <v>39</v>
      </c>
      <c r="C115">
        <v>7802348846</v>
      </c>
      <c r="D115">
        <v>997350001</v>
      </c>
      <c r="E115" t="s">
        <v>40</v>
      </c>
      <c r="F115" t="s">
        <v>41</v>
      </c>
      <c r="G115">
        <v>1</v>
      </c>
    </row>
    <row r="116" spans="1:7" ht="30" x14ac:dyDescent="0.25">
      <c r="A116" s="33" t="s">
        <v>2364</v>
      </c>
      <c r="B116" t="s">
        <v>39</v>
      </c>
      <c r="C116">
        <v>7802348846</v>
      </c>
      <c r="D116">
        <v>997350001</v>
      </c>
      <c r="E116" t="s">
        <v>40</v>
      </c>
      <c r="F116" t="s">
        <v>41</v>
      </c>
      <c r="G116">
        <v>1</v>
      </c>
    </row>
    <row r="117" spans="1:7" ht="30" x14ac:dyDescent="0.25">
      <c r="A117" s="32" t="s">
        <v>2365</v>
      </c>
      <c r="B117" t="s">
        <v>39</v>
      </c>
      <c r="C117">
        <v>7802348846</v>
      </c>
      <c r="D117">
        <v>997350001</v>
      </c>
      <c r="E117" t="s">
        <v>40</v>
      </c>
      <c r="F117" t="s">
        <v>41</v>
      </c>
      <c r="G117">
        <v>1</v>
      </c>
    </row>
    <row r="118" spans="1:7" ht="30" x14ac:dyDescent="0.25">
      <c r="A118" s="33" t="s">
        <v>2366</v>
      </c>
      <c r="B118" t="s">
        <v>39</v>
      </c>
      <c r="C118">
        <v>7802348846</v>
      </c>
      <c r="D118">
        <v>997350001</v>
      </c>
      <c r="E118" t="s">
        <v>40</v>
      </c>
      <c r="F118" t="s">
        <v>41</v>
      </c>
      <c r="G118">
        <v>1</v>
      </c>
    </row>
    <row r="119" spans="1:7" x14ac:dyDescent="0.25">
      <c r="A119" s="32" t="s">
        <v>2367</v>
      </c>
      <c r="B119" t="s">
        <v>39</v>
      </c>
      <c r="C119">
        <v>7802348846</v>
      </c>
      <c r="D119">
        <v>997350001</v>
      </c>
      <c r="E119" t="s">
        <v>40</v>
      </c>
      <c r="F119" t="s">
        <v>41</v>
      </c>
      <c r="G119">
        <v>1</v>
      </c>
    </row>
    <row r="120" spans="1:7" x14ac:dyDescent="0.25">
      <c r="A120" s="33" t="s">
        <v>2368</v>
      </c>
      <c r="B120" t="s">
        <v>39</v>
      </c>
      <c r="C120">
        <v>7802348846</v>
      </c>
      <c r="D120">
        <v>997350001</v>
      </c>
      <c r="E120" t="s">
        <v>40</v>
      </c>
      <c r="F120" t="s">
        <v>41</v>
      </c>
      <c r="G120">
        <v>1</v>
      </c>
    </row>
    <row r="121" spans="1:7" x14ac:dyDescent="0.25">
      <c r="A121" s="32" t="s">
        <v>2369</v>
      </c>
      <c r="B121" t="s">
        <v>42</v>
      </c>
      <c r="C121">
        <v>7802348846</v>
      </c>
      <c r="D121">
        <v>997350001</v>
      </c>
      <c r="E121" t="s">
        <v>43</v>
      </c>
      <c r="F121" t="s">
        <v>41</v>
      </c>
      <c r="G121">
        <v>2</v>
      </c>
    </row>
    <row r="122" spans="1:7" x14ac:dyDescent="0.25">
      <c r="A122" s="33" t="s">
        <v>2370</v>
      </c>
      <c r="B122" t="s">
        <v>42</v>
      </c>
      <c r="C122">
        <v>7802348846</v>
      </c>
      <c r="D122">
        <v>997350001</v>
      </c>
      <c r="E122" t="s">
        <v>43</v>
      </c>
      <c r="F122" t="s">
        <v>41</v>
      </c>
      <c r="G122">
        <v>2</v>
      </c>
    </row>
    <row r="123" spans="1:7" x14ac:dyDescent="0.25">
      <c r="A123" s="32" t="s">
        <v>2371</v>
      </c>
      <c r="B123" t="s">
        <v>42</v>
      </c>
      <c r="C123">
        <v>7802348846</v>
      </c>
      <c r="D123">
        <v>997350001</v>
      </c>
      <c r="E123" t="s">
        <v>43</v>
      </c>
      <c r="F123" t="s">
        <v>41</v>
      </c>
      <c r="G123">
        <v>2</v>
      </c>
    </row>
    <row r="124" spans="1:7" x14ac:dyDescent="0.25">
      <c r="A124" s="33" t="s">
        <v>2372</v>
      </c>
      <c r="B124" t="s">
        <v>42</v>
      </c>
      <c r="C124">
        <v>7802348846</v>
      </c>
      <c r="D124">
        <v>997350001</v>
      </c>
      <c r="E124" t="s">
        <v>43</v>
      </c>
      <c r="F124" t="s">
        <v>41</v>
      </c>
      <c r="G124">
        <v>2</v>
      </c>
    </row>
    <row r="125" spans="1:7" x14ac:dyDescent="0.25">
      <c r="A125" s="32" t="s">
        <v>2373</v>
      </c>
      <c r="B125" t="s">
        <v>42</v>
      </c>
      <c r="C125">
        <v>7802348846</v>
      </c>
      <c r="D125">
        <v>997350001</v>
      </c>
      <c r="E125" t="s">
        <v>43</v>
      </c>
      <c r="F125" t="s">
        <v>41</v>
      </c>
      <c r="G125">
        <v>2</v>
      </c>
    </row>
    <row r="126" spans="1:7" x14ac:dyDescent="0.25">
      <c r="A126" s="33" t="s">
        <v>2379</v>
      </c>
      <c r="B126" t="s">
        <v>48</v>
      </c>
      <c r="C126">
        <v>7802348846</v>
      </c>
      <c r="D126">
        <v>997350001</v>
      </c>
      <c r="E126" t="s">
        <v>49</v>
      </c>
      <c r="F126" t="s">
        <v>50</v>
      </c>
      <c r="G126">
        <v>2</v>
      </c>
    </row>
    <row r="127" spans="1:7" x14ac:dyDescent="0.25">
      <c r="A127" s="32" t="s">
        <v>2378</v>
      </c>
      <c r="B127" t="s">
        <v>48</v>
      </c>
      <c r="C127">
        <v>7802348846</v>
      </c>
      <c r="D127">
        <v>997350001</v>
      </c>
      <c r="E127" t="s">
        <v>49</v>
      </c>
      <c r="F127" t="s">
        <v>50</v>
      </c>
      <c r="G127">
        <v>2</v>
      </c>
    </row>
    <row r="128" spans="1:7" x14ac:dyDescent="0.25">
      <c r="A128" s="33" t="s">
        <v>2377</v>
      </c>
      <c r="B128" t="s">
        <v>48</v>
      </c>
      <c r="C128">
        <v>7802348846</v>
      </c>
      <c r="D128">
        <v>997350001</v>
      </c>
      <c r="E128" t="s">
        <v>49</v>
      </c>
      <c r="F128" t="s">
        <v>50</v>
      </c>
      <c r="G128">
        <v>2</v>
      </c>
    </row>
    <row r="129" spans="1:7" x14ac:dyDescent="0.25">
      <c r="A129" s="32" t="s">
        <v>2376</v>
      </c>
      <c r="B129" t="s">
        <v>48</v>
      </c>
      <c r="C129">
        <v>7802348846</v>
      </c>
      <c r="D129">
        <v>997350001</v>
      </c>
      <c r="E129" t="s">
        <v>49</v>
      </c>
      <c r="F129" t="s">
        <v>50</v>
      </c>
      <c r="G129">
        <v>2</v>
      </c>
    </row>
    <row r="130" spans="1:7" x14ac:dyDescent="0.25">
      <c r="A130" s="33" t="s">
        <v>2375</v>
      </c>
      <c r="B130" t="s">
        <v>48</v>
      </c>
      <c r="C130">
        <v>7802348846</v>
      </c>
      <c r="D130">
        <v>997350001</v>
      </c>
      <c r="E130" t="s">
        <v>49</v>
      </c>
      <c r="F130" t="s">
        <v>50</v>
      </c>
      <c r="G130">
        <v>2</v>
      </c>
    </row>
    <row r="131" spans="1:7" x14ac:dyDescent="0.25">
      <c r="A131" s="32" t="s">
        <v>2374</v>
      </c>
      <c r="B131" t="s">
        <v>48</v>
      </c>
      <c r="C131">
        <v>7802348846</v>
      </c>
      <c r="D131">
        <v>997350001</v>
      </c>
      <c r="E131" t="s">
        <v>49</v>
      </c>
      <c r="F131" t="s">
        <v>50</v>
      </c>
      <c r="G131">
        <v>2</v>
      </c>
    </row>
    <row r="132" spans="1:7" x14ac:dyDescent="0.25">
      <c r="A132" s="33" t="s">
        <v>2380</v>
      </c>
      <c r="B132" t="s">
        <v>46</v>
      </c>
      <c r="C132">
        <v>7802348846</v>
      </c>
      <c r="D132">
        <v>997350001</v>
      </c>
      <c r="E132" t="s">
        <v>47</v>
      </c>
      <c r="F132" t="s">
        <v>41</v>
      </c>
      <c r="G132">
        <v>2</v>
      </c>
    </row>
    <row r="133" spans="1:7" x14ac:dyDescent="0.25">
      <c r="A133" s="32" t="s">
        <v>2382</v>
      </c>
      <c r="B133" t="s">
        <v>46</v>
      </c>
      <c r="C133">
        <v>7802348846</v>
      </c>
      <c r="D133">
        <v>997350001</v>
      </c>
      <c r="E133" t="s">
        <v>47</v>
      </c>
      <c r="F133" t="s">
        <v>41</v>
      </c>
      <c r="G133">
        <v>2</v>
      </c>
    </row>
    <row r="134" spans="1:7" x14ac:dyDescent="0.25">
      <c r="A134" s="33" t="s">
        <v>2399</v>
      </c>
      <c r="B134" t="s">
        <v>46</v>
      </c>
      <c r="C134">
        <v>7802348846</v>
      </c>
      <c r="D134">
        <v>997350001</v>
      </c>
      <c r="E134" t="s">
        <v>47</v>
      </c>
      <c r="F134" t="s">
        <v>41</v>
      </c>
      <c r="G134">
        <v>2</v>
      </c>
    </row>
    <row r="135" spans="1:7" x14ac:dyDescent="0.25">
      <c r="A135" s="32" t="s">
        <v>2383</v>
      </c>
      <c r="B135" t="s">
        <v>46</v>
      </c>
      <c r="C135">
        <v>7802348846</v>
      </c>
      <c r="D135">
        <v>997350001</v>
      </c>
      <c r="E135" t="s">
        <v>47</v>
      </c>
      <c r="F135" t="s">
        <v>41</v>
      </c>
      <c r="G135">
        <v>2</v>
      </c>
    </row>
    <row r="136" spans="1:7" x14ac:dyDescent="0.25">
      <c r="A136" s="33" t="s">
        <v>2384</v>
      </c>
      <c r="B136" t="s">
        <v>46</v>
      </c>
      <c r="C136">
        <v>7802348846</v>
      </c>
      <c r="D136">
        <v>997350001</v>
      </c>
      <c r="E136" t="s">
        <v>47</v>
      </c>
      <c r="F136" t="s">
        <v>41</v>
      </c>
      <c r="G136">
        <v>2</v>
      </c>
    </row>
    <row r="137" spans="1:7" x14ac:dyDescent="0.25">
      <c r="A137" s="32" t="s">
        <v>2385</v>
      </c>
      <c r="B137" t="s">
        <v>46</v>
      </c>
      <c r="C137">
        <v>7802348846</v>
      </c>
      <c r="D137">
        <v>997350001</v>
      </c>
      <c r="E137" t="s">
        <v>47</v>
      </c>
      <c r="F137" t="s">
        <v>41</v>
      </c>
      <c r="G137">
        <v>2</v>
      </c>
    </row>
    <row r="138" spans="1:7" x14ac:dyDescent="0.25">
      <c r="A138" s="33" t="s">
        <v>2386</v>
      </c>
      <c r="B138" t="s">
        <v>46</v>
      </c>
      <c r="C138">
        <v>7802348846</v>
      </c>
      <c r="D138">
        <v>997350001</v>
      </c>
      <c r="E138" t="s">
        <v>47</v>
      </c>
      <c r="F138" t="s">
        <v>41</v>
      </c>
      <c r="G138">
        <v>2</v>
      </c>
    </row>
    <row r="139" spans="1:7" x14ac:dyDescent="0.25">
      <c r="A139" s="32" t="s">
        <v>2387</v>
      </c>
      <c r="B139" t="s">
        <v>46</v>
      </c>
      <c r="C139">
        <v>7802348846</v>
      </c>
      <c r="D139">
        <v>997350001</v>
      </c>
      <c r="E139" t="s">
        <v>47</v>
      </c>
      <c r="F139" t="s">
        <v>41</v>
      </c>
      <c r="G139">
        <v>2</v>
      </c>
    </row>
    <row r="140" spans="1:7" x14ac:dyDescent="0.25">
      <c r="A140" s="33" t="s">
        <v>2395</v>
      </c>
      <c r="B140" t="s">
        <v>46</v>
      </c>
      <c r="C140">
        <v>7802348846</v>
      </c>
      <c r="D140">
        <v>997350001</v>
      </c>
      <c r="E140" t="s">
        <v>47</v>
      </c>
      <c r="F140" t="s">
        <v>41</v>
      </c>
      <c r="G140">
        <v>2</v>
      </c>
    </row>
    <row r="141" spans="1:7" x14ac:dyDescent="0.25">
      <c r="A141" s="32" t="s">
        <v>2396</v>
      </c>
      <c r="B141" t="s">
        <v>46</v>
      </c>
      <c r="C141">
        <v>7802348846</v>
      </c>
      <c r="D141">
        <v>997350001</v>
      </c>
      <c r="E141" t="s">
        <v>47</v>
      </c>
      <c r="F141" t="s">
        <v>41</v>
      </c>
      <c r="G141">
        <v>2</v>
      </c>
    </row>
    <row r="142" spans="1:7" x14ac:dyDescent="0.25">
      <c r="A142" s="33" t="s">
        <v>2397</v>
      </c>
      <c r="B142" t="s">
        <v>46</v>
      </c>
      <c r="C142">
        <v>7802348846</v>
      </c>
      <c r="D142">
        <v>997350001</v>
      </c>
      <c r="E142" t="s">
        <v>47</v>
      </c>
      <c r="F142" t="s">
        <v>41</v>
      </c>
      <c r="G142">
        <v>2</v>
      </c>
    </row>
    <row r="143" spans="1:7" x14ac:dyDescent="0.25">
      <c r="A143" s="32" t="s">
        <v>2388</v>
      </c>
      <c r="B143" t="s">
        <v>46</v>
      </c>
      <c r="C143">
        <v>7802348846</v>
      </c>
      <c r="D143">
        <v>997350001</v>
      </c>
      <c r="E143" t="s">
        <v>47</v>
      </c>
      <c r="F143" t="s">
        <v>41</v>
      </c>
      <c r="G143">
        <v>2</v>
      </c>
    </row>
    <row r="144" spans="1:7" x14ac:dyDescent="0.25">
      <c r="A144" s="33" t="s">
        <v>2398</v>
      </c>
      <c r="B144" t="s">
        <v>46</v>
      </c>
      <c r="C144">
        <v>7802348846</v>
      </c>
      <c r="D144">
        <v>997350001</v>
      </c>
      <c r="E144" t="s">
        <v>47</v>
      </c>
      <c r="F144" t="s">
        <v>41</v>
      </c>
      <c r="G144">
        <v>2</v>
      </c>
    </row>
    <row r="145" spans="1:7" x14ac:dyDescent="0.25">
      <c r="A145" s="32" t="s">
        <v>2389</v>
      </c>
      <c r="B145" t="s">
        <v>46</v>
      </c>
      <c r="C145">
        <v>7802348846</v>
      </c>
      <c r="D145">
        <v>997350001</v>
      </c>
      <c r="E145" t="s">
        <v>47</v>
      </c>
      <c r="F145" t="s">
        <v>41</v>
      </c>
      <c r="G145">
        <v>2</v>
      </c>
    </row>
    <row r="146" spans="1:7" x14ac:dyDescent="0.25">
      <c r="A146" s="33" t="s">
        <v>2390</v>
      </c>
      <c r="B146" t="s">
        <v>46</v>
      </c>
      <c r="C146">
        <v>7802348846</v>
      </c>
      <c r="D146">
        <v>997350001</v>
      </c>
      <c r="E146" t="s">
        <v>47</v>
      </c>
      <c r="F146" t="s">
        <v>41</v>
      </c>
      <c r="G146">
        <v>2</v>
      </c>
    </row>
    <row r="147" spans="1:7" x14ac:dyDescent="0.25">
      <c r="A147" s="32" t="s">
        <v>2391</v>
      </c>
      <c r="B147" t="s">
        <v>46</v>
      </c>
      <c r="C147">
        <v>7802348846</v>
      </c>
      <c r="D147">
        <v>997350001</v>
      </c>
      <c r="E147" t="s">
        <v>47</v>
      </c>
      <c r="F147" t="s">
        <v>41</v>
      </c>
      <c r="G147">
        <v>2</v>
      </c>
    </row>
    <row r="148" spans="1:7" x14ac:dyDescent="0.25">
      <c r="A148" s="33" t="s">
        <v>2381</v>
      </c>
      <c r="B148" t="s">
        <v>46</v>
      </c>
      <c r="C148">
        <v>7802348846</v>
      </c>
      <c r="D148">
        <v>997350001</v>
      </c>
      <c r="E148" t="s">
        <v>47</v>
      </c>
      <c r="F148" t="s">
        <v>41</v>
      </c>
      <c r="G148">
        <v>2</v>
      </c>
    </row>
    <row r="149" spans="1:7" x14ac:dyDescent="0.25">
      <c r="A149" s="32" t="s">
        <v>2392</v>
      </c>
      <c r="B149" t="s">
        <v>46</v>
      </c>
      <c r="C149">
        <v>7802348846</v>
      </c>
      <c r="D149">
        <v>997350001</v>
      </c>
      <c r="E149" t="s">
        <v>47</v>
      </c>
      <c r="F149" t="s">
        <v>41</v>
      </c>
      <c r="G149">
        <v>2</v>
      </c>
    </row>
    <row r="150" spans="1:7" x14ac:dyDescent="0.25">
      <c r="A150" s="33" t="s">
        <v>2393</v>
      </c>
      <c r="B150" t="s">
        <v>46</v>
      </c>
      <c r="C150">
        <v>7802348846</v>
      </c>
      <c r="D150">
        <v>997350001</v>
      </c>
      <c r="E150" t="s">
        <v>47</v>
      </c>
      <c r="F150" t="s">
        <v>41</v>
      </c>
      <c r="G150">
        <v>2</v>
      </c>
    </row>
    <row r="151" spans="1:7" x14ac:dyDescent="0.25">
      <c r="A151" s="32" t="s">
        <v>2394</v>
      </c>
      <c r="B151" t="s">
        <v>46</v>
      </c>
      <c r="C151">
        <v>7802348846</v>
      </c>
      <c r="D151">
        <v>997350001</v>
      </c>
      <c r="E151" t="s">
        <v>47</v>
      </c>
      <c r="F151" t="s">
        <v>41</v>
      </c>
      <c r="G151">
        <v>2</v>
      </c>
    </row>
    <row r="152" spans="1:7" x14ac:dyDescent="0.25">
      <c r="A152" s="33" t="s">
        <v>2400</v>
      </c>
      <c r="B152" t="s">
        <v>51</v>
      </c>
      <c r="C152">
        <v>7802348846</v>
      </c>
      <c r="D152">
        <v>997350001</v>
      </c>
      <c r="E152" t="s">
        <v>52</v>
      </c>
      <c r="F152" t="s">
        <v>41</v>
      </c>
      <c r="G152">
        <v>2</v>
      </c>
    </row>
    <row r="153" spans="1:7" x14ac:dyDescent="0.25">
      <c r="A153" s="32" t="s">
        <v>2401</v>
      </c>
      <c r="B153" t="s">
        <v>51</v>
      </c>
      <c r="C153">
        <v>7802348846</v>
      </c>
      <c r="D153">
        <v>997350001</v>
      </c>
      <c r="E153" t="s">
        <v>52</v>
      </c>
      <c r="F153" t="s">
        <v>41</v>
      </c>
      <c r="G153">
        <v>2</v>
      </c>
    </row>
    <row r="154" spans="1:7" x14ac:dyDescent="0.25">
      <c r="A154" s="33" t="s">
        <v>2402</v>
      </c>
      <c r="B154" t="s">
        <v>51</v>
      </c>
      <c r="C154">
        <v>7802348846</v>
      </c>
      <c r="D154">
        <v>997350001</v>
      </c>
      <c r="E154" t="s">
        <v>52</v>
      </c>
      <c r="F154" t="s">
        <v>41</v>
      </c>
      <c r="G154">
        <v>2</v>
      </c>
    </row>
    <row r="155" spans="1:7" x14ac:dyDescent="0.25">
      <c r="A155" s="32" t="s">
        <v>2403</v>
      </c>
      <c r="B155" t="s">
        <v>51</v>
      </c>
      <c r="C155">
        <v>7802348846</v>
      </c>
      <c r="D155">
        <v>997350001</v>
      </c>
      <c r="E155" t="s">
        <v>52</v>
      </c>
      <c r="F155" t="s">
        <v>41</v>
      </c>
      <c r="G155">
        <v>2</v>
      </c>
    </row>
    <row r="156" spans="1:7" x14ac:dyDescent="0.25">
      <c r="A156" s="33" t="s">
        <v>2404</v>
      </c>
      <c r="B156" t="s">
        <v>51</v>
      </c>
      <c r="C156">
        <v>7802348846</v>
      </c>
      <c r="D156">
        <v>997350001</v>
      </c>
      <c r="E156" t="s">
        <v>52</v>
      </c>
      <c r="F156" t="s">
        <v>41</v>
      </c>
      <c r="G156">
        <v>2</v>
      </c>
    </row>
    <row r="157" spans="1:7" x14ac:dyDescent="0.25">
      <c r="A157" s="32" t="s">
        <v>2405</v>
      </c>
      <c r="B157" t="s">
        <v>51</v>
      </c>
      <c r="C157">
        <v>7802348846</v>
      </c>
      <c r="D157">
        <v>997350001</v>
      </c>
      <c r="E157" t="s">
        <v>52</v>
      </c>
      <c r="F157" t="s">
        <v>41</v>
      </c>
      <c r="G157">
        <v>2</v>
      </c>
    </row>
    <row r="158" spans="1:7" x14ac:dyDescent="0.25">
      <c r="A158" s="33" t="s">
        <v>2406</v>
      </c>
      <c r="B158" t="s">
        <v>2407</v>
      </c>
      <c r="C158">
        <v>7723889433</v>
      </c>
      <c r="D158">
        <v>772401001</v>
      </c>
      <c r="E158" t="s">
        <v>2408</v>
      </c>
      <c r="F158" t="s">
        <v>2409</v>
      </c>
      <c r="G158">
        <v>2</v>
      </c>
    </row>
    <row r="159" spans="1:7" x14ac:dyDescent="0.25">
      <c r="A159" s="32" t="s">
        <v>2413</v>
      </c>
      <c r="B159" t="s">
        <v>2410</v>
      </c>
      <c r="C159">
        <v>5838002196</v>
      </c>
      <c r="D159">
        <v>583801001</v>
      </c>
      <c r="E159" t="s">
        <v>2412</v>
      </c>
      <c r="F159" t="s">
        <v>2411</v>
      </c>
      <c r="G159">
        <v>2</v>
      </c>
    </row>
  </sheetData>
  <sheetProtection sheet="1" objects="1" scenarios="1"/>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D13" sqref="D13"/>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2326</v>
      </c>
    </row>
  </sheetData>
  <sheetProtection sheet="1" objects="1" scenarios="1"/>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Шапка</vt:lpstr>
      <vt:lpstr>Анализ</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2024-03-29T10:02:04Z</dcterms:modified>
</cp:coreProperties>
</file>