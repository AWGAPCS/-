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7" r:id="rId2"/>
    <sheet name="Запас" sheetId="45" r:id="rId3"/>
    <sheet name="Заметки" sheetId="31" state="hidden" r:id="rId4"/>
    <sheet name="Companies" sheetId="48" state="hidden"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4" i="47" l="1"/>
  <c r="L14" i="47" s="1"/>
  <c r="V14" i="47"/>
  <c r="H15" i="47" s="1"/>
  <c r="L15" i="47" s="1"/>
  <c r="W14" i="47"/>
  <c r="G16" i="47" s="1"/>
  <c r="H16" i="47" s="1"/>
  <c r="L16" i="47" s="1"/>
  <c r="H17" i="47"/>
  <c r="L17" i="47" s="1"/>
  <c r="V17" i="47"/>
  <c r="G18" i="47" s="1"/>
  <c r="H18" i="47" s="1"/>
  <c r="L18" i="47" s="1"/>
  <c r="W17" i="47"/>
  <c r="G19" i="47" s="1"/>
  <c r="H19" i="47" s="1"/>
  <c r="L19" i="47" s="1"/>
  <c r="H20" i="47"/>
  <c r="L20" i="47" s="1"/>
  <c r="V20" i="47"/>
  <c r="G21" i="47" s="1"/>
  <c r="H21" i="47" s="1"/>
  <c r="L21" i="47" s="1"/>
  <c r="W20" i="47"/>
  <c r="G22" i="47" s="1"/>
  <c r="H22" i="47" s="1"/>
  <c r="L22" i="47" s="1"/>
  <c r="H23" i="47"/>
  <c r="L23" i="47" s="1"/>
  <c r="V23" i="47"/>
  <c r="G24" i="47" s="1"/>
  <c r="H24" i="47" s="1"/>
  <c r="L24" i="47" s="1"/>
  <c r="W23" i="47"/>
  <c r="G25" i="47" s="1"/>
  <c r="H25" i="47" s="1"/>
  <c r="L25" i="47" s="1"/>
  <c r="H26" i="47"/>
  <c r="L26" i="47" s="1"/>
  <c r="V26" i="47"/>
  <c r="G27" i="47" s="1"/>
  <c r="H27" i="47" s="1"/>
  <c r="L27" i="47" s="1"/>
  <c r="W26" i="47"/>
  <c r="G28" i="47" s="1"/>
  <c r="H28" i="47" s="1"/>
  <c r="L28" i="47" s="1"/>
  <c r="H29" i="47"/>
  <c r="L29" i="47" s="1"/>
  <c r="V29" i="47"/>
  <c r="G30" i="47" s="1"/>
  <c r="H30" i="47" s="1"/>
  <c r="L30" i="47" s="1"/>
  <c r="W29" i="47"/>
  <c r="G31" i="47" s="1"/>
  <c r="H31" i="47" s="1"/>
  <c r="L31" i="47" s="1"/>
  <c r="H32" i="47"/>
  <c r="L32" i="47" s="1"/>
  <c r="V32" i="47"/>
  <c r="G33" i="47" s="1"/>
  <c r="H33" i="47" s="1"/>
  <c r="L33" i="47" s="1"/>
  <c r="W32" i="47"/>
  <c r="G34" i="47" s="1"/>
  <c r="H34" i="47" s="1"/>
  <c r="L34" i="47" s="1"/>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<sst xmlns="http://schemas.openxmlformats.org/spreadsheetml/2006/main" count="3161" uniqueCount="2454">
  <si>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</si>
  <si>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</si>
  <si>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</si>
  <si>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</si>
  <si>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</si>
  <si>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</si>
  <si>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</si>
  <si>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</si>
  <si>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</si>
  <si>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</si>
  <si>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</si>
  <si>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</si>
  <si>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</si>
  <si>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</si>
  <si>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</si>
  <si>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</si>
  <si>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</si>
  <si>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</si>
  <si>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</si>
  <si>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</si>
  <si>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</si>
  <si>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</si>
  <si>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</si>
  <si>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</si>
  <si>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</si>
  <si>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</si>
  <si>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</si>
  <si>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</si>
  <si>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</si>
  <si>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</si>
  <si>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</si>
  <si>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</si>
  <si>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</si>
  <si>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</si>
  <si>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</si>
  <si>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</si>
  <si>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</si>
  <si>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</si>
  <si>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</si>
  <si>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</si>
  <si>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</si>
  <si>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</si>
  <si>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</si>
  <si>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</si>
  <si>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</si>
  <si>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</si>
  <si>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</si>
  <si>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</si>
  <si>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</si>
  <si>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</si>
  <si>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</si>
  <si>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</si>
  <si>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</si>
  <si>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</si>
  <si>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</si>
  <si>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</si>
  <si>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</si>
  <si>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</si>
  <si>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</si>
  <si>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</si>
  <si>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</si>
  <si>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</si>
  <si>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</si>
  <si>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</si>
  <si>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</si>
  <si>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</si>
  <si>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</si>
  <si>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</si>
  <si>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</si>
  <si>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</si>
  <si>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</si>
  <si>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</si>
  <si>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</si>
  <si>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</si>
  <si>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</si>
  <si>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</si>
  <si>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</si>
  <si>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</si>
  <si>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</si>
  <si>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</si>
  <si>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</si>
  <si>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</si>
  <si>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</si>
  <si>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</si>
  <si>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</si>
  <si>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</si>
  <si>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</si>
  <si>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</si>
  <si>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</si>
  <si>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</si>
  <si>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</si>
  <si>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</si>
  <si>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</si>
  <si>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</si>
  <si>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</si>
  <si>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</si>
  <si>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</si>
  <si>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</si>
  <si>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</si>
  <si>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</si>
  <si>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</si>
  <si>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</si>
  <si>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</si>
  <si>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</si>
  <si>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</si>
  <si>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</si>
  <si>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</si>
  <si>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</si>
  <si>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</si>
  <si>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</si>
  <si>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</si>
  <si>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</si>
  <si>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</si>
  <si>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</si>
  <si>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</si>
  <si>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</si>
  <si>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</si>
  <si>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</si>
  <si>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</si>
  <si>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</si>
  <si>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</si>
  <si>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</si>
  <si>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</si>
  <si>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</si>
  <si>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</si>
  <si>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</si>
  <si>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</si>
  <si>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</si>
  <si>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</si>
  <si>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</si>
  <si>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</si>
  <si>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</si>
  <si>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</si>
  <si>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</si>
  <si>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</si>
  <si>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</si>
  <si>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</si>
  <si>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</si>
  <si>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</si>
  <si>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</si>
  <si>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</si>
  <si>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</si>
  <si>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</si>
  <si>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</si>
  <si>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</si>
  <si>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</si>
  <si>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</si>
  <si>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</si>
  <si>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</si>
  <si>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</si>
  <si>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</si>
  <si>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</si>
  <si>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</si>
  <si>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</si>
  <si>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</si>
  <si>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</si>
  <si>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</si>
  <si>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</si>
  <si>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</si>
  <si>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</si>
  <si>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</si>
  <si>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</si>
  <si>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</si>
  <si>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</si>
  <si>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</si>
  <si>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</si>
  <si>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</si>
  <si>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</si>
  <si>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</si>
  <si>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</si>
  <si>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</si>
  <si>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</si>
  <si>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</si>
  <si>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</si>
  <si>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</si>
  <si>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</si>
  <si>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</si>
  <si>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</si>
  <si>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</si>
  <si>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</si>
  <si>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</si>
  <si>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</si>
  <si>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</si>
  <si>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</si>
  <si>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</si>
  <si>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</si>
  <si>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</si>
  <si>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</si>
  <si>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</si>
  <si>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</si>
  <si>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</si>
  <si>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</si>
  <si>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</si>
  <si>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</si>
  <si>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</si>
  <si>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</si>
  <si>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</si>
  <si>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</si>
  <si>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</si>
  <si>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</si>
  <si>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</si>
  <si>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</si>
  <si>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</si>
  <si>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</si>
  <si>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</si>
  <si>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</si>
  <si>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</si>
  <si>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</si>
  <si>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</si>
  <si>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</si>
  <si>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</si>
  <si>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</si>
  <si>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</si>
  <si>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</si>
  <si>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</si>
  <si>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</si>
  <si>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</si>
  <si>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</si>
  <si>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</si>
  <si>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</si>
  <si>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</si>
  <si>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</si>
  <si>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</si>
  <si>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</si>
  <si>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</si>
  <si>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</si>
  <si>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</si>
  <si>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</si>
  <si>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</si>
  <si>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</si>
  <si>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</si>
  <si>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</si>
  <si>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</si>
  <si>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</si>
  <si>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</si>
  <si>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</si>
  <si>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</si>
  <si>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</si>
  <si>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</si>
  <si>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</si>
  <si>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</si>
  <si>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</si>
  <si>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</si>
  <si>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</si>
  <si>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</si>
  <si>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</si>
  <si>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</si>
  <si>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</si>
  <si>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</si>
  <si>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</si>
  <si>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</si>
  <si>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</si>
  <si>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</si>
  <si>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</si>
  <si>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</si>
  <si>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</si>
  <si>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</si>
  <si>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</si>
  <si>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</si>
  <si>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</si>
  <si>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</si>
  <si>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</si>
  <si>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</si>
  <si>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</si>
  <si>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</si>
  <si>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</si>
  <si>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</si>
  <si>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</si>
  <si>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</si>
  <si>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</si>
  <si>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</si>
  <si>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</si>
  <si>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</si>
  <si>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</si>
  <si>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</si>
  <si>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</si>
  <si>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</si>
  <si>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</si>
  <si>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</si>
  <si>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</si>
  <si>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</si>
  <si>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</si>
  <si>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</si>
  <si>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</si>
  <si>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</si>
  <si>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</si>
  <si>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</si>
  <si>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</si>
  <si>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</si>
  <si>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</si>
  <si>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</si>
  <si>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</si>
  <si>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</si>
  <si>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</si>
  <si>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</si>
  <si>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</si>
  <si>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</si>
  <si>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</si>
  <si>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</si>
  <si>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</si>
  <si>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</si>
  <si>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</si>
  <si>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</si>
  <si>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</si>
  <si>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</si>
  <si>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</si>
  <si>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</si>
  <si>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</si>
  <si>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</si>
  <si>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</si>
  <si>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</si>
  <si>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</si>
  <si>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</si>
  <si>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</si>
  <si>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</si>
  <si>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</si>
  <si>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</si>
  <si>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</si>
  <si>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</si>
  <si>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</si>
  <si>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</si>
  <si>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</si>
  <si>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</si>
  <si>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</si>
  <si>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</si>
  <si>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</si>
  <si>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</si>
  <si>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</si>
  <si>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</si>
  <si>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</si>
  <si>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</si>
  <si>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</si>
  <si>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</si>
  <si>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</si>
  <si>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</si>
  <si>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</si>
  <si>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</si>
  <si>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</si>
  <si>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</si>
  <si>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</si>
  <si>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</si>
  <si>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</si>
  <si>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</si>
  <si>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</si>
  <si>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</si>
  <si>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</si>
  <si>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</si>
  <si>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</si>
  <si>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</si>
  <si>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</si>
  <si>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</si>
  <si>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</si>
  <si>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</si>
  <si>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</si>
  <si>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</si>
  <si>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</si>
  <si>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</si>
  <si>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</si>
  <si>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</si>
  <si>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</si>
  <si>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</si>
  <si>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</si>
  <si>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</si>
  <si>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</si>
  <si>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</si>
  <si>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</si>
  <si>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</si>
  <si>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</si>
  <si>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</si>
  <si>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</si>
  <si>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</si>
  <si>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</si>
  <si>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</si>
  <si>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</si>
  <si>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</si>
  <si>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</si>
  <si>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</si>
  <si>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</si>
  <si>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</si>
  <si>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</si>
  <si>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</si>
  <si>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</si>
  <si>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</si>
  <si>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</si>
  <si>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</si>
  <si>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</si>
  <si>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</si>
  <si>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</si>
  <si>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</si>
  <si>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</si>
  <si>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</si>
  <si>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</si>
  <si>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</si>
  <si>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</si>
  <si>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</si>
  <si>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</si>
  <si>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</si>
  <si>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</si>
  <si>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</si>
  <si>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</si>
  <si>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</si>
  <si>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</si>
  <si>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</si>
  <si>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</si>
  <si>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</si>
  <si>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</si>
  <si>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</si>
  <si>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</si>
  <si>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</si>
  <si>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</si>
  <si>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</si>
  <si>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</si>
  <si>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</si>
  <si>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</si>
  <si>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</si>
  <si>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</si>
  <si>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</si>
  <si>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</si>
  <si>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</si>
  <si>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</si>
  <si>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</si>
  <si>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</si>
  <si>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</si>
  <si>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</si>
  <si>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</si>
  <si>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</si>
  <si>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</si>
  <si>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</si>
  <si>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</si>
  <si>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</si>
  <si>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</si>
  <si>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</si>
  <si>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</si>
  <si>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</si>
  <si>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</si>
  <si>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</si>
  <si>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</si>
  <si>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</si>
  <si>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</si>
  <si>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</si>
  <si>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</si>
  <si>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</si>
  <si>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</si>
  <si>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</si>
  <si>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</si>
  <si>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</si>
  <si>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</si>
  <si>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</si>
  <si>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</si>
  <si>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</si>
  <si>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</si>
  <si>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</si>
  <si>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</si>
  <si>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</si>
  <si>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</si>
  <si>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</si>
  <si>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</si>
  <si>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</si>
  <si>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</si>
  <si>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</si>
  <si>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</si>
  <si>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</si>
  <si>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</si>
  <si>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</si>
  <si>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</si>
  <si>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</si>
  <si>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</si>
  <si>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</si>
  <si>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</si>
  <si>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</si>
  <si>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</si>
  <si>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</si>
  <si>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</si>
  <si>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</si>
  <si>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</si>
  <si>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</si>
  <si>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</si>
  <si>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</si>
  <si>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</si>
  <si>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</si>
  <si>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</si>
  <si>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</si>
  <si>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</si>
  <si>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</si>
  <si>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</si>
  <si>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</si>
  <si>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</si>
  <si>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</si>
  <si>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</si>
  <si>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</si>
  <si>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</si>
  <si>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</si>
  <si>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</si>
  <si>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</si>
  <si>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</si>
  <si>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</si>
  <si>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</si>
  <si>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</si>
  <si>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</si>
  <si>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</si>
  <si>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</si>
  <si>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</si>
  <si>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</si>
  <si>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</si>
  <si>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</si>
  <si>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</si>
  <si>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</si>
  <si>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</si>
  <si>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</si>
  <si>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</si>
  <si>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</si>
  <si>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</si>
  <si>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</si>
  <si>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</si>
  <si>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</si>
  <si>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</si>
  <si>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</si>
  <si>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</si>
  <si>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</si>
  <si>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</si>
  <si>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</si>
  <si>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</si>
  <si>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</si>
  <si>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</si>
  <si>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</si>
  <si>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</si>
  <si>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</si>
  <si>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</si>
  <si>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</si>
  <si>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</si>
  <si>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</si>
  <si>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</si>
  <si>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</si>
  <si>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</si>
  <si>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</si>
  <si>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</si>
  <si>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</si>
  <si>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</si>
  <si>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</si>
  <si>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</si>
  <si>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</si>
  <si>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</si>
  <si>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</si>
  <si>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</si>
  <si>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</si>
  <si>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</si>
  <si>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</si>
  <si>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</si>
  <si>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</si>
  <si>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</si>
  <si>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</si>
  <si>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</si>
  <si>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</si>
  <si>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</si>
  <si>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</si>
  <si>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</si>
  <si>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</si>
  <si>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</si>
  <si>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</si>
  <si>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</si>
  <si>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</si>
  <si>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</si>
  <si>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</si>
  <si>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</si>
  <si>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</si>
  <si>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</si>
  <si>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</si>
  <si>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</si>
  <si>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</si>
  <si>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</si>
  <si>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</si>
  <si>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</si>
  <si>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</si>
  <si>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</si>
  <si>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</si>
  <si>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</si>
  <si>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</si>
  <si>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</si>
  <si>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</si>
  <si>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</si>
  <si>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</si>
  <si>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</si>
  <si>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</si>
  <si>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</si>
  <si>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</si>
  <si>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</si>
  <si>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</si>
  <si>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</si>
  <si>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</si>
  <si>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</si>
  <si>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</si>
  <si>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</si>
  <si>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</si>
  <si>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</si>
  <si>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</si>
  <si>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</si>
  <si>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</si>
  <si>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</si>
  <si>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</si>
  <si>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</si>
  <si>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</si>
  <si>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</si>
  <si>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</si>
  <si>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</si>
  <si>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</si>
  <si>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</si>
  <si>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</si>
  <si>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</si>
  <si>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</si>
  <si>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</si>
  <si>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</si>
  <si>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</si>
  <si>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</si>
  <si>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</si>
  <si>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</si>
  <si>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</si>
  <si>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</si>
  <si>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</si>
  <si>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</si>
  <si>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</si>
  <si>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</si>
  <si>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</si>
  <si>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</si>
  <si>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</si>
  <si>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</si>
  <si>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</si>
  <si>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</si>
  <si>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</si>
  <si>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</si>
  <si>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</si>
  <si>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</si>
  <si>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</si>
  <si>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</si>
  <si>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</si>
  <si>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</si>
  <si>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</si>
  <si>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</si>
  <si>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</si>
  <si>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</si>
  <si>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</si>
  <si>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</si>
  <si>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</si>
  <si>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</si>
  <si>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</si>
  <si>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</si>
  <si>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</si>
  <si>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</si>
  <si>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</si>
  <si>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</si>
  <si>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</si>
  <si>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</si>
  <si>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</si>
  <si>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</si>
  <si>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</si>
  <si>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</si>
  <si>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</si>
  <si>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</si>
  <si>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</si>
  <si>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</si>
  <si>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</si>
  <si>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</si>
  <si>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</si>
  <si>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</si>
  <si>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</si>
  <si>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</si>
  <si>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</si>
  <si>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</si>
  <si>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</si>
  <si>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</si>
  <si>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</si>
  <si>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</si>
  <si>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</si>
  <si>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</si>
  <si>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</si>
  <si>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</si>
  <si>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</si>
  <si>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</si>
  <si>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</si>
  <si>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</si>
  <si>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</si>
  <si>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</si>
  <si>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</si>
  <si>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</si>
  <si>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</si>
  <si>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</si>
  <si>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</si>
  <si>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</si>
  <si>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</si>
  <si>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</si>
  <si>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</si>
  <si>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</si>
  <si>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</si>
  <si>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</si>
  <si>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</si>
  <si>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</si>
  <si>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</si>
  <si>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</si>
  <si>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</si>
  <si>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</si>
  <si>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</si>
  <si>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</si>
  <si>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</si>
  <si>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</si>
  <si>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</si>
  <si>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</si>
  <si>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</si>
  <si>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</si>
  <si>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</si>
  <si>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</si>
  <si>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</si>
  <si>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</si>
  <si>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</si>
  <si>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</si>
  <si>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</si>
  <si>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</si>
  <si>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</si>
  <si>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</si>
  <si>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</si>
  <si>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</si>
  <si>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</si>
  <si>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</si>
  <si>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</si>
  <si>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</si>
  <si>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</si>
  <si>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</si>
  <si>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</si>
  <si>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</si>
  <si>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</si>
  <si>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</si>
  <si>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</si>
  <si>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</si>
  <si>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</si>
  <si>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</si>
  <si>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</si>
  <si>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</si>
  <si>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</si>
  <si>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</si>
  <si>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</si>
  <si>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</si>
  <si>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</si>
  <si>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</si>
  <si>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</si>
  <si>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</si>
  <si>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</si>
  <si>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</si>
  <si>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</si>
  <si>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</si>
  <si>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</si>
  <si>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</si>
  <si>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</si>
  <si>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</si>
  <si>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</si>
  <si>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</si>
  <si>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</si>
  <si>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</si>
  <si>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</si>
  <si>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</si>
  <si>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</si>
  <si>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</si>
  <si>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</si>
  <si>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</si>
  <si>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</si>
  <si>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</si>
  <si>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</si>
  <si>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</si>
  <si>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</si>
  <si>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</si>
  <si>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</si>
  <si>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</si>
  <si>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</si>
  <si>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</si>
  <si>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</si>
  <si>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</si>
  <si>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</si>
  <si>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</si>
  <si>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</si>
  <si>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</si>
  <si>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</si>
  <si>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</si>
  <si>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</si>
  <si>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</si>
  <si>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</si>
  <si>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</si>
  <si>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</si>
  <si>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</si>
  <si>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</si>
  <si>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</si>
  <si>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</si>
  <si>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</si>
  <si>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</si>
  <si>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</si>
  <si>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</si>
  <si>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</si>
  <si>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</si>
  <si>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</si>
  <si>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</si>
  <si>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</si>
  <si>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</si>
  <si>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</si>
  <si>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</si>
  <si>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</si>
  <si>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</si>
  <si>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</si>
  <si>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</si>
  <si>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</si>
  <si>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</si>
  <si>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</si>
  <si>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</si>
  <si>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</si>
  <si>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</si>
  <si>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</si>
  <si>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</si>
  <si>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</si>
  <si>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</si>
  <si>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</si>
  <si>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</si>
  <si>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</si>
  <si>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</si>
  <si>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</si>
  <si>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</si>
  <si>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</si>
  <si>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</si>
  <si>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</si>
  <si>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</si>
  <si>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</si>
  <si>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</si>
  <si>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</si>
  <si>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</si>
  <si>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</si>
  <si>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</si>
  <si>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</si>
  <si>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</si>
  <si>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</si>
  <si>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</si>
  <si>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</si>
  <si>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</si>
  <si>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</si>
  <si>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</si>
  <si>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</si>
  <si>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</si>
  <si>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</si>
  <si>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</si>
  <si>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</si>
  <si>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</si>
  <si>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</si>
  <si>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</si>
  <si>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</si>
  <si>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</si>
  <si>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</si>
  <si>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</si>
  <si>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</si>
  <si>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</si>
  <si>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</si>
  <si>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</si>
  <si>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</si>
  <si>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</si>
  <si>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</si>
  <si>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</si>
  <si>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</si>
  <si>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</si>
  <si>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</si>
  <si>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</si>
  <si>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</si>
  <si>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</si>
  <si>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</si>
  <si>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</si>
  <si>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</si>
  <si>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</si>
  <si>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</si>
  <si>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</si>
  <si>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</si>
  <si>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</si>
  <si>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</si>
  <si>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</si>
  <si>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</si>
  <si>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</si>
  <si>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</si>
  <si>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</si>
  <si>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</si>
  <si>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</si>
  <si>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</si>
  <si>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</si>
  <si>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</si>
  <si>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</si>
  <si>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</si>
  <si>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</si>
  <si>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</si>
  <si>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</si>
  <si>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</si>
  <si>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</si>
  <si>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</si>
  <si>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</si>
  <si>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</si>
  <si>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</si>
  <si>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</si>
  <si>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</si>
  <si>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</si>
  <si>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</si>
  <si>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</si>
  <si>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</si>
  <si>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</si>
  <si>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</si>
  <si>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</si>
  <si>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</si>
  <si>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</si>
  <si>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</si>
  <si>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</si>
  <si>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</si>
  <si>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</si>
  <si>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</si>
  <si>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</si>
  <si>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</si>
  <si>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</si>
  <si>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</si>
  <si>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</si>
  <si>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</si>
  <si>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</si>
  <si>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</si>
  <si>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</si>
  <si>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</si>
  <si>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</si>
  <si>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</si>
  <si>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</si>
  <si>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</si>
  <si>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</si>
  <si>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</si>
  <si>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</si>
  <si>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</si>
  <si>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</si>
  <si>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</si>
  <si>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</si>
  <si>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</si>
  <si>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</si>
  <si>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</si>
  <si>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</si>
  <si>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</si>
  <si>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</si>
  <si>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</si>
  <si>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</si>
  <si>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</si>
  <si>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</si>
  <si>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</si>
  <si>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</si>
  <si>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</si>
  <si>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</si>
  <si>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</si>
  <si>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</si>
  <si>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</si>
  <si>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</si>
  <si>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</si>
  <si>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</si>
  <si>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</si>
  <si>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</si>
  <si>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</si>
  <si>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</si>
  <si>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</si>
  <si>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</si>
  <si>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</si>
  <si>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</si>
  <si>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</si>
  <si>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</si>
  <si>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</si>
  <si>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</si>
  <si>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</si>
  <si>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</si>
  <si>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</si>
  <si>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</si>
  <si>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</si>
  <si>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</si>
  <si>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</si>
  <si>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</si>
  <si>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</si>
  <si>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</si>
  <si>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</si>
  <si>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</si>
  <si>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</si>
  <si>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</si>
  <si>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</si>
  <si>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</si>
  <si>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</si>
  <si>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</si>
  <si>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</si>
  <si>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</si>
  <si>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</si>
  <si>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</si>
  <si>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</si>
  <si>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</si>
  <si>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</si>
  <si>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</si>
  <si>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</si>
  <si>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</si>
  <si>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</si>
  <si>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</si>
  <si>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</si>
  <si>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</si>
  <si>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</si>
  <si>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</si>
  <si>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</si>
  <si>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</si>
  <si>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</si>
  <si>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</si>
  <si>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</si>
  <si>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</si>
  <si>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</si>
  <si>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</si>
  <si>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</si>
  <si>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</si>
  <si>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</si>
  <si>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</si>
  <si>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</si>
  <si>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</si>
  <si>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</si>
  <si>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</si>
  <si>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</si>
  <si>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</si>
  <si>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</si>
  <si>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</si>
  <si>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</si>
  <si>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</si>
  <si>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</si>
  <si>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</si>
  <si>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</si>
  <si>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</si>
  <si>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</si>
  <si>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</si>
  <si>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</si>
  <si>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</si>
  <si>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</si>
  <si>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</si>
  <si>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</si>
  <si>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</si>
  <si>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</si>
  <si>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</si>
  <si>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</si>
  <si>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</si>
  <si>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</si>
  <si>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</si>
  <si>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</si>
  <si>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</si>
  <si>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</si>
  <si>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</si>
  <si>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</si>
  <si>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</si>
  <si>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</si>
  <si>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</si>
  <si>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</si>
  <si>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</si>
  <si>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</si>
  <si>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</si>
  <si>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</si>
  <si>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</si>
  <si>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</si>
  <si>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</si>
  <si>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</si>
  <si>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</si>
  <si>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</si>
  <si>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</si>
  <si>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</si>
  <si>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</si>
  <si>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</si>
  <si>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</si>
  <si>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</si>
  <si>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</si>
  <si>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</si>
  <si>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</si>
  <si>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</si>
  <si>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</si>
  <si>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</si>
  <si>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</si>
  <si>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</si>
  <si>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</si>
  <si>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</si>
  <si>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</si>
  <si>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</si>
  <si>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</si>
  <si>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</si>
  <si>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</si>
  <si>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</si>
  <si>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</si>
  <si>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</si>
  <si>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</si>
  <si>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</si>
  <si>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</si>
  <si>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</si>
  <si>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</si>
  <si>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</si>
  <si>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</si>
  <si>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</si>
  <si>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</si>
  <si>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</si>
  <si>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</si>
  <si>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</si>
  <si>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</si>
  <si>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</si>
  <si>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</si>
  <si>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</si>
  <si>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</si>
  <si>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</si>
  <si>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</si>
  <si>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</si>
  <si>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</si>
  <si>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</si>
  <si>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</si>
  <si>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</si>
  <si>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</si>
  <si>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</si>
  <si>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</si>
  <si>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</si>
  <si>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</si>
  <si>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</si>
  <si>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</si>
  <si>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</si>
  <si>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</si>
  <si>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</si>
  <si>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</si>
  <si>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</si>
  <si>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</si>
  <si>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</si>
  <si>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</si>
  <si>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</si>
  <si>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</si>
  <si>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</si>
  <si>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</si>
  <si>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</si>
  <si>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</si>
  <si>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</si>
  <si>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</si>
  <si>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</si>
  <si>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</si>
  <si>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</si>
  <si>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</si>
  <si>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</si>
  <si>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</si>
  <si>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</si>
  <si>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</si>
  <si>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</si>
  <si>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</si>
  <si>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</si>
  <si>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</si>
  <si>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</si>
  <si>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</si>
  <si>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</si>
  <si>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</si>
  <si>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</si>
  <si>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</si>
  <si>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</si>
  <si>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</si>
  <si>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</si>
  <si>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</si>
  <si>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</si>
  <si>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</si>
  <si>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</si>
  <si>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</si>
  <si>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</si>
  <si>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</si>
  <si>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</si>
  <si>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</si>
  <si>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</si>
  <si>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</si>
  <si>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</si>
  <si>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</si>
  <si>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</si>
  <si>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</si>
  <si>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</si>
  <si>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</si>
  <si>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</si>
  <si>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</si>
  <si>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</si>
  <si>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</si>
  <si>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</si>
  <si>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</si>
  <si>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</si>
  <si>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</si>
  <si>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</si>
  <si>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</si>
  <si>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</si>
  <si>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</si>
  <si>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</si>
  <si>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</si>
  <si>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</si>
  <si>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</si>
  <si>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</si>
  <si>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</si>
  <si>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</si>
  <si>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</si>
  <si>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</si>
  <si>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</si>
  <si>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</si>
  <si>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</si>
  <si>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</si>
  <si>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</si>
  <si>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</si>
  <si>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</si>
  <si>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</si>
  <si>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</si>
  <si>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</si>
  <si>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</si>
  <si>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</si>
  <si>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</si>
  <si>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</si>
  <si>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</si>
  <si>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</si>
  <si>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</si>
  <si>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</si>
  <si>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</si>
  <si>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</si>
  <si>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</si>
  <si>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</si>
  <si>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</si>
  <si>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</si>
  <si>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</si>
  <si>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</si>
  <si>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</si>
  <si>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</si>
  <si>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</si>
  <si>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</si>
  <si>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</si>
  <si>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</si>
  <si>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</si>
  <si>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</si>
  <si>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</si>
  <si>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</si>
  <si>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</si>
  <si>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</si>
  <si>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</si>
  <si>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</si>
  <si>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</si>
  <si>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</si>
  <si>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</si>
  <si>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</si>
  <si>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</si>
  <si>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</si>
  <si>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</si>
  <si>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</si>
  <si>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</si>
  <si>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</si>
  <si>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</si>
  <si>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</si>
  <si>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</si>
  <si>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</si>
  <si>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</si>
  <si>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</si>
  <si>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</si>
  <si>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</si>
  <si>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</si>
  <si>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</si>
  <si>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</si>
  <si>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</si>
  <si>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</si>
  <si>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</si>
  <si>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</si>
  <si>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</si>
  <si>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</si>
  <si>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</si>
  <si>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</si>
  <si>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</si>
  <si>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</si>
  <si>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</si>
  <si>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</si>
  <si>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</si>
  <si>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</si>
  <si>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</si>
  <si>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</si>
  <si>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</si>
  <si>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</si>
  <si>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</si>
  <si>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</si>
  <si>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</si>
  <si>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</si>
  <si>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</si>
  <si>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</si>
  <si>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</si>
  <si>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</si>
  <si>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</si>
  <si>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</si>
  <si>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</si>
  <si>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</si>
  <si>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</si>
  <si>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</si>
  <si>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</si>
  <si>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</si>
  <si>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</si>
  <si>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</si>
  <si>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</si>
  <si>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</si>
  <si>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</si>
  <si>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</si>
  <si>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</si>
  <si>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</si>
  <si>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</si>
  <si>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</si>
  <si>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</si>
  <si>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</si>
  <si>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</si>
  <si>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</si>
  <si>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</si>
  <si>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</si>
  <si>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</si>
  <si>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</si>
  <si>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</si>
  <si>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</si>
  <si>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</si>
  <si>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</si>
  <si>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</si>
  <si>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</si>
  <si>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</si>
  <si>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</si>
  <si>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</si>
  <si>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</si>
  <si>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</si>
  <si>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</si>
  <si>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</si>
  <si>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</si>
  <si>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</si>
  <si>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</si>
  <si>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</si>
  <si>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</si>
  <si>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</si>
  <si>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</si>
  <si>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</si>
  <si>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</si>
  <si>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</si>
  <si>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</si>
  <si>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</si>
  <si>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</si>
  <si>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</si>
  <si>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</si>
  <si>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</si>
  <si>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</si>
  <si>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</si>
  <si>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</si>
  <si>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</si>
  <si>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</si>
  <si>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</si>
  <si>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</si>
  <si>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</si>
  <si>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</si>
  <si>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</si>
  <si>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</si>
  <si>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</si>
  <si>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</si>
  <si>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</si>
  <si>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</si>
  <si>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</si>
  <si>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</si>
  <si>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</si>
  <si>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</si>
  <si>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</si>
  <si>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</si>
  <si>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</si>
  <si>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</si>
  <si>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</si>
  <si>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</si>
  <si>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</si>
  <si>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</si>
  <si>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</si>
  <si>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</si>
  <si>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</si>
  <si>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</si>
  <si>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</si>
  <si>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</si>
  <si>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</si>
  <si>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</si>
  <si>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</si>
  <si>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</si>
  <si>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</si>
  <si>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</si>
  <si>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</si>
  <si>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</si>
  <si>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</si>
  <si>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</si>
  <si>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</si>
  <si>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</si>
  <si>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</si>
  <si>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</si>
  <si>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</si>
  <si>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</si>
  <si>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</si>
  <si>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</si>
  <si>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</si>
  <si>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</si>
  <si>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</si>
  <si>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</si>
  <si>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</si>
  <si>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</si>
  <si>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</si>
  <si>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</si>
  <si>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</si>
  <si>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</si>
  <si>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</si>
  <si>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</si>
  <si>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</si>
  <si>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</si>
  <si>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</si>
  <si>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</si>
  <si>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</si>
  <si>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</si>
  <si>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</si>
  <si>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</si>
  <si>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</si>
  <si>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</si>
  <si>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</si>
  <si>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</si>
  <si>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</si>
  <si>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</si>
  <si>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</si>
  <si>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</si>
  <si>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</si>
  <si>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</si>
  <si>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</si>
  <si>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</si>
  <si>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</si>
  <si>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</si>
  <si>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</si>
  <si>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</si>
  <si>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</si>
  <si>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</si>
  <si>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</si>
  <si>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</si>
  <si>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</si>
  <si>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</si>
  <si>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</si>
  <si>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</si>
  <si>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</si>
  <si>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</si>
  <si>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</si>
  <si>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</si>
  <si>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</si>
  <si>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</si>
  <si>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</si>
  <si>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</si>
  <si>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</si>
  <si>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</si>
  <si>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</si>
  <si>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</si>
  <si>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</si>
  <si>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</si>
  <si>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</si>
  <si>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</si>
  <si>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</si>
  <si>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</si>
  <si>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</si>
  <si>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</si>
  <si>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</si>
  <si>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</si>
  <si>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</si>
  <si>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</si>
  <si>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</si>
  <si>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</si>
  <si>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</si>
  <si>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</si>
  <si>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</si>
  <si>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</si>
  <si>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</si>
  <si>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</si>
  <si>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</si>
  <si>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</si>
  <si>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</si>
  <si>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</si>
  <si>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</si>
  <si>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</si>
  <si>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</si>
  <si>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</si>
  <si>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</si>
  <si>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</si>
  <si>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</si>
  <si>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</si>
  <si>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</si>
  <si>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</si>
  <si>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</si>
  <si>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</si>
  <si>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</si>
  <si>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</si>
  <si>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</si>
  <si>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</si>
  <si>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</si>
  <si>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</si>
  <si>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</si>
  <si>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</si>
  <si>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</si>
  <si>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</si>
  <si>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</si>
  <si>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</si>
  <si>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</si>
  <si>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</si>
  <si>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</si>
  <si>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</si>
  <si>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</si>
  <si>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</si>
  <si>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</si>
  <si>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</si>
  <si>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</si>
  <si>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</si>
  <si>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</si>
  <si>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</si>
  <si>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</si>
  <si>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</si>
  <si>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</si>
  <si>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</si>
  <si>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</si>
  <si>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</si>
  <si>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</si>
  <si>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</si>
  <si>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</si>
  <si>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</si>
  <si>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</si>
  <si>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</si>
  <si>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</si>
  <si>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</si>
  <si>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</si>
  <si>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</si>
  <si>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</si>
  <si>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</si>
  <si>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</si>
  <si>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</si>
  <si>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</si>
  <si>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</si>
  <si>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</si>
  <si>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</si>
  <si>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</si>
  <si>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</si>
  <si>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</si>
  <si>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</si>
  <si>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</si>
  <si>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</si>
  <si>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</si>
  <si>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</si>
  <si>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</si>
  <si>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</si>
  <si>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</si>
  <si>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</si>
  <si>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</si>
  <si>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</si>
  <si>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</si>
  <si>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</si>
  <si>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</si>
  <si>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</si>
  <si>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</si>
  <si>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</si>
  <si>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</si>
  <si>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</si>
  <si>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</si>
  <si>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</si>
  <si>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</si>
  <si>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</si>
  <si>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</si>
  <si>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</si>
  <si>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</si>
  <si>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</si>
  <si>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</si>
  <si>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</si>
  <si>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</si>
  <si>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</si>
  <si>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</si>
  <si>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</si>
  <si>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</si>
  <si>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</si>
  <si>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</si>
  <si>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</si>
  <si>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</si>
  <si>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</si>
  <si>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</si>
  <si>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</si>
  <si>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</si>
  <si>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</si>
  <si>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</si>
  <si>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</si>
  <si>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</si>
  <si>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</si>
  <si>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</si>
  <si>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</si>
  <si>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</si>
  <si>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</si>
  <si>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</si>
  <si>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</si>
  <si>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</si>
  <si>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</si>
  <si>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</si>
  <si>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</si>
  <si>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</si>
  <si>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</si>
  <si>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</si>
  <si>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</si>
  <si>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</si>
  <si>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</si>
  <si>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</si>
  <si>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</si>
  <si>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</si>
  <si>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</si>
  <si>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</si>
  <si>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</si>
  <si>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</si>
  <si>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</si>
  <si>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</si>
  <si>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</si>
  <si>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</si>
  <si>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</si>
  <si>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</si>
  <si>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</si>
  <si>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</si>
  <si>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</si>
  <si>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</si>
  <si>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</si>
  <si>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</si>
  <si>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</si>
  <si>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</si>
  <si>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</si>
  <si>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</si>
  <si>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</si>
  <si>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</si>
  <si>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</si>
  <si>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</si>
  <si>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</si>
  <si>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</si>
  <si>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</si>
  <si>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</si>
  <si>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</si>
  <si>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</si>
  <si>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</si>
  <si>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</si>
  <si>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</si>
  <si>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</si>
  <si>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</si>
  <si>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</si>
  <si>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</si>
  <si>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</si>
  <si>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</si>
  <si>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</si>
  <si>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</si>
  <si>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</si>
  <si>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</si>
  <si>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</si>
  <si>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</si>
  <si>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</si>
  <si>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</si>
  <si>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</si>
  <si>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</si>
  <si>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</si>
  <si>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</si>
  <si>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</si>
  <si>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</si>
  <si>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</si>
  <si>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</si>
  <si>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</si>
  <si>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</si>
  <si>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</si>
  <si>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</si>
  <si>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</si>
  <si>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</si>
  <si>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</si>
  <si>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</si>
  <si>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</si>
  <si>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</si>
  <si>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</si>
  <si>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</si>
  <si>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</si>
  <si>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</si>
  <si>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</si>
  <si>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</si>
  <si>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</si>
  <si>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</si>
  <si>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</si>
  <si>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</si>
  <si>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</si>
  <si>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</si>
  <si>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</si>
  <si>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</si>
  <si>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</si>
  <si>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</si>
  <si>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</si>
  <si>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</si>
  <si>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</si>
  <si>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</si>
  <si>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</si>
  <si>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</si>
  <si>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</si>
  <si>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</si>
  <si>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</si>
  <si>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</si>
  <si>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</si>
  <si>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</si>
  <si>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</si>
  <si>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</si>
  <si>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</si>
  <si>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</si>
  <si>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</si>
  <si>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</si>
  <si>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</si>
  <si>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</si>
  <si>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</si>
  <si>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</si>
  <si>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</si>
  <si>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</si>
  <si>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</si>
  <si>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</si>
  <si>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</si>
  <si>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</si>
  <si>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</si>
  <si>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</si>
  <si>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</si>
  <si>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</si>
  <si>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</si>
  <si>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</si>
  <si>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</si>
  <si>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</si>
  <si>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</si>
  <si>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</si>
  <si>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</si>
  <si>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</si>
  <si>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</si>
  <si>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</si>
  <si>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</si>
  <si>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</si>
  <si>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</si>
  <si>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</si>
  <si>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</si>
  <si>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</si>
  <si>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</si>
  <si>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</si>
  <si>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</si>
  <si>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</si>
  <si>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</si>
  <si>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</si>
  <si>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</si>
  <si>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</si>
  <si>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</si>
  <si>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</si>
  <si>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</si>
  <si>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</si>
  <si>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</si>
  <si>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</si>
  <si>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</si>
  <si>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</si>
  <si>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</si>
  <si>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</si>
  <si>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</si>
  <si>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</si>
  <si>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</si>
  <si>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</si>
  <si>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</si>
  <si>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</si>
  <si>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</si>
  <si>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</si>
  <si>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</si>
  <si>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</si>
  <si>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</si>
  <si>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</si>
  <si>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</si>
  <si>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</si>
  <si>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</si>
  <si>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</si>
  <si>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</si>
  <si>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</si>
  <si>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</si>
  <si>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</si>
  <si>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</si>
  <si>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</si>
  <si>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</si>
  <si>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</si>
  <si>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</si>
  <si>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</si>
  <si>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</si>
  <si>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</si>
  <si>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</si>
  <si>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</si>
  <si>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</si>
  <si>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</si>
  <si>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</si>
  <si>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</si>
  <si>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</si>
  <si>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</si>
  <si>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</si>
  <si>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</si>
  <si>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</si>
  <si>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</si>
  <si>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</si>
  <si>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</si>
  <si>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</si>
  <si>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</si>
  <si>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</si>
  <si>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</si>
  <si>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</si>
  <si>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</si>
  <si>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</si>
  <si>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</si>
  <si>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</si>
  <si>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</si>
  <si>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</si>
  <si>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</si>
  <si>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</si>
  <si>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</si>
  <si>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</si>
  <si>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</si>
  <si>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</si>
  <si>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</si>
  <si>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</si>
  <si>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</si>
  <si>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</si>
  <si>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</si>
  <si>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</si>
  <si>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</si>
  <si>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</si>
  <si>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</si>
  <si>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</si>
  <si>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</si>
  <si>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</si>
  <si>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</si>
  <si>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</si>
  <si>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</si>
  <si>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</si>
  <si>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</si>
  <si>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</si>
  <si>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</si>
  <si>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</si>
  <si>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</si>
  <si>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</si>
  <si>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</si>
  <si>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</si>
  <si>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</si>
  <si>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</si>
  <si>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</si>
  <si>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</si>
  <si>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</si>
  <si>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</si>
  <si>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</si>
  <si>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</si>
  <si>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</si>
  <si>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</si>
  <si>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</si>
  <si>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</si>
  <si>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</si>
  <si>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</si>
  <si>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</si>
  <si>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</si>
  <si>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</si>
  <si>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</si>
  <si>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</si>
  <si>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</si>
  <si>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</si>
  <si>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</si>
  <si>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</si>
  <si>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</si>
  <si>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</si>
  <si>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</si>
  <si>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</si>
  <si>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</si>
  <si>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</si>
  <si>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</si>
  <si>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</si>
  <si>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</si>
  <si>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</si>
  <si>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</si>
  <si>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</si>
  <si>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</si>
  <si>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</si>
  <si>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</si>
  <si>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</si>
  <si>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</si>
  <si>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</si>
  <si>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</si>
  <si>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</si>
  <si>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</si>
  <si>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</si>
  <si>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</si>
  <si>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</si>
  <si>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</si>
  <si>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</si>
  <si>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</si>
  <si>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</si>
  <si>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</si>
  <si>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</si>
  <si>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</si>
  <si>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</si>
  <si>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</si>
  <si>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</si>
  <si>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</si>
  <si>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</si>
  <si>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</si>
  <si>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</si>
  <si>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</si>
  <si>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</si>
  <si>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</si>
  <si>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</si>
  <si>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</si>
  <si>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</si>
  <si>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</si>
  <si>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</si>
  <si>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</si>
  <si>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</si>
  <si>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</si>
  <si>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</si>
  <si>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</si>
  <si>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</si>
  <si>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</si>
  <si>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</si>
  <si>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</si>
  <si>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</si>
  <si>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</si>
  <si>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</si>
  <si>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</si>
  <si>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</si>
  <si>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</si>
  <si>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</si>
  <si>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</si>
  <si>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</si>
  <si>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</si>
  <si>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</si>
  <si>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</si>
  <si>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</si>
  <si>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</si>
  <si>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</si>
  <si>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</si>
  <si>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</si>
  <si>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</si>
  <si>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</si>
  <si>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</si>
  <si>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</si>
  <si>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</si>
  <si>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</si>
  <si>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</si>
  <si>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</si>
  <si>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</si>
  <si>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</si>
  <si>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</si>
  <si>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</si>
  <si>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</si>
  <si>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</si>
  <si>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</si>
  <si>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</si>
  <si>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</si>
  <si>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</si>
  <si>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</si>
  <si>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</si>
  <si>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</si>
  <si>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</si>
  <si>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</si>
  <si>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</si>
  <si>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</si>
  <si>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</si>
  <si>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</si>
  <si>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</si>
  <si>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</si>
  <si>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</si>
  <si>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</si>
  <si>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</si>
  <si>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</si>
  <si>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</si>
  <si>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</si>
  <si>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</si>
  <si>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</si>
  <si>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</si>
  <si>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</si>
  <si>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</si>
  <si>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</si>
  <si>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</si>
  <si>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</si>
  <si>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</si>
  <si>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</si>
  <si>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</si>
  <si>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</si>
  <si>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</si>
  <si>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</si>
  <si>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</si>
  <si>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</si>
  <si>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</si>
  <si>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</si>
  <si>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</si>
  <si>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</si>
  <si>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</si>
  <si>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</si>
  <si>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</si>
  <si>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</si>
  <si>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</si>
  <si>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</si>
  <si>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</si>
  <si>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</si>
  <si>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</si>
  <si>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</si>
  <si>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</si>
  <si>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</si>
  <si>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</si>
  <si>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</si>
  <si>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</si>
  <si>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</si>
  <si>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</si>
  <si>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</si>
  <si>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</si>
  <si>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</si>
  <si>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</si>
  <si>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</si>
  <si>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</si>
  <si>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</si>
  <si>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</si>
  <si>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</si>
  <si>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</si>
  <si>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</si>
  <si>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</si>
  <si>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</si>
  <si>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</si>
  <si>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</si>
  <si>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</si>
  <si>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</si>
  <si>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</si>
  <si>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</si>
  <si>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</si>
  <si>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</si>
  <si>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</si>
  <si>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</si>
  <si>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</si>
  <si>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</si>
  <si>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</si>
  <si>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</si>
  <si>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</si>
  <si>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</si>
  <si>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</si>
  <si>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</si>
  <si>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</si>
  <si>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</si>
  <si>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</si>
  <si>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</si>
  <si>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</si>
  <si>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</si>
  <si>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</si>
  <si>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</si>
  <si>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</si>
  <si>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</si>
  <si>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</si>
  <si>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</si>
  <si>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</si>
  <si>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</si>
  <si>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</si>
  <si>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</si>
  <si>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</si>
  <si>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</si>
  <si>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</si>
  <si>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</si>
  <si>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</si>
  <si>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</si>
  <si>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</si>
  <si>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</si>
  <si>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</si>
  <si>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</si>
  <si>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</si>
  <si>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</si>
  <si>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</si>
  <si>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</si>
  <si>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</si>
  <si>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</si>
  <si>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</si>
  <si>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</si>
  <si>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</si>
  <si>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</si>
  <si>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</si>
  <si>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</si>
  <si>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</si>
  <si>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</si>
  <si>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</si>
  <si>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</si>
  <si>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</si>
  <si>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</si>
  <si>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</si>
  <si>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</si>
  <si>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</si>
  <si>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</si>
  <si>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</si>
  <si>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</si>
  <si>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</si>
  <si>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</si>
  <si>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</si>
  <si>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</si>
  <si>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</si>
  <si>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</si>
  <si>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</si>
  <si>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</si>
  <si>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</si>
  <si>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</si>
  <si>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</si>
  <si>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</si>
  <si>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Компенсатор сильфонный, условное давление 0,25 МПа (2,5 кгс/см2), условный проход 350 мм, 3Л-класс безопасности, С-Группа оборудования, 1 Категория сейсмостойкости</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</si>
  <si>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</si>
  <si>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</si>
  <si>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</si>
  <si>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</si>
  <si>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</si>
  <si>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</si>
  <si>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</si>
  <si>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</si>
  <si>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</si>
  <si>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</si>
  <si>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</si>
  <si>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</si>
  <si>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</si>
  <si>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</si>
  <si>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</si>
  <si>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</si>
  <si>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</si>
  <si>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</si>
  <si>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</si>
  <si>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</si>
  <si>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</si>
  <si>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</si>
  <si>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</si>
  <si>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</si>
  <si>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</si>
  <si>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</si>
  <si>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</si>
  <si>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</si>
  <si>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</si>
  <si>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</si>
  <si>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</si>
  <si>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</si>
  <si>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</si>
  <si>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</si>
  <si>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</si>
  <si>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</si>
  <si>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</si>
  <si>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</si>
  <si>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</si>
  <si>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</si>
  <si>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</si>
  <si>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</si>
  <si>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</si>
  <si>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</si>
  <si>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</si>
  <si>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</si>
  <si>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</si>
  <si>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</si>
  <si>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</si>
  <si>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</si>
  <si>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</si>
  <si>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</si>
  <si>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</si>
  <si>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</si>
  <si>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</si>
  <si>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</si>
  <si>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</si>
  <si>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</si>
  <si>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</si>
  <si>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</si>
  <si>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</si>
  <si>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</si>
  <si>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</si>
  <si>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</si>
  <si>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</si>
  <si>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</si>
  <si>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</si>
  <si>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</si>
  <si>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</si>
  <si>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</si>
  <si>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</si>
  <si>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</si>
  <si>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</si>
  <si>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</si>
  <si>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</si>
  <si>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</si>
  <si>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</si>
  <si>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</si>
  <si>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</si>
  <si>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</si>
  <si>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</si>
  <si>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</si>
  <si>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</si>
  <si>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</si>
  <si>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</si>
  <si>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</si>
  <si>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</si>
  <si>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</si>
  <si>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</si>
  <si>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</si>
  <si>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</si>
  <si>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</si>
  <si>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</si>
  <si>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</si>
  <si>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</si>
  <si>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</si>
  <si>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</si>
  <si>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</si>
  <si>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</si>
  <si>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</si>
  <si>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</si>
  <si>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</si>
  <si>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</si>
  <si>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</si>
  <si>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</si>
  <si>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</si>
  <si>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</si>
  <si>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</si>
  <si>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</si>
  <si>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</si>
  <si>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</si>
  <si>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</si>
  <si>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</si>
  <si>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</si>
  <si>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</si>
  <si>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</si>
  <si>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</si>
  <si>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</si>
  <si>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</si>
  <si>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</si>
  <si>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</si>
  <si>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</si>
  <si>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</si>
  <si>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</si>
  <si>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</si>
  <si>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</si>
  <si>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</si>
  <si>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</si>
  <si>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</si>
  <si>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</si>
  <si>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</si>
  <si>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</si>
  <si>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</si>
  <si>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</si>
  <si>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</si>
  <si>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</si>
  <si>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</si>
  <si>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</si>
  <si>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</si>
  <si>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</si>
  <si>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</si>
  <si>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</si>
  <si>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</si>
  <si>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</si>
  <si>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</si>
  <si>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</si>
  <si>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</si>
  <si>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</si>
  <si>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</si>
  <si>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</si>
  <si>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</si>
  <si>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</si>
  <si>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</si>
  <si>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</si>
  <si>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</si>
  <si>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</si>
  <si>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</si>
  <si>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</si>
  <si>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</si>
  <si>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</si>
  <si>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</si>
  <si>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</si>
  <si>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</si>
  <si>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</si>
  <si>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Детали фасонные к листам хризотилцементным</t>
  </si>
  <si>
    <t>Картоны асбестовые</t>
  </si>
  <si>
    <t>Кабины душевые</t>
  </si>
  <si>
    <t>Колодцы кабельные полимерные</t>
  </si>
  <si>
    <t>Кабели волоконно-оптические</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</si>
  <si>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</si>
  <si>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</si>
  <si>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</si>
  <si>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</si>
  <si>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</si>
  <si>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</si>
  <si>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</si>
  <si>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</si>
  <si>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</si>
  <si>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</si>
  <si>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</si>
  <si>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</si>
  <si>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</si>
  <si>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</si>
  <si>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</si>
  <si>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</si>
  <si>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</si>
  <si>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</si>
  <si>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</si>
  <si>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</si>
  <si>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</si>
  <si>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</si>
  <si>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</si>
  <si>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</si>
  <si>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</si>
  <si>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</si>
  <si>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</si>
  <si>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</si>
  <si>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</si>
  <si>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</si>
  <si>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</si>
  <si>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</si>
  <si>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</si>
  <si>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</si>
  <si>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</si>
  <si>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</si>
  <si>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</si>
  <si>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</si>
  <si>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</si>
  <si>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</si>
  <si>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</si>
  <si>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</si>
  <si>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</si>
  <si>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</si>
  <si>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</si>
  <si>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</si>
  <si>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</si>
  <si>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</si>
  <si>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</si>
  <si>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</si>
  <si>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</si>
  <si>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</si>
  <si>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</si>
  <si>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</si>
  <si>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</si>
  <si>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</si>
  <si>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</si>
  <si>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</si>
  <si>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</si>
  <si>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</si>
  <si>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</si>
  <si>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</si>
  <si>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</si>
  <si>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</si>
  <si>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</si>
  <si>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</si>
  <si>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</si>
  <si>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</si>
  <si>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</si>
  <si>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</si>
  <si>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</si>
  <si>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</si>
  <si>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</si>
  <si>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</si>
  <si>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</si>
  <si>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</si>
  <si>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</si>
  <si>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</si>
  <si>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</si>
  <si>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</si>
  <si>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</si>
  <si>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</si>
  <si>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</si>
  <si>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</si>
  <si>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</si>
  <si>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</si>
  <si>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</si>
  <si>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</si>
  <si>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</si>
  <si>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</si>
  <si>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</si>
  <si>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</si>
  <si>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</si>
  <si>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</si>
  <si>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</si>
  <si>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</si>
  <si>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</si>
  <si>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</si>
  <si>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</si>
  <si>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</si>
  <si>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</si>
  <si>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</si>
  <si>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</si>
  <si>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</si>
  <si>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</si>
  <si>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</si>
  <si>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</si>
  <si>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</si>
  <si>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</si>
  <si>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</si>
  <si>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</si>
  <si>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</si>
  <si>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</si>
  <si>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</si>
  <si>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</si>
  <si>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</si>
  <si>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</si>
  <si>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</si>
  <si>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</si>
  <si>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</si>
  <si>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</si>
  <si>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</si>
  <si>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</si>
  <si>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</si>
  <si>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</si>
  <si>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</si>
  <si>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</si>
  <si>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</si>
  <si>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</si>
  <si>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</si>
  <si>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</si>
  <si>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</si>
  <si>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</si>
  <si>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</si>
  <si>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</si>
  <si>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</si>
  <si>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</si>
  <si>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</si>
  <si>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</si>
  <si>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</si>
  <si>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</si>
  <si>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</si>
  <si>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</si>
  <si>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</si>
  <si>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</si>
  <si>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</si>
  <si>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</si>
  <si>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</si>
  <si>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</si>
  <si>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</si>
  <si>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</si>
  <si>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</si>
  <si>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</si>
  <si>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</si>
  <si>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</si>
  <si>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</si>
  <si>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</si>
  <si>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</si>
  <si>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</si>
  <si>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</si>
  <si>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</si>
  <si>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</si>
  <si>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</si>
  <si>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</si>
  <si>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</si>
  <si>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</si>
  <si>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</si>
  <si>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</si>
  <si>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</si>
  <si>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</si>
  <si>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</si>
  <si>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</si>
  <si>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</si>
  <si>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</si>
  <si>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ООО Автоматика Групп</t>
  </si>
  <si>
    <t>Автоматизация Тех. процесса</t>
  </si>
  <si>
    <t>1QTН2S -1.1</t>
  </si>
  <si>
    <t>27.02.2024</t>
  </si>
  <si>
    <t>ТЦ_ 61.2.04.02_67_997350001_27.02.24_2</t>
  </si>
  <si>
    <t>1QTС2Н4-2.12QTС2Н4-2.11QTС2Н4-1.1</t>
  </si>
  <si>
    <t>1QTН2-1.1,1QTН2-1.2,2QTН2-1.1,2QTН2-1.3,2QTН2-1.2,2QTН2-1.4,2QTН2-2.1,2QTН2-2.2,2QTН2-2.3,2QTН2-2.4,2QTН2-3.1,2QTН2-3.2</t>
  </si>
  <si>
    <t>3.1</t>
  </si>
  <si>
    <t>3.2</t>
  </si>
  <si>
    <t>3.3</t>
  </si>
  <si>
    <t>2QTС2Н5OH-2.1</t>
  </si>
  <si>
    <t>4.1</t>
  </si>
  <si>
    <t>4.2</t>
  </si>
  <si>
    <t>4.3</t>
  </si>
  <si>
    <t>2QTС6Н6-3.1</t>
  </si>
  <si>
    <t>5.1</t>
  </si>
  <si>
    <t>5.2</t>
  </si>
  <si>
    <t>5.3</t>
  </si>
  <si>
    <t>2QTCI2-1.1</t>
  </si>
  <si>
    <t>6.1</t>
  </si>
  <si>
    <t>6.2</t>
  </si>
  <si>
    <t>6.3</t>
  </si>
  <si>
    <t>2QTС7Н8-3.1</t>
  </si>
  <si>
    <t>7.1</t>
  </si>
  <si>
    <t>7.2</t>
  </si>
  <si>
    <t>7.3</t>
  </si>
  <si>
    <t>Столбец1</t>
  </si>
  <si>
    <t>Столбец2</t>
  </si>
  <si>
    <t>Столбец3</t>
  </si>
  <si>
    <t>Столбец4</t>
  </si>
  <si>
    <t>Столбец5</t>
  </si>
  <si>
    <t>Столбец6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</si>
</sst>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2"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9" fillId="2" borderId="0" xfId="3" applyFill="1" applyAlignment="1" applyProtection="1">
      <alignment horizontal="left"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4" fontId="0" fillId="4" borderId="0" xfId="0" applyNumberFormat="1" applyFill="1"/>
    <xf numFmtId="0" fontId="0" fillId="0" borderId="6" xfId="0" applyFont="1" applyBorder="1"/>
    <xf numFmtId="0" fontId="0" fillId="3" borderId="6" xfId="0" applyFont="1" applyFill="1" applyBorder="1"/>
    <xf numFmtId="0" fontId="11" fillId="0" borderId="6" xfId="0" applyFont="1" applyBorder="1"/>
    <xf numFmtId="0" fontId="0" fillId="3" borderId="7" xfId="0" applyFont="1" applyFill="1" applyBorder="1"/>
    <xf numFmtId="0" fontId="0" fillId="0" borderId="8" xfId="0" applyFont="1" applyBorder="1"/>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3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4" totalsRowShown="0" headerRowDxfId="29" dataDxfId="27" headerRowBorderDxfId="28" tableBorderDxfId="26" totalsRowBorderDxfId="25">
  <autoFilter ref="A1:F14"/>
  <tableColumns count="6">
    <tableColumn id="1" name="Столбец1" dataDxfId="24"/>
    <tableColumn id="2" name="Столбец2" dataDxfId="23"/>
    <tableColumn id="3" name="Столбец3" dataDxfId="22"/>
    <tableColumn id="4" name="Столбец4" dataDxfId="21"/>
    <tableColumn id="5" name="Столбец5" dataDxfId="20"/>
    <tableColumn id="6" name="Столбец6" dataDxfId="19"/>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80" totalsRowShown="0" headerRowDxfId="18" headerRowCellStyle="HeadingStyle">
  <sortState ref="A2:A2180">
    <sortCondition ref="A1:A2180"/>
  </sortState>
  <tableColumns count="1">
    <tableColumn id="2" name="Группы" dataDxfId="17"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50" t="s">
        <v>0</v>
      </c>
      <c r="B2" s="50"/>
      <c r="C2" s="50"/>
      <c r="D2" s="50"/>
      <c r="E2" s="50"/>
      <c r="F2" s="50"/>
      <c r="G2" s="50"/>
      <c r="H2" s="50"/>
      <c r="I2" s="50"/>
      <c r="J2" s="50"/>
      <c r="K2" s="50"/>
      <c r="L2" s="50"/>
      <c r="M2" s="50"/>
      <c r="N2" s="50"/>
      <c r="O2" s="50"/>
      <c r="P2" s="50"/>
      <c r="Q2" s="50"/>
      <c r="R2" s="50"/>
      <c r="S2" s="50"/>
      <c r="T2" s="50"/>
      <c r="U2" s="50"/>
    </row>
    <row r="3" spans="1:23" ht="14.45" customHeight="1" x14ac:dyDescent="0.25">
      <c r="A3" s="51"/>
      <c r="B3" s="51"/>
      <c r="C3" s="51"/>
      <c r="D3" s="51"/>
      <c r="E3" s="51"/>
      <c r="F3" s="51"/>
      <c r="G3" s="51"/>
      <c r="H3" s="51"/>
      <c r="I3" s="51"/>
      <c r="J3" s="51"/>
      <c r="K3" s="51"/>
      <c r="L3" s="51"/>
      <c r="M3" s="51"/>
      <c r="N3" s="51"/>
      <c r="O3" s="51"/>
      <c r="P3" s="51"/>
      <c r="Q3" s="51"/>
      <c r="R3" s="51"/>
      <c r="S3" s="51"/>
      <c r="T3" s="51"/>
      <c r="U3" s="51"/>
    </row>
    <row r="4" spans="1:23" ht="14.45" customHeight="1" x14ac:dyDescent="0.25">
      <c r="A4" s="52" t="s">
        <v>1</v>
      </c>
      <c r="B4" s="52"/>
      <c r="C4" s="52"/>
      <c r="D4" s="52"/>
      <c r="E4" s="52"/>
      <c r="F4" s="52"/>
      <c r="G4" s="52"/>
      <c r="H4" s="52"/>
      <c r="I4" s="52"/>
      <c r="J4" s="52"/>
      <c r="K4" s="52"/>
      <c r="L4" s="52"/>
      <c r="M4" s="52"/>
      <c r="N4" s="52"/>
      <c r="O4" s="52"/>
      <c r="P4" s="52"/>
      <c r="Q4" s="52"/>
      <c r="R4" s="52"/>
      <c r="S4" s="52"/>
      <c r="T4" s="52"/>
      <c r="U4" s="52"/>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3" t="s">
        <v>2</v>
      </c>
      <c r="B6" s="53"/>
      <c r="C6" s="53"/>
      <c r="D6" s="53"/>
      <c r="E6" s="53"/>
      <c r="F6" s="53"/>
      <c r="G6" s="53"/>
      <c r="H6" s="53"/>
      <c r="I6" s="53"/>
      <c r="J6" s="53"/>
      <c r="K6" s="53"/>
      <c r="L6" s="53"/>
      <c r="M6" s="53"/>
      <c r="N6" s="53"/>
      <c r="O6" s="53"/>
      <c r="P6" s="53"/>
      <c r="Q6" s="53"/>
      <c r="R6" s="53"/>
      <c r="S6" s="53"/>
      <c r="T6" s="53"/>
      <c r="U6" s="53"/>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4" t="s">
        <v>3</v>
      </c>
      <c r="B8" s="54"/>
      <c r="C8" s="54"/>
      <c r="D8" s="54"/>
      <c r="E8" s="54"/>
      <c r="F8" s="54"/>
      <c r="G8" s="54"/>
      <c r="H8" s="54"/>
      <c r="I8" s="54"/>
      <c r="J8" s="54"/>
      <c r="K8" s="54"/>
      <c r="L8" s="54"/>
      <c r="M8" s="54"/>
      <c r="N8" s="54"/>
      <c r="O8" s="54"/>
      <c r="P8" s="54"/>
      <c r="Q8" s="54"/>
      <c r="R8" s="54"/>
      <c r="S8" s="54"/>
      <c r="T8" s="54"/>
      <c r="U8" s="54"/>
    </row>
    <row r="9" spans="1:23" ht="14.45" customHeight="1" x14ac:dyDescent="0.25">
      <c r="A9" s="55" t="s">
        <v>4</v>
      </c>
      <c r="B9" s="55"/>
      <c r="C9" s="55"/>
      <c r="D9" s="55"/>
      <c r="E9" s="55"/>
      <c r="F9" s="55"/>
      <c r="G9" s="55"/>
      <c r="H9" s="55"/>
      <c r="I9" s="55"/>
      <c r="J9" s="55"/>
      <c r="K9" s="55"/>
      <c r="L9" s="55"/>
      <c r="M9" s="55"/>
      <c r="N9" s="55"/>
      <c r="O9" s="55"/>
      <c r="P9" s="55"/>
      <c r="Q9" s="55"/>
      <c r="R9" s="55"/>
      <c r="S9" s="55"/>
      <c r="T9" s="55"/>
      <c r="U9" s="55"/>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7" t="s">
        <v>5</v>
      </c>
      <c r="B11" s="46" t="s">
        <v>6</v>
      </c>
      <c r="C11" s="22"/>
      <c r="D11" s="24"/>
      <c r="E11" s="22"/>
      <c r="F11" s="22"/>
      <c r="G11" s="23"/>
      <c r="H11" s="48" t="s">
        <v>12</v>
      </c>
      <c r="I11" s="48" t="s">
        <v>13</v>
      </c>
      <c r="J11" s="48" t="s">
        <v>14</v>
      </c>
      <c r="K11" s="48"/>
      <c r="L11" s="48" t="s">
        <v>15</v>
      </c>
      <c r="M11" s="46" t="s">
        <v>16</v>
      </c>
      <c r="N11" s="46" t="s">
        <v>17</v>
      </c>
      <c r="O11" s="46" t="s">
        <v>18</v>
      </c>
      <c r="P11" s="46" t="s">
        <v>19</v>
      </c>
      <c r="Q11" s="46" t="s">
        <v>20</v>
      </c>
      <c r="R11" s="49" t="s">
        <v>21</v>
      </c>
      <c r="S11" s="46" t="s">
        <v>22</v>
      </c>
      <c r="T11" s="46" t="s">
        <v>23</v>
      </c>
      <c r="U11" s="22"/>
    </row>
    <row r="12" spans="1:23" ht="227.45" customHeight="1" x14ac:dyDescent="0.25">
      <c r="A12" s="47"/>
      <c r="B12" s="46"/>
      <c r="C12" s="22" t="s">
        <v>7</v>
      </c>
      <c r="D12" s="24" t="s">
        <v>8</v>
      </c>
      <c r="E12" s="22" t="s">
        <v>9</v>
      </c>
      <c r="F12" s="22" t="s">
        <v>10</v>
      </c>
      <c r="G12" s="23" t="s">
        <v>11</v>
      </c>
      <c r="H12" s="48"/>
      <c r="I12" s="48"/>
      <c r="J12" s="18" t="s">
        <v>25</v>
      </c>
      <c r="K12" s="18" t="s">
        <v>26</v>
      </c>
      <c r="L12" s="48"/>
      <c r="M12" s="46"/>
      <c r="N12" s="46"/>
      <c r="O12" s="46"/>
      <c r="P12" s="46"/>
      <c r="Q12" s="46"/>
      <c r="R12" s="49"/>
      <c r="S12" s="46"/>
      <c r="T12" s="46"/>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W34"/>
  <sheetViews>
    <sheetView tabSelected="1" topLeftCell="A10" zoomScale="70" zoomScaleNormal="70" workbookViewId="0">
      <selection activeCell="Q11" sqref="Q11:Q12"/>
    </sheetView>
  </sheetViews>
  <sheetFormatPr defaultRowHeight="15" x14ac:dyDescent="0.25"/>
  <cols>
    <col min="2" max="2" width="40.140625" customWidth="1"/>
    <col min="3" max="3" width="28.85546875" customWidth="1"/>
    <col min="7" max="7" width="10.28515625" bestFit="1" customWidth="1"/>
    <col min="15" max="15" width="18" customWidth="1"/>
    <col min="16" max="16" width="22.28515625" customWidth="1"/>
    <col min="17" max="17" width="18.42578125" customWidth="1"/>
  </cols>
  <sheetData>
    <row r="1" spans="1:23" x14ac:dyDescent="0.25">
      <c r="A1" s="1"/>
      <c r="B1" s="2"/>
      <c r="C1" s="2"/>
      <c r="D1" s="2"/>
      <c r="E1" s="3"/>
      <c r="F1" s="2"/>
      <c r="G1" s="2"/>
      <c r="H1" s="4"/>
      <c r="I1" s="4"/>
      <c r="J1" s="4"/>
      <c r="K1" s="4"/>
      <c r="L1" s="4"/>
      <c r="M1" s="4"/>
      <c r="N1" s="2"/>
      <c r="O1" s="2"/>
      <c r="P1" s="2"/>
      <c r="Q1" s="2"/>
      <c r="R1" s="2"/>
      <c r="S1" s="2"/>
      <c r="T1" s="2"/>
      <c r="U1" s="2"/>
    </row>
    <row r="2" spans="1:23" x14ac:dyDescent="0.25">
      <c r="A2" s="50" t="s">
        <v>2422</v>
      </c>
      <c r="B2" s="50"/>
      <c r="C2" s="50"/>
      <c r="D2" s="50"/>
      <c r="E2" s="50"/>
      <c r="F2" s="50"/>
      <c r="G2" s="50"/>
      <c r="H2" s="50"/>
      <c r="I2" s="50"/>
      <c r="J2" s="50"/>
      <c r="K2" s="50"/>
      <c r="L2" s="50"/>
      <c r="M2" s="50"/>
      <c r="N2" s="50"/>
      <c r="O2" s="50"/>
      <c r="P2" s="50"/>
      <c r="Q2" s="50"/>
      <c r="R2" s="50"/>
      <c r="S2" s="50"/>
      <c r="T2" s="50"/>
      <c r="U2" s="50"/>
    </row>
    <row r="3" spans="1:23" x14ac:dyDescent="0.25">
      <c r="A3" s="51"/>
      <c r="B3" s="51"/>
      <c r="C3" s="51"/>
      <c r="D3" s="51"/>
      <c r="E3" s="51"/>
      <c r="F3" s="51"/>
      <c r="G3" s="51"/>
      <c r="H3" s="51"/>
      <c r="I3" s="51"/>
      <c r="J3" s="51"/>
      <c r="K3" s="51"/>
      <c r="L3" s="51"/>
      <c r="M3" s="51"/>
      <c r="N3" s="51"/>
      <c r="O3" s="51"/>
      <c r="P3" s="51"/>
      <c r="Q3" s="51"/>
      <c r="R3" s="51"/>
      <c r="S3" s="51"/>
      <c r="T3" s="51"/>
      <c r="U3" s="51"/>
    </row>
    <row r="4" spans="1:23" x14ac:dyDescent="0.25">
      <c r="A4" s="52" t="s">
        <v>1</v>
      </c>
      <c r="B4" s="52"/>
      <c r="C4" s="52"/>
      <c r="D4" s="52"/>
      <c r="E4" s="52"/>
      <c r="F4" s="52"/>
      <c r="G4" s="52"/>
      <c r="H4" s="52"/>
      <c r="I4" s="52"/>
      <c r="J4" s="52"/>
      <c r="K4" s="52"/>
      <c r="L4" s="52"/>
      <c r="M4" s="52"/>
      <c r="N4" s="52"/>
      <c r="O4" s="52"/>
      <c r="P4" s="52"/>
      <c r="Q4" s="52"/>
      <c r="R4" s="52"/>
      <c r="S4" s="52"/>
      <c r="T4" s="52"/>
      <c r="U4" s="52"/>
    </row>
    <row r="5" spans="1:23" x14ac:dyDescent="0.25">
      <c r="A5" s="5"/>
      <c r="B5" s="6"/>
      <c r="C5" s="6"/>
      <c r="D5" s="6"/>
      <c r="E5" s="5"/>
      <c r="F5" s="6"/>
      <c r="G5" s="6"/>
      <c r="H5" s="7"/>
      <c r="I5" s="7"/>
      <c r="J5" s="7"/>
      <c r="K5" s="7"/>
      <c r="L5" s="7"/>
      <c r="M5" s="7"/>
      <c r="N5" s="6"/>
      <c r="O5" s="6"/>
      <c r="P5" s="6"/>
      <c r="Q5" s="6"/>
      <c r="R5" s="6"/>
      <c r="S5" s="8"/>
      <c r="T5" s="6"/>
      <c r="U5" s="6"/>
    </row>
    <row r="6" spans="1:23" ht="18.75" x14ac:dyDescent="0.25">
      <c r="A6" s="53" t="s">
        <v>2</v>
      </c>
      <c r="B6" s="53"/>
      <c r="C6" s="53"/>
      <c r="D6" s="53"/>
      <c r="E6" s="53"/>
      <c r="F6" s="53"/>
      <c r="G6" s="53"/>
      <c r="H6" s="53"/>
      <c r="I6" s="53"/>
      <c r="J6" s="53"/>
      <c r="K6" s="53"/>
      <c r="L6" s="53"/>
      <c r="M6" s="53"/>
      <c r="N6" s="53"/>
      <c r="O6" s="53"/>
      <c r="P6" s="53"/>
      <c r="Q6" s="53"/>
      <c r="R6" s="53"/>
      <c r="S6" s="53"/>
      <c r="T6" s="53"/>
      <c r="U6" s="53"/>
    </row>
    <row r="7" spans="1:23" ht="18.75" x14ac:dyDescent="0.25">
      <c r="A7" s="9"/>
      <c r="B7" s="38"/>
      <c r="C7" s="38"/>
      <c r="D7" s="38"/>
      <c r="E7" s="11"/>
      <c r="F7" s="38"/>
      <c r="G7" s="38"/>
      <c r="H7" s="12"/>
      <c r="I7" s="12"/>
      <c r="J7" s="12"/>
      <c r="K7" s="12"/>
      <c r="L7" s="12"/>
      <c r="M7" s="12"/>
      <c r="N7" s="38"/>
      <c r="O7" s="38"/>
      <c r="P7" s="38"/>
      <c r="Q7" s="38"/>
      <c r="R7" s="38"/>
      <c r="S7" s="13"/>
      <c r="T7" s="38"/>
      <c r="U7" s="38"/>
    </row>
    <row r="8" spans="1:23" ht="15.75" x14ac:dyDescent="0.25">
      <c r="A8" s="54" t="s">
        <v>2423</v>
      </c>
      <c r="B8" s="54"/>
      <c r="C8" s="54"/>
      <c r="D8" s="54"/>
      <c r="E8" s="54"/>
      <c r="F8" s="54"/>
      <c r="G8" s="54"/>
      <c r="H8" s="54"/>
      <c r="I8" s="54"/>
      <c r="J8" s="54"/>
      <c r="K8" s="54"/>
      <c r="L8" s="54"/>
      <c r="M8" s="54"/>
      <c r="N8" s="54"/>
      <c r="O8" s="54"/>
      <c r="P8" s="54"/>
      <c r="Q8" s="54"/>
      <c r="R8" s="54"/>
      <c r="S8" s="54"/>
      <c r="T8" s="54"/>
      <c r="U8" s="54"/>
    </row>
    <row r="9" spans="1:23" x14ac:dyDescent="0.25">
      <c r="A9" s="55" t="s">
        <v>4</v>
      </c>
      <c r="B9" s="55"/>
      <c r="C9" s="55"/>
      <c r="D9" s="55"/>
      <c r="E9" s="55"/>
      <c r="F9" s="55"/>
      <c r="G9" s="55"/>
      <c r="H9" s="55"/>
      <c r="I9" s="55"/>
      <c r="J9" s="55"/>
      <c r="K9" s="55"/>
      <c r="L9" s="55"/>
      <c r="M9" s="55"/>
      <c r="N9" s="55"/>
      <c r="O9" s="55"/>
      <c r="P9" s="55"/>
      <c r="Q9" s="55"/>
      <c r="R9" s="55"/>
      <c r="S9" s="55"/>
      <c r="T9" s="55"/>
      <c r="U9" s="55"/>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108.75" customHeight="1" x14ac:dyDescent="0.25">
      <c r="A11" s="47" t="s">
        <v>5</v>
      </c>
      <c r="B11" s="46" t="s">
        <v>6</v>
      </c>
      <c r="C11" s="22"/>
      <c r="D11" s="24"/>
      <c r="E11" s="22"/>
      <c r="F11" s="22"/>
      <c r="G11" s="23"/>
      <c r="H11" s="48" t="s">
        <v>12</v>
      </c>
      <c r="I11" s="48" t="s">
        <v>13</v>
      </c>
      <c r="J11" s="48" t="s">
        <v>14</v>
      </c>
      <c r="K11" s="48"/>
      <c r="L11" s="48" t="s">
        <v>15</v>
      </c>
      <c r="M11" s="46" t="s">
        <v>16</v>
      </c>
      <c r="N11" s="46" t="s">
        <v>17</v>
      </c>
      <c r="O11" s="46" t="s">
        <v>18</v>
      </c>
      <c r="P11" s="46" t="s">
        <v>19</v>
      </c>
      <c r="Q11" s="46" t="s">
        <v>20</v>
      </c>
      <c r="R11" s="49" t="s">
        <v>21</v>
      </c>
      <c r="S11" s="46" t="s">
        <v>22</v>
      </c>
      <c r="T11" s="46" t="s">
        <v>23</v>
      </c>
      <c r="U11" s="22"/>
    </row>
    <row r="12" spans="1:23" ht="230.25" x14ac:dyDescent="0.25">
      <c r="A12" s="47"/>
      <c r="B12" s="46"/>
      <c r="C12" s="22" t="s">
        <v>7</v>
      </c>
      <c r="D12" s="24" t="s">
        <v>8</v>
      </c>
      <c r="E12" s="22" t="s">
        <v>9</v>
      </c>
      <c r="F12" s="22" t="s">
        <v>10</v>
      </c>
      <c r="G12" s="23" t="s">
        <v>11</v>
      </c>
      <c r="H12" s="48"/>
      <c r="I12" s="48"/>
      <c r="J12" s="18" t="s">
        <v>25</v>
      </c>
      <c r="K12" s="18" t="s">
        <v>26</v>
      </c>
      <c r="L12" s="48"/>
      <c r="M12" s="46"/>
      <c r="N12" s="46"/>
      <c r="O12" s="46"/>
      <c r="P12" s="46"/>
      <c r="Q12" s="46"/>
      <c r="R12" s="49"/>
      <c r="S12" s="46"/>
      <c r="T12" s="46"/>
      <c r="U12" s="22" t="s">
        <v>24</v>
      </c>
    </row>
    <row r="13" spans="1:23" x14ac:dyDescent="0.25">
      <c r="A13" s="39">
        <v>1</v>
      </c>
      <c r="B13" s="20">
        <v>2</v>
      </c>
      <c r="C13" s="20">
        <v>3</v>
      </c>
      <c r="D13" s="3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3" x14ac:dyDescent="0.25">
      <c r="A14" s="34" t="s">
        <v>2326</v>
      </c>
      <c r="B14" s="33" t="s">
        <v>2426</v>
      </c>
      <c r="C14" s="33" t="s">
        <v>2335</v>
      </c>
      <c r="D14" s="33" t="s">
        <v>2424</v>
      </c>
      <c r="E14" s="33" t="s">
        <v>29</v>
      </c>
      <c r="F14" s="33">
        <v>2</v>
      </c>
      <c r="G14" s="40">
        <v>121772.4</v>
      </c>
      <c r="H14" s="33">
        <f t="shared" ref="H14:H34" si="0">G14/1.2</f>
        <v>101477</v>
      </c>
      <c r="I14" s="33"/>
      <c r="J14" s="33"/>
      <c r="K14" s="33"/>
      <c r="L14" s="33">
        <f t="shared" ref="L14:L34" si="1">H14+I14+K14</f>
        <v>101477</v>
      </c>
      <c r="M14" s="33"/>
      <c r="N14" s="33"/>
      <c r="O14" s="33" t="s">
        <v>37</v>
      </c>
      <c r="P14" s="33">
        <v>7802348846</v>
      </c>
      <c r="Q14" s="33">
        <v>997350001</v>
      </c>
      <c r="R14" s="33" t="s">
        <v>38</v>
      </c>
      <c r="S14" s="33" t="s">
        <v>39</v>
      </c>
      <c r="T14" s="33">
        <v>2</v>
      </c>
      <c r="U14" s="33" t="s">
        <v>2425</v>
      </c>
      <c r="V14">
        <f ca="1">G14/100*RANDBETWEEN(3,5)</f>
        <v>3653.1719999999996</v>
      </c>
      <c r="W14">
        <f ca="1">G14/100*RANDBETWEEN(6,8)</f>
        <v>8524.0679999999993</v>
      </c>
    </row>
    <row r="15" spans="1:23" x14ac:dyDescent="0.25">
      <c r="A15" s="34" t="s">
        <v>2327</v>
      </c>
      <c r="B15" t="s">
        <v>2426</v>
      </c>
      <c r="C15" t="s">
        <v>2249</v>
      </c>
      <c r="H15">
        <f t="shared" si="0"/>
        <v>0</v>
      </c>
      <c r="L15">
        <f t="shared" si="1"/>
        <v>0</v>
      </c>
      <c r="O15" t="s">
        <v>37</v>
      </c>
      <c r="P15">
        <v>6731002766</v>
      </c>
      <c r="Q15">
        <v>673201001</v>
      </c>
      <c r="R15" t="s">
        <v>38</v>
      </c>
      <c r="S15" t="s">
        <v>39</v>
      </c>
      <c r="T15">
        <v>2</v>
      </c>
    </row>
    <row r="16" spans="1:23" x14ac:dyDescent="0.25">
      <c r="A16" s="34" t="s">
        <v>2328</v>
      </c>
      <c r="B16" t="s">
        <v>2426</v>
      </c>
      <c r="C16" t="s">
        <v>2335</v>
      </c>
      <c r="D16" t="s">
        <v>2424</v>
      </c>
      <c r="E16" t="s">
        <v>29</v>
      </c>
      <c r="F16">
        <v>2</v>
      </c>
      <c r="G16">
        <f ca="1">G14+W14</f>
        <v>130296.46799999999</v>
      </c>
      <c r="H16">
        <f t="shared" ca="1" si="0"/>
        <v>108580.39</v>
      </c>
      <c r="L16">
        <f t="shared" ca="1" si="1"/>
        <v>108580.39</v>
      </c>
      <c r="O16" t="s">
        <v>37</v>
      </c>
      <c r="P16">
        <v>7802348846</v>
      </c>
      <c r="Q16">
        <v>997350001</v>
      </c>
      <c r="R16" t="s">
        <v>38</v>
      </c>
      <c r="S16" t="s">
        <v>39</v>
      </c>
      <c r="T16">
        <v>2</v>
      </c>
      <c r="U16" t="s">
        <v>2425</v>
      </c>
    </row>
    <row r="17" spans="1:23" x14ac:dyDescent="0.25">
      <c r="A17" s="34" t="s">
        <v>2329</v>
      </c>
      <c r="B17" s="33" t="s">
        <v>2426</v>
      </c>
      <c r="C17" s="33" t="s">
        <v>2336</v>
      </c>
      <c r="D17" s="33" t="s">
        <v>2427</v>
      </c>
      <c r="E17" s="33" t="s">
        <v>29</v>
      </c>
      <c r="F17" s="33">
        <v>4</v>
      </c>
      <c r="G17" s="40">
        <v>161978.4</v>
      </c>
      <c r="H17" s="33">
        <f t="shared" si="0"/>
        <v>134982</v>
      </c>
      <c r="I17" s="33"/>
      <c r="J17" s="33"/>
      <c r="K17" s="33"/>
      <c r="L17" s="33">
        <f t="shared" si="1"/>
        <v>134982</v>
      </c>
      <c r="M17" s="33"/>
      <c r="N17" s="33"/>
      <c r="O17" s="33" t="s">
        <v>37</v>
      </c>
      <c r="P17" s="33">
        <v>7802348846</v>
      </c>
      <c r="Q17" s="33">
        <v>997350001</v>
      </c>
      <c r="R17" s="33" t="s">
        <v>38</v>
      </c>
      <c r="S17" s="33" t="s">
        <v>39</v>
      </c>
      <c r="T17" s="33">
        <v>2</v>
      </c>
      <c r="U17" s="33" t="s">
        <v>2425</v>
      </c>
      <c r="V17">
        <f ca="1">G17/100*RANDBETWEEN(3,5)</f>
        <v>4859.3519999999999</v>
      </c>
      <c r="W17">
        <f ca="1">G17/100*RANDBETWEEN(6,8)</f>
        <v>11338.487999999999</v>
      </c>
    </row>
    <row r="18" spans="1:23" x14ac:dyDescent="0.25">
      <c r="A18" s="34" t="s">
        <v>2330</v>
      </c>
      <c r="B18" t="s">
        <v>2426</v>
      </c>
      <c r="C18" t="s">
        <v>2336</v>
      </c>
      <c r="D18" t="s">
        <v>2427</v>
      </c>
      <c r="E18" t="s">
        <v>29</v>
      </c>
      <c r="F18">
        <v>4</v>
      </c>
      <c r="G18">
        <f ca="1">G17+V17</f>
        <v>166837.75200000001</v>
      </c>
      <c r="H18">
        <f t="shared" ca="1" si="0"/>
        <v>139031.46000000002</v>
      </c>
      <c r="L18">
        <f t="shared" ca="1" si="1"/>
        <v>139031.46000000002</v>
      </c>
      <c r="O18" t="s">
        <v>37</v>
      </c>
      <c r="P18">
        <v>7802348846</v>
      </c>
      <c r="Q18">
        <v>997350001</v>
      </c>
      <c r="R18" t="s">
        <v>38</v>
      </c>
      <c r="S18" t="s">
        <v>39</v>
      </c>
      <c r="T18">
        <v>2</v>
      </c>
      <c r="U18" t="s">
        <v>2425</v>
      </c>
    </row>
    <row r="19" spans="1:23" x14ac:dyDescent="0.25">
      <c r="A19" s="34" t="s">
        <v>2331</v>
      </c>
      <c r="B19" t="s">
        <v>2426</v>
      </c>
      <c r="C19" t="s">
        <v>2336</v>
      </c>
      <c r="D19" t="s">
        <v>2427</v>
      </c>
      <c r="E19" t="s">
        <v>29</v>
      </c>
      <c r="F19">
        <v>4</v>
      </c>
      <c r="G19">
        <f ca="1">G17+W17</f>
        <v>173316.88800000001</v>
      </c>
      <c r="H19">
        <f t="shared" ca="1" si="0"/>
        <v>144430.74000000002</v>
      </c>
      <c r="L19">
        <f t="shared" ca="1" si="1"/>
        <v>144430.74000000002</v>
      </c>
      <c r="O19" t="s">
        <v>37</v>
      </c>
      <c r="P19">
        <v>7802348846</v>
      </c>
      <c r="Q19">
        <v>997350001</v>
      </c>
      <c r="R19" t="s">
        <v>38</v>
      </c>
      <c r="S19" t="s">
        <v>39</v>
      </c>
      <c r="T19">
        <v>2</v>
      </c>
      <c r="U19" t="s">
        <v>2425</v>
      </c>
    </row>
    <row r="20" spans="1:23" x14ac:dyDescent="0.25">
      <c r="A20" s="34" t="s">
        <v>2429</v>
      </c>
      <c r="B20" s="33" t="s">
        <v>2426</v>
      </c>
      <c r="C20" s="33" t="s">
        <v>2337</v>
      </c>
      <c r="D20" s="33" t="s">
        <v>2428</v>
      </c>
      <c r="E20" s="33" t="s">
        <v>29</v>
      </c>
      <c r="F20" s="33">
        <v>14</v>
      </c>
      <c r="G20" s="40">
        <v>99939.6</v>
      </c>
      <c r="H20" s="33">
        <f t="shared" si="0"/>
        <v>83283.000000000015</v>
      </c>
      <c r="I20" s="33"/>
      <c r="J20" s="33"/>
      <c r="K20" s="33"/>
      <c r="L20" s="33">
        <f t="shared" si="1"/>
        <v>83283.000000000015</v>
      </c>
      <c r="M20" s="33"/>
      <c r="N20" s="33"/>
      <c r="O20" s="33" t="s">
        <v>37</v>
      </c>
      <c r="P20" s="33">
        <v>7802348846</v>
      </c>
      <c r="Q20" s="33">
        <v>997350001</v>
      </c>
      <c r="R20" s="33" t="s">
        <v>38</v>
      </c>
      <c r="S20" s="33" t="s">
        <v>39</v>
      </c>
      <c r="T20" s="33">
        <v>2</v>
      </c>
      <c r="U20" s="33" t="s">
        <v>2425</v>
      </c>
      <c r="V20">
        <f ca="1">G20/100*RANDBETWEEN(3,5)</f>
        <v>2998.1880000000001</v>
      </c>
      <c r="W20">
        <f ca="1">G20/100*RANDBETWEEN(6,8)</f>
        <v>5996.3760000000002</v>
      </c>
    </row>
    <row r="21" spans="1:23" x14ac:dyDescent="0.25">
      <c r="A21" s="34" t="s">
        <v>2430</v>
      </c>
      <c r="B21" t="s">
        <v>2426</v>
      </c>
      <c r="C21" t="s">
        <v>2337</v>
      </c>
      <c r="D21" t="s">
        <v>2428</v>
      </c>
      <c r="E21" t="s">
        <v>29</v>
      </c>
      <c r="F21">
        <v>14</v>
      </c>
      <c r="G21">
        <f ca="1">G20+V20</f>
        <v>102937.788</v>
      </c>
      <c r="H21">
        <f t="shared" ca="1" si="0"/>
        <v>85781.49</v>
      </c>
      <c r="L21">
        <f t="shared" ca="1" si="1"/>
        <v>85781.49</v>
      </c>
      <c r="O21" t="s">
        <v>37</v>
      </c>
      <c r="P21">
        <v>7802348846</v>
      </c>
      <c r="Q21">
        <v>997350001</v>
      </c>
      <c r="R21" t="s">
        <v>38</v>
      </c>
      <c r="S21" t="s">
        <v>39</v>
      </c>
      <c r="T21">
        <v>2</v>
      </c>
      <c r="U21" t="s">
        <v>2425</v>
      </c>
    </row>
    <row r="22" spans="1:23" x14ac:dyDescent="0.25">
      <c r="A22" s="34" t="s">
        <v>2431</v>
      </c>
      <c r="B22" t="s">
        <v>2426</v>
      </c>
      <c r="C22" t="s">
        <v>2337</v>
      </c>
      <c r="D22" t="s">
        <v>2428</v>
      </c>
      <c r="E22" t="s">
        <v>29</v>
      </c>
      <c r="F22">
        <v>14</v>
      </c>
      <c r="G22">
        <f ca="1">G20+W20</f>
        <v>105935.97600000001</v>
      </c>
      <c r="H22">
        <f t="shared" ca="1" si="0"/>
        <v>88279.98000000001</v>
      </c>
      <c r="L22">
        <f t="shared" ca="1" si="1"/>
        <v>88279.98000000001</v>
      </c>
      <c r="O22" t="s">
        <v>37</v>
      </c>
      <c r="P22">
        <v>7802348846</v>
      </c>
      <c r="Q22">
        <v>997350001</v>
      </c>
      <c r="R22" t="s">
        <v>38</v>
      </c>
      <c r="S22" t="s">
        <v>39</v>
      </c>
      <c r="T22">
        <v>2</v>
      </c>
      <c r="U22" t="s">
        <v>2425</v>
      </c>
    </row>
    <row r="23" spans="1:23" x14ac:dyDescent="0.25">
      <c r="A23" s="34" t="s">
        <v>2433</v>
      </c>
      <c r="B23" s="33" t="s">
        <v>2426</v>
      </c>
      <c r="C23" s="33" t="s">
        <v>2338</v>
      </c>
      <c r="D23" s="33" t="s">
        <v>2432</v>
      </c>
      <c r="E23" s="33" t="s">
        <v>29</v>
      </c>
      <c r="F23" s="33">
        <v>2</v>
      </c>
      <c r="G23" s="33">
        <v>228988.79999999999</v>
      </c>
      <c r="H23" s="33">
        <f t="shared" si="0"/>
        <v>190824</v>
      </c>
      <c r="I23" s="33"/>
      <c r="J23" s="33"/>
      <c r="K23" s="33"/>
      <c r="L23" s="33">
        <f t="shared" si="1"/>
        <v>190824</v>
      </c>
      <c r="M23" s="33"/>
      <c r="N23" s="33"/>
      <c r="O23" s="33" t="s">
        <v>37</v>
      </c>
      <c r="P23" s="33">
        <v>7802348846</v>
      </c>
      <c r="Q23" s="33">
        <v>997350001</v>
      </c>
      <c r="R23" s="33" t="s">
        <v>38</v>
      </c>
      <c r="S23" s="33" t="s">
        <v>39</v>
      </c>
      <c r="T23" s="33">
        <v>2</v>
      </c>
      <c r="U23" s="33" t="s">
        <v>2425</v>
      </c>
      <c r="V23">
        <f ca="1">G23/100*RANDBETWEEN(3,5)</f>
        <v>11449.439999999999</v>
      </c>
      <c r="W23">
        <f ca="1">G23/100*RANDBETWEEN(6,8)</f>
        <v>13739.328</v>
      </c>
    </row>
    <row r="24" spans="1:23" x14ac:dyDescent="0.25">
      <c r="A24" s="34" t="s">
        <v>2434</v>
      </c>
      <c r="B24" t="s">
        <v>2426</v>
      </c>
      <c r="C24" t="s">
        <v>2338</v>
      </c>
      <c r="D24" t="s">
        <v>2432</v>
      </c>
      <c r="E24" t="s">
        <v>29</v>
      </c>
      <c r="F24">
        <v>2</v>
      </c>
      <c r="G24">
        <f ca="1">G23+V23</f>
        <v>240438.24</v>
      </c>
      <c r="H24">
        <f t="shared" ca="1" si="0"/>
        <v>200365.2</v>
      </c>
      <c r="L24">
        <f t="shared" ca="1" si="1"/>
        <v>200365.2</v>
      </c>
      <c r="O24" t="s">
        <v>37</v>
      </c>
      <c r="P24">
        <v>7802348846</v>
      </c>
      <c r="Q24">
        <v>997350001</v>
      </c>
      <c r="R24" t="s">
        <v>38</v>
      </c>
      <c r="S24" t="s">
        <v>39</v>
      </c>
      <c r="T24">
        <v>2</v>
      </c>
      <c r="U24" t="s">
        <v>2425</v>
      </c>
    </row>
    <row r="25" spans="1:23" x14ac:dyDescent="0.25">
      <c r="A25" s="34" t="s">
        <v>2435</v>
      </c>
      <c r="B25" t="s">
        <v>2426</v>
      </c>
      <c r="C25" t="s">
        <v>2338</v>
      </c>
      <c r="D25" t="s">
        <v>2432</v>
      </c>
      <c r="E25" t="s">
        <v>29</v>
      </c>
      <c r="F25">
        <v>2</v>
      </c>
      <c r="G25">
        <f ca="1">G23+W23</f>
        <v>242728.128</v>
      </c>
      <c r="H25">
        <f t="shared" ca="1" si="0"/>
        <v>202273.44</v>
      </c>
      <c r="L25">
        <f t="shared" ca="1" si="1"/>
        <v>202273.44</v>
      </c>
      <c r="O25" t="s">
        <v>37</v>
      </c>
      <c r="P25">
        <v>7802348846</v>
      </c>
      <c r="Q25">
        <v>997350001</v>
      </c>
      <c r="R25" t="s">
        <v>38</v>
      </c>
      <c r="S25" t="s">
        <v>39</v>
      </c>
      <c r="T25">
        <v>2</v>
      </c>
      <c r="U25" t="s">
        <v>2425</v>
      </c>
    </row>
    <row r="26" spans="1:23" x14ac:dyDescent="0.25">
      <c r="A26" s="34" t="s">
        <v>2437</v>
      </c>
      <c r="B26" s="33" t="s">
        <v>2426</v>
      </c>
      <c r="C26" s="33" t="s">
        <v>2350</v>
      </c>
      <c r="D26" s="33" t="s">
        <v>2436</v>
      </c>
      <c r="E26" s="33" t="s">
        <v>29</v>
      </c>
      <c r="F26" s="33">
        <v>2</v>
      </c>
      <c r="G26" s="33">
        <v>203192.4</v>
      </c>
      <c r="H26" s="33">
        <f t="shared" si="0"/>
        <v>169327</v>
      </c>
      <c r="I26" s="33"/>
      <c r="J26" s="33"/>
      <c r="K26" s="33"/>
      <c r="L26" s="33">
        <f t="shared" si="1"/>
        <v>169327</v>
      </c>
      <c r="M26" s="33"/>
      <c r="N26" s="33"/>
      <c r="O26" s="33" t="s">
        <v>37</v>
      </c>
      <c r="P26" s="33">
        <v>7802348846</v>
      </c>
      <c r="Q26" s="33">
        <v>997350001</v>
      </c>
      <c r="R26" s="33" t="s">
        <v>38</v>
      </c>
      <c r="S26" s="33" t="s">
        <v>39</v>
      </c>
      <c r="T26" s="33">
        <v>2</v>
      </c>
      <c r="U26" s="33" t="s">
        <v>2425</v>
      </c>
      <c r="V26">
        <f ca="1">G26/100*RANDBETWEEN(3,5)</f>
        <v>8127.6959999999999</v>
      </c>
      <c r="W26">
        <f ca="1">G26/100*RANDBETWEEN(6,8)</f>
        <v>12191.544</v>
      </c>
    </row>
    <row r="27" spans="1:23" x14ac:dyDescent="0.25">
      <c r="A27" s="34" t="s">
        <v>2438</v>
      </c>
      <c r="B27" t="s">
        <v>2426</v>
      </c>
      <c r="C27" t="s">
        <v>2350</v>
      </c>
      <c r="D27" t="s">
        <v>2436</v>
      </c>
      <c r="E27" t="s">
        <v>29</v>
      </c>
      <c r="F27">
        <v>2</v>
      </c>
      <c r="G27">
        <f ca="1">G26+V26</f>
        <v>211320.09599999999</v>
      </c>
      <c r="H27">
        <f t="shared" ca="1" si="0"/>
        <v>176100.08</v>
      </c>
      <c r="L27">
        <f t="shared" ca="1" si="1"/>
        <v>176100.08</v>
      </c>
      <c r="O27" t="s">
        <v>37</v>
      </c>
      <c r="P27">
        <v>7802348846</v>
      </c>
      <c r="Q27">
        <v>997350001</v>
      </c>
      <c r="R27" t="s">
        <v>38</v>
      </c>
      <c r="S27" t="s">
        <v>39</v>
      </c>
      <c r="T27">
        <v>2</v>
      </c>
      <c r="U27" t="s">
        <v>2425</v>
      </c>
    </row>
    <row r="28" spans="1:23" x14ac:dyDescent="0.25">
      <c r="A28" s="34" t="s">
        <v>2439</v>
      </c>
      <c r="B28" t="s">
        <v>2426</v>
      </c>
      <c r="C28" t="s">
        <v>2350</v>
      </c>
      <c r="D28" t="s">
        <v>2436</v>
      </c>
      <c r="E28" t="s">
        <v>29</v>
      </c>
      <c r="F28">
        <v>2</v>
      </c>
      <c r="G28">
        <f ca="1">G26+W26</f>
        <v>215383.94399999999</v>
      </c>
      <c r="H28">
        <f t="shared" ca="1" si="0"/>
        <v>179486.62</v>
      </c>
      <c r="L28">
        <f t="shared" ca="1" si="1"/>
        <v>179486.62</v>
      </c>
      <c r="O28" t="s">
        <v>37</v>
      </c>
      <c r="P28">
        <v>7802348846</v>
      </c>
      <c r="Q28">
        <v>997350001</v>
      </c>
      <c r="R28" t="s">
        <v>38</v>
      </c>
      <c r="S28" t="s">
        <v>39</v>
      </c>
      <c r="T28">
        <v>2</v>
      </c>
      <c r="U28" t="s">
        <v>2425</v>
      </c>
    </row>
    <row r="29" spans="1:23" x14ac:dyDescent="0.25">
      <c r="A29" s="34" t="s">
        <v>2441</v>
      </c>
      <c r="B29" s="33" t="s">
        <v>2426</v>
      </c>
      <c r="C29" s="33" t="s">
        <v>2339</v>
      </c>
      <c r="D29" s="33" t="s">
        <v>2440</v>
      </c>
      <c r="E29" s="33" t="s">
        <v>29</v>
      </c>
      <c r="F29" s="33">
        <v>2</v>
      </c>
      <c r="G29" s="33">
        <v>132147.6</v>
      </c>
      <c r="H29" s="33">
        <f t="shared" si="0"/>
        <v>110123.00000000001</v>
      </c>
      <c r="I29" s="33"/>
      <c r="J29" s="33"/>
      <c r="K29" s="33"/>
      <c r="L29" s="33">
        <f t="shared" si="1"/>
        <v>110123.00000000001</v>
      </c>
      <c r="M29" s="33"/>
      <c r="N29" s="33"/>
      <c r="O29" s="33" t="s">
        <v>37</v>
      </c>
      <c r="P29" s="33">
        <v>7802348846</v>
      </c>
      <c r="Q29" s="33">
        <v>997350001</v>
      </c>
      <c r="R29" s="33" t="s">
        <v>38</v>
      </c>
      <c r="S29" s="33" t="s">
        <v>39</v>
      </c>
      <c r="T29" s="33">
        <v>2</v>
      </c>
      <c r="U29" s="33" t="s">
        <v>2425</v>
      </c>
      <c r="V29">
        <f ca="1">G29/100*RANDBETWEEN(3,5)</f>
        <v>3964.4280000000003</v>
      </c>
      <c r="W29">
        <f ca="1">G29/100*RANDBETWEEN(6,8)</f>
        <v>7928.8560000000007</v>
      </c>
    </row>
    <row r="30" spans="1:23" x14ac:dyDescent="0.25">
      <c r="A30" s="34" t="s">
        <v>2442</v>
      </c>
      <c r="B30" t="s">
        <v>2426</v>
      </c>
      <c r="C30" t="s">
        <v>2339</v>
      </c>
      <c r="D30" t="s">
        <v>2440</v>
      </c>
      <c r="E30" t="s">
        <v>29</v>
      </c>
      <c r="F30">
        <v>2</v>
      </c>
      <c r="G30">
        <f ca="1">G29+V29</f>
        <v>136112.02800000002</v>
      </c>
      <c r="H30">
        <f t="shared" ca="1" si="0"/>
        <v>113426.69000000002</v>
      </c>
      <c r="L30">
        <f t="shared" ca="1" si="1"/>
        <v>113426.69000000002</v>
      </c>
      <c r="O30" t="s">
        <v>37</v>
      </c>
      <c r="P30">
        <v>7802348846</v>
      </c>
      <c r="Q30">
        <v>997350001</v>
      </c>
      <c r="R30" t="s">
        <v>38</v>
      </c>
      <c r="S30" t="s">
        <v>39</v>
      </c>
      <c r="T30">
        <v>2</v>
      </c>
      <c r="U30" t="s">
        <v>2425</v>
      </c>
    </row>
    <row r="31" spans="1:23" x14ac:dyDescent="0.25">
      <c r="A31" s="34" t="s">
        <v>2443</v>
      </c>
      <c r="B31" t="s">
        <v>2426</v>
      </c>
      <c r="C31" t="s">
        <v>2339</v>
      </c>
      <c r="D31" t="s">
        <v>2440</v>
      </c>
      <c r="E31" t="s">
        <v>29</v>
      </c>
      <c r="F31">
        <v>2</v>
      </c>
      <c r="G31">
        <f ca="1">G29+W29</f>
        <v>140076.45600000001</v>
      </c>
      <c r="H31">
        <f t="shared" ca="1" si="0"/>
        <v>116730.38</v>
      </c>
      <c r="L31">
        <f t="shared" ca="1" si="1"/>
        <v>116730.38</v>
      </c>
      <c r="O31" t="s">
        <v>37</v>
      </c>
      <c r="P31">
        <v>7802348846</v>
      </c>
      <c r="Q31">
        <v>997350001</v>
      </c>
      <c r="R31" t="s">
        <v>38</v>
      </c>
      <c r="S31" t="s">
        <v>39</v>
      </c>
      <c r="T31">
        <v>2</v>
      </c>
      <c r="U31" t="s">
        <v>2425</v>
      </c>
    </row>
    <row r="32" spans="1:23" x14ac:dyDescent="0.25">
      <c r="A32" s="34" t="s">
        <v>2445</v>
      </c>
      <c r="B32" s="33" t="s">
        <v>2426</v>
      </c>
      <c r="C32" s="33" t="s">
        <v>2340</v>
      </c>
      <c r="D32" s="33" t="s">
        <v>2444</v>
      </c>
      <c r="E32" s="33" t="s">
        <v>29</v>
      </c>
      <c r="F32" s="33">
        <v>2</v>
      </c>
      <c r="G32" s="33">
        <v>350760</v>
      </c>
      <c r="H32" s="33">
        <f t="shared" si="0"/>
        <v>292300</v>
      </c>
      <c r="I32" s="33"/>
      <c r="J32" s="33"/>
      <c r="K32" s="33"/>
      <c r="L32" s="33">
        <f t="shared" si="1"/>
        <v>292300</v>
      </c>
      <c r="M32" s="33"/>
      <c r="N32" s="33"/>
      <c r="O32" s="33" t="s">
        <v>37</v>
      </c>
      <c r="P32" s="33">
        <v>7802348846</v>
      </c>
      <c r="Q32" s="33">
        <v>997350001</v>
      </c>
      <c r="R32" s="33" t="s">
        <v>38</v>
      </c>
      <c r="S32" s="33" t="s">
        <v>39</v>
      </c>
      <c r="T32" s="33">
        <v>2</v>
      </c>
      <c r="U32" s="33" t="s">
        <v>2425</v>
      </c>
      <c r="V32">
        <f ca="1">G32/100*RANDBETWEEN(3,5)</f>
        <v>14030.4</v>
      </c>
      <c r="W32">
        <f ca="1">G32/100*RANDBETWEEN(6,8)</f>
        <v>21045.599999999999</v>
      </c>
    </row>
    <row r="33" spans="1:21" x14ac:dyDescent="0.25">
      <c r="A33" s="34" t="s">
        <v>2446</v>
      </c>
      <c r="B33" t="s">
        <v>2426</v>
      </c>
      <c r="C33" t="s">
        <v>2340</v>
      </c>
      <c r="D33" t="s">
        <v>2444</v>
      </c>
      <c r="E33" t="s">
        <v>29</v>
      </c>
      <c r="F33">
        <v>2</v>
      </c>
      <c r="G33">
        <f ca="1">G32+V32</f>
        <v>364790.4</v>
      </c>
      <c r="H33">
        <f t="shared" ca="1" si="0"/>
        <v>303992.00000000006</v>
      </c>
      <c r="L33">
        <f t="shared" ca="1" si="1"/>
        <v>303992.00000000006</v>
      </c>
      <c r="O33" t="s">
        <v>37</v>
      </c>
      <c r="P33">
        <v>7802348846</v>
      </c>
      <c r="Q33">
        <v>997350001</v>
      </c>
      <c r="R33" t="s">
        <v>38</v>
      </c>
      <c r="S33" t="s">
        <v>39</v>
      </c>
      <c r="T33">
        <v>2</v>
      </c>
      <c r="U33" t="s">
        <v>2425</v>
      </c>
    </row>
    <row r="34" spans="1:21" x14ac:dyDescent="0.25">
      <c r="A34" s="34" t="s">
        <v>2447</v>
      </c>
      <c r="B34" t="s">
        <v>2426</v>
      </c>
      <c r="C34" t="s">
        <v>2340</v>
      </c>
      <c r="D34" t="s">
        <v>2444</v>
      </c>
      <c r="E34" t="s">
        <v>29</v>
      </c>
      <c r="F34">
        <v>2</v>
      </c>
      <c r="G34">
        <f ca="1">G32+W32</f>
        <v>371805.6</v>
      </c>
      <c r="H34">
        <f t="shared" ca="1" si="0"/>
        <v>309838</v>
      </c>
      <c r="L34">
        <f t="shared" ca="1" si="1"/>
        <v>309838</v>
      </c>
      <c r="O34" t="s">
        <v>37</v>
      </c>
      <c r="P34">
        <v>7802348846</v>
      </c>
      <c r="Q34">
        <v>997350001</v>
      </c>
      <c r="R34" t="s">
        <v>38</v>
      </c>
      <c r="S34" t="s">
        <v>39</v>
      </c>
      <c r="T34">
        <v>2</v>
      </c>
      <c r="U34" t="s">
        <v>2425</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I18" sqref="I18"/>
    </sheetView>
  </sheetViews>
  <sheetFormatPr defaultRowHeight="15" x14ac:dyDescent="0.25"/>
  <sheetData>
    <row r="1" spans="1:23" x14ac:dyDescent="0.25">
      <c r="A1" s="34" t="s">
        <v>2326</v>
      </c>
      <c r="B1" s="33" t="s">
        <v>2325</v>
      </c>
      <c r="C1" s="33" t="s">
        <v>2323</v>
      </c>
      <c r="D1" s="33">
        <v>4.8</v>
      </c>
      <c r="E1" s="33" t="s">
        <v>31</v>
      </c>
      <c r="F1" s="33">
        <v>653</v>
      </c>
      <c r="G1" s="33">
        <v>39328.879999999997</v>
      </c>
      <c r="H1" s="33">
        <f t="shared" ref="H1:H6" si="0">G1/1.2</f>
        <v>32774.066666666666</v>
      </c>
      <c r="I1" s="33"/>
      <c r="J1" s="33"/>
      <c r="K1" s="33"/>
      <c r="L1" s="33">
        <f t="shared" ref="L1:L6" si="1">H1+I1+K1</f>
        <v>32774.066666666666</v>
      </c>
      <c r="M1" s="33"/>
      <c r="N1" s="33"/>
      <c r="O1" s="33" t="s">
        <v>47</v>
      </c>
      <c r="P1" s="33">
        <v>784201001</v>
      </c>
      <c r="Q1" s="33">
        <v>7804526950</v>
      </c>
      <c r="R1" s="33" t="s">
        <v>48</v>
      </c>
      <c r="S1" s="33" t="s">
        <v>42</v>
      </c>
      <c r="T1" s="33">
        <v>2</v>
      </c>
      <c r="U1" s="33" t="s">
        <v>2324</v>
      </c>
      <c r="V1">
        <f ca="1">G1/100*RANDBETWEEN(3,5)</f>
        <v>1966.444</v>
      </c>
      <c r="W1">
        <f ca="1">G1/100*RANDBETWEEN(6,8)</f>
        <v>2753.0216</v>
      </c>
    </row>
    <row r="2" spans="1:23" x14ac:dyDescent="0.25">
      <c r="A2" s="34" t="s">
        <v>2327</v>
      </c>
      <c r="B2" t="s">
        <v>2325</v>
      </c>
      <c r="C2" t="s">
        <v>2323</v>
      </c>
      <c r="D2">
        <v>4.8</v>
      </c>
      <c r="E2" t="s">
        <v>31</v>
      </c>
      <c r="F2">
        <v>653</v>
      </c>
      <c r="G2">
        <f ca="1">G1+V1</f>
        <v>41295.324000000001</v>
      </c>
      <c r="H2">
        <f t="shared" ca="1" si="0"/>
        <v>34412.770000000004</v>
      </c>
      <c r="L2">
        <f t="shared" ca="1" si="1"/>
        <v>34412.770000000004</v>
      </c>
      <c r="O2" t="s">
        <v>47</v>
      </c>
      <c r="P2">
        <v>784201001</v>
      </c>
      <c r="Q2">
        <v>7804526950</v>
      </c>
      <c r="R2" t="s">
        <v>48</v>
      </c>
      <c r="S2" t="s">
        <v>42</v>
      </c>
      <c r="T2">
        <v>2</v>
      </c>
      <c r="U2" t="s">
        <v>2324</v>
      </c>
    </row>
    <row r="3" spans="1:23" x14ac:dyDescent="0.25">
      <c r="A3" s="34" t="s">
        <v>2328</v>
      </c>
      <c r="B3" t="s">
        <v>2325</v>
      </c>
      <c r="C3" t="s">
        <v>2323</v>
      </c>
      <c r="D3">
        <v>4.8</v>
      </c>
      <c r="E3" t="s">
        <v>31</v>
      </c>
      <c r="F3">
        <v>653</v>
      </c>
      <c r="G3">
        <f ca="1">G1+W1</f>
        <v>42081.901599999997</v>
      </c>
      <c r="H3">
        <f t="shared" ca="1" si="0"/>
        <v>35068.251333333334</v>
      </c>
      <c r="L3">
        <f t="shared" ca="1" si="1"/>
        <v>35068.251333333334</v>
      </c>
      <c r="O3" t="s">
        <v>47</v>
      </c>
      <c r="P3">
        <v>784201001</v>
      </c>
      <c r="Q3">
        <v>7804526950</v>
      </c>
      <c r="R3" t="s">
        <v>48</v>
      </c>
      <c r="S3" t="s">
        <v>42</v>
      </c>
      <c r="T3">
        <v>2</v>
      </c>
      <c r="U3" t="s">
        <v>2324</v>
      </c>
    </row>
    <row r="4" spans="1:23" x14ac:dyDescent="0.25">
      <c r="A4" s="34" t="s">
        <v>2329</v>
      </c>
      <c r="B4" s="33" t="s">
        <v>2325</v>
      </c>
      <c r="C4" s="33" t="s">
        <v>2322</v>
      </c>
      <c r="D4" s="33">
        <v>4.9000000000000004</v>
      </c>
      <c r="E4" s="33" t="s">
        <v>31</v>
      </c>
      <c r="F4" s="33">
        <v>768</v>
      </c>
      <c r="G4" s="33">
        <v>57388</v>
      </c>
      <c r="H4" s="33">
        <f t="shared" si="0"/>
        <v>47823.333333333336</v>
      </c>
      <c r="I4" s="33"/>
      <c r="J4" s="33"/>
      <c r="K4" s="33"/>
      <c r="L4" s="33">
        <f t="shared" si="1"/>
        <v>47823.333333333336</v>
      </c>
      <c r="M4" s="33"/>
      <c r="N4" s="33"/>
      <c r="O4" s="33" t="s">
        <v>47</v>
      </c>
      <c r="P4" s="33">
        <v>784201001</v>
      </c>
      <c r="Q4" s="33">
        <v>7804526950</v>
      </c>
      <c r="R4" s="33" t="s">
        <v>48</v>
      </c>
      <c r="S4" s="33" t="s">
        <v>42</v>
      </c>
      <c r="T4" s="33">
        <v>2</v>
      </c>
      <c r="U4" s="33" t="s">
        <v>2324</v>
      </c>
      <c r="V4">
        <f ca="1">G4/100*RANDBETWEEN(3,5)</f>
        <v>1721.6399999999999</v>
      </c>
      <c r="W4">
        <f ca="1">G4/100*RANDBETWEEN(6,8)</f>
        <v>4591.04</v>
      </c>
    </row>
    <row r="5" spans="1:23" x14ac:dyDescent="0.25">
      <c r="A5" s="34" t="s">
        <v>2330</v>
      </c>
      <c r="B5" t="s">
        <v>2325</v>
      </c>
      <c r="C5" t="s">
        <v>2322</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2324</v>
      </c>
    </row>
    <row r="6" spans="1:23" x14ac:dyDescent="0.25">
      <c r="A6" s="34" t="s">
        <v>2331</v>
      </c>
      <c r="B6" t="s">
        <v>2325</v>
      </c>
      <c r="C6" t="s">
        <v>2322</v>
      </c>
      <c r="D6">
        <v>4.9000000000000004</v>
      </c>
      <c r="E6" t="s">
        <v>31</v>
      </c>
      <c r="F6">
        <v>768</v>
      </c>
      <c r="G6">
        <f ca="1">G4+W4</f>
        <v>61979.040000000001</v>
      </c>
      <c r="H6">
        <f t="shared" ca="1" si="0"/>
        <v>51649.200000000004</v>
      </c>
      <c r="L6">
        <f t="shared" ca="1" si="1"/>
        <v>51649.200000000004</v>
      </c>
      <c r="O6" t="s">
        <v>47</v>
      </c>
      <c r="P6">
        <v>784201001</v>
      </c>
      <c r="Q6">
        <v>7804526950</v>
      </c>
      <c r="R6" t="s">
        <v>48</v>
      </c>
      <c r="S6" t="s">
        <v>42</v>
      </c>
      <c r="T6">
        <v>2</v>
      </c>
      <c r="U6" t="s">
        <v>2324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4"/>
  <sheetViews>
    <sheetView workbookViewId="0">
      <selection activeCell="I7" sqref="I7"/>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44" t="s">
        <v>2448</v>
      </c>
      <c r="B1" s="44" t="s">
        <v>2449</v>
      </c>
      <c r="C1" s="44" t="s">
        <v>2450</v>
      </c>
      <c r="D1" s="44" t="s">
        <v>2451</v>
      </c>
      <c r="E1" s="44" t="s">
        <v>2452</v>
      </c>
      <c r="F1" s="44" t="s">
        <v>2453</v>
      </c>
    </row>
    <row r="2" spans="1:6" x14ac:dyDescent="0.25">
      <c r="A2" s="41" t="s">
        <v>37</v>
      </c>
      <c r="B2" s="41">
        <v>6731002766</v>
      </c>
      <c r="C2" s="41">
        <v>673201001</v>
      </c>
      <c r="D2" s="41" t="s">
        <v>38</v>
      </c>
      <c r="E2" s="41" t="s">
        <v>39</v>
      </c>
      <c r="F2" s="41">
        <v>2</v>
      </c>
    </row>
    <row r="3" spans="1:6" x14ac:dyDescent="0.25">
      <c r="A3" s="42" t="s">
        <v>40</v>
      </c>
      <c r="B3" s="42">
        <v>7806155468</v>
      </c>
      <c r="C3" s="42">
        <v>780601001</v>
      </c>
      <c r="D3" s="42" t="s">
        <v>41</v>
      </c>
      <c r="E3" s="42" t="s">
        <v>42</v>
      </c>
      <c r="F3" s="42">
        <v>1</v>
      </c>
    </row>
    <row r="4" spans="1:6" x14ac:dyDescent="0.25">
      <c r="A4" s="41" t="s">
        <v>43</v>
      </c>
      <c r="B4" s="41">
        <v>7839109650</v>
      </c>
      <c r="C4" s="41">
        <v>783901001</v>
      </c>
      <c r="D4" s="41" t="s">
        <v>44</v>
      </c>
      <c r="E4" s="41" t="s">
        <v>42</v>
      </c>
      <c r="F4" s="41">
        <v>2</v>
      </c>
    </row>
    <row r="5" spans="1:6" x14ac:dyDescent="0.25">
      <c r="A5" s="41" t="s">
        <v>47</v>
      </c>
      <c r="B5" s="41">
        <v>7804274156</v>
      </c>
      <c r="C5" s="41">
        <v>780401001</v>
      </c>
      <c r="D5" s="41" t="s">
        <v>48</v>
      </c>
      <c r="E5" s="41" t="s">
        <v>42</v>
      </c>
      <c r="F5" s="41">
        <v>2</v>
      </c>
    </row>
    <row r="6" spans="1:6" x14ac:dyDescent="0.25">
      <c r="A6" s="42" t="s">
        <v>45</v>
      </c>
      <c r="B6" s="42">
        <v>7810216924</v>
      </c>
      <c r="C6" s="42">
        <v>7814455001</v>
      </c>
      <c r="D6" s="42" t="s">
        <v>46</v>
      </c>
      <c r="E6" s="42" t="s">
        <v>42</v>
      </c>
      <c r="F6" s="42">
        <v>2</v>
      </c>
    </row>
    <row r="7" spans="1:6" x14ac:dyDescent="0.25">
      <c r="A7" s="41" t="s">
        <v>49</v>
      </c>
      <c r="B7" s="41">
        <v>509950001</v>
      </c>
      <c r="C7" s="41">
        <v>5036002480</v>
      </c>
      <c r="D7" s="41" t="s">
        <v>50</v>
      </c>
      <c r="E7" s="41" t="s">
        <v>51</v>
      </c>
      <c r="F7" s="41">
        <v>2</v>
      </c>
    </row>
    <row r="8" spans="1:6" x14ac:dyDescent="0.25">
      <c r="A8" s="42" t="s">
        <v>54</v>
      </c>
      <c r="B8" s="42">
        <v>7802348846</v>
      </c>
      <c r="C8" s="42">
        <v>997350001</v>
      </c>
      <c r="D8" s="42" t="s">
        <v>55</v>
      </c>
      <c r="E8" s="42" t="s">
        <v>42</v>
      </c>
      <c r="F8" s="42">
        <v>2</v>
      </c>
    </row>
    <row r="9" spans="1:6" x14ac:dyDescent="0.25">
      <c r="A9" s="41" t="s">
        <v>59</v>
      </c>
      <c r="B9" s="41">
        <v>7802348846</v>
      </c>
      <c r="C9" s="41">
        <v>997350001</v>
      </c>
      <c r="D9" s="41" t="s">
        <v>60</v>
      </c>
      <c r="E9" s="41" t="s">
        <v>58</v>
      </c>
      <c r="F9" s="41">
        <v>2</v>
      </c>
    </row>
    <row r="10" spans="1:6" x14ac:dyDescent="0.25">
      <c r="A10" s="41" t="s">
        <v>56</v>
      </c>
      <c r="B10" s="41">
        <v>7802348846</v>
      </c>
      <c r="C10" s="41">
        <v>997350001</v>
      </c>
      <c r="D10" s="41" t="s">
        <v>57</v>
      </c>
      <c r="E10" s="41" t="s">
        <v>42</v>
      </c>
      <c r="F10" s="41">
        <v>2</v>
      </c>
    </row>
    <row r="11" spans="1:6" x14ac:dyDescent="0.25">
      <c r="A11" s="41" t="s">
        <v>61</v>
      </c>
      <c r="B11" s="41">
        <v>7802348846</v>
      </c>
      <c r="C11" s="41">
        <v>997350001</v>
      </c>
      <c r="D11" s="41" t="s">
        <v>62</v>
      </c>
      <c r="E11" s="41" t="s">
        <v>42</v>
      </c>
      <c r="F11" s="41">
        <v>2</v>
      </c>
    </row>
    <row r="12" spans="1:6" x14ac:dyDescent="0.25">
      <c r="A12" s="41" t="s">
        <v>2358</v>
      </c>
      <c r="B12" s="43">
        <v>7802348846</v>
      </c>
      <c r="C12" s="43">
        <v>997350001</v>
      </c>
      <c r="D12" s="41" t="s">
        <v>2359</v>
      </c>
      <c r="E12" s="41" t="s">
        <v>42</v>
      </c>
      <c r="F12" s="41">
        <v>1</v>
      </c>
    </row>
    <row r="13" spans="1:6" x14ac:dyDescent="0.25">
      <c r="A13" s="42" t="s">
        <v>2415</v>
      </c>
      <c r="B13" s="42">
        <v>7723889433</v>
      </c>
      <c r="C13" s="42">
        <v>772401001</v>
      </c>
      <c r="D13" s="42" t="s">
        <v>2416</v>
      </c>
      <c r="E13" s="42" t="s">
        <v>2417</v>
      </c>
      <c r="F13" s="42">
        <v>2</v>
      </c>
    </row>
    <row r="14" spans="1:6" x14ac:dyDescent="0.25">
      <c r="A14" s="45" t="s">
        <v>2418</v>
      </c>
      <c r="B14" s="45">
        <v>5838002196</v>
      </c>
      <c r="C14" s="45">
        <v>583801001</v>
      </c>
      <c r="D14" s="45" t="s">
        <v>2420</v>
      </c>
      <c r="E14" s="45" t="s">
        <v>2419</v>
      </c>
      <c r="F14" s="45">
        <v>2</v>
      </c>
    </row>
  </sheetData>
  <conditionalFormatting sqref="A2:A14">
    <cfRule type="duplicateValues" dxfId="7" priority="42"/>
  </conditionalFormatting>
  <conditionalFormatting sqref="A2:A14">
    <cfRule type="duplicateValues" dxfId="6" priority="2"/>
  </conditionalFormatting>
  <conditionalFormatting sqref="A1:A1048576">
    <cfRule type="duplicateValues" dxfId="3" priority="1"/>
  </conditionalFormatting>
  <hyperlinks>
    <hyperlink ref="D12" r:id="rId1"/>
    <hyperlink ref="D13" r:id="rId2"/>
    <hyperlink ref="D14" r:id="rId3" display="mailto:info@nppsensor.ru"/>
  </hyperlinks>
  <pageMargins left="0.7" right="0.7" top="0.75" bottom="0.75" header="0.3" footer="0.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80"/>
  <sheetViews>
    <sheetView workbookViewId="0">
      <selection activeCell="A11" sqref="A11"/>
    </sheetView>
  </sheetViews>
  <sheetFormatPr defaultColWidth="8.7109375" defaultRowHeight="15" x14ac:dyDescent="0.25"/>
  <cols>
    <col min="1" max="1" width="100" style="28" customWidth="1"/>
    <col min="2" max="16384" width="8.7109375" style="28"/>
  </cols>
  <sheetData>
    <row r="1" spans="1:1" ht="27" customHeight="1" x14ac:dyDescent="0.25">
      <c r="A1" s="27" t="s">
        <v>2242</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ht="30"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ht="30"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ht="30"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2079</v>
      </c>
    </row>
    <row r="2013" spans="1:1" x14ac:dyDescent="0.25">
      <c r="A2013" s="29" t="s">
        <v>2080</v>
      </c>
    </row>
    <row r="2014" spans="1:1" x14ac:dyDescent="0.25">
      <c r="A2014" s="29" t="s">
        <v>2081</v>
      </c>
    </row>
    <row r="2015" spans="1:1" ht="30" x14ac:dyDescent="0.25">
      <c r="A2015" s="29" t="s">
        <v>2082</v>
      </c>
    </row>
    <row r="2016" spans="1:1" ht="30" x14ac:dyDescent="0.25">
      <c r="A2016" s="29" t="s">
        <v>2083</v>
      </c>
    </row>
    <row r="2017" spans="1:1" x14ac:dyDescent="0.25">
      <c r="A2017" s="29" t="s">
        <v>2084</v>
      </c>
    </row>
    <row r="2018" spans="1:1" ht="30" x14ac:dyDescent="0.25">
      <c r="A2018" s="29" t="s">
        <v>2085</v>
      </c>
    </row>
    <row r="2019" spans="1:1" x14ac:dyDescent="0.25">
      <c r="A2019" s="29" t="s">
        <v>2086</v>
      </c>
    </row>
    <row r="2020" spans="1:1" x14ac:dyDescent="0.25">
      <c r="A2020" s="29" t="s">
        <v>2087</v>
      </c>
    </row>
    <row r="2021" spans="1:1" x14ac:dyDescent="0.25">
      <c r="A2021" s="29" t="s">
        <v>2088</v>
      </c>
    </row>
    <row r="2022" spans="1:1" x14ac:dyDescent="0.25">
      <c r="A2022" s="29" t="s">
        <v>2089</v>
      </c>
    </row>
    <row r="2023" spans="1:1" x14ac:dyDescent="0.25">
      <c r="A2023" s="29" t="s">
        <v>2090</v>
      </c>
    </row>
    <row r="2024" spans="1:1" x14ac:dyDescent="0.25">
      <c r="A2024" s="29" t="s">
        <v>2091</v>
      </c>
    </row>
    <row r="2025" spans="1:1" x14ac:dyDescent="0.25">
      <c r="A2025" s="29" t="s">
        <v>2092</v>
      </c>
    </row>
    <row r="2026" spans="1:1" x14ac:dyDescent="0.25">
      <c r="A2026" s="29" t="s">
        <v>2093</v>
      </c>
    </row>
    <row r="2027" spans="1:1" x14ac:dyDescent="0.25">
      <c r="A2027" s="29" t="s">
        <v>2094</v>
      </c>
    </row>
    <row r="2028" spans="1:1" x14ac:dyDescent="0.25">
      <c r="A2028" s="29" t="s">
        <v>2095</v>
      </c>
    </row>
    <row r="2029" spans="1:1" x14ac:dyDescent="0.25">
      <c r="A2029" s="29" t="s">
        <v>2096</v>
      </c>
    </row>
    <row r="2030" spans="1:1" x14ac:dyDescent="0.25">
      <c r="A2030" s="29" t="s">
        <v>2097</v>
      </c>
    </row>
    <row r="2031" spans="1:1" x14ac:dyDescent="0.25">
      <c r="A2031" s="29" t="s">
        <v>2098</v>
      </c>
    </row>
    <row r="2032" spans="1:1" x14ac:dyDescent="0.25">
      <c r="A2032" s="29" t="s">
        <v>2099</v>
      </c>
    </row>
    <row r="2033" spans="1:1" x14ac:dyDescent="0.25">
      <c r="A2033" s="29" t="s">
        <v>2100</v>
      </c>
    </row>
    <row r="2034" spans="1:1" x14ac:dyDescent="0.25">
      <c r="A2034" s="29" t="s">
        <v>2101</v>
      </c>
    </row>
    <row r="2035" spans="1:1" x14ac:dyDescent="0.25">
      <c r="A2035" s="29" t="s">
        <v>2102</v>
      </c>
    </row>
    <row r="2036" spans="1:1" x14ac:dyDescent="0.25">
      <c r="A2036" s="29" t="s">
        <v>2103</v>
      </c>
    </row>
    <row r="2037" spans="1:1" x14ac:dyDescent="0.25">
      <c r="A2037" s="29" t="s">
        <v>2104</v>
      </c>
    </row>
    <row r="2038" spans="1:1" x14ac:dyDescent="0.25">
      <c r="A2038" s="29" t="s">
        <v>2105</v>
      </c>
    </row>
    <row r="2039" spans="1:1" x14ac:dyDescent="0.25">
      <c r="A2039" s="29" t="s">
        <v>2106</v>
      </c>
    </row>
    <row r="2040" spans="1:1" x14ac:dyDescent="0.25">
      <c r="A2040" s="29" t="s">
        <v>2107</v>
      </c>
    </row>
    <row r="2041" spans="1:1" x14ac:dyDescent="0.25">
      <c r="A2041" s="29" t="s">
        <v>2108</v>
      </c>
    </row>
    <row r="2042" spans="1:1" x14ac:dyDescent="0.25">
      <c r="A2042" s="29" t="s">
        <v>2109</v>
      </c>
    </row>
    <row r="2043" spans="1:1" x14ac:dyDescent="0.25">
      <c r="A2043" s="29" t="s">
        <v>2110</v>
      </c>
    </row>
    <row r="2044" spans="1:1" x14ac:dyDescent="0.25">
      <c r="A2044" s="29" t="s">
        <v>2111</v>
      </c>
    </row>
    <row r="2045" spans="1:1" x14ac:dyDescent="0.25">
      <c r="A2045" s="29" t="s">
        <v>2112</v>
      </c>
    </row>
    <row r="2046" spans="1:1" x14ac:dyDescent="0.25">
      <c r="A2046" s="29" t="s">
        <v>2113</v>
      </c>
    </row>
    <row r="2047" spans="1:1" x14ac:dyDescent="0.25">
      <c r="A2047" s="29" t="s">
        <v>2114</v>
      </c>
    </row>
    <row r="2048" spans="1:1" x14ac:dyDescent="0.25">
      <c r="A2048" s="29" t="s">
        <v>2115</v>
      </c>
    </row>
    <row r="2049" spans="1:1" x14ac:dyDescent="0.25">
      <c r="A2049" s="29" t="s">
        <v>2116</v>
      </c>
    </row>
    <row r="2050" spans="1:1" x14ac:dyDescent="0.25">
      <c r="A2050" s="29" t="s">
        <v>2117</v>
      </c>
    </row>
    <row r="2051" spans="1:1" x14ac:dyDescent="0.25">
      <c r="A2051" s="29" t="s">
        <v>2118</v>
      </c>
    </row>
    <row r="2052" spans="1:1" x14ac:dyDescent="0.25">
      <c r="A2052" s="29" t="s">
        <v>2119</v>
      </c>
    </row>
    <row r="2053" spans="1:1" x14ac:dyDescent="0.25">
      <c r="A2053" s="29" t="s">
        <v>2120</v>
      </c>
    </row>
    <row r="2054" spans="1:1" x14ac:dyDescent="0.25">
      <c r="A2054" s="29" t="s">
        <v>2121</v>
      </c>
    </row>
    <row r="2055" spans="1:1" x14ac:dyDescent="0.25">
      <c r="A2055" s="29" t="s">
        <v>2122</v>
      </c>
    </row>
    <row r="2056" spans="1:1" x14ac:dyDescent="0.25">
      <c r="A2056" s="29" t="s">
        <v>2123</v>
      </c>
    </row>
    <row r="2057" spans="1:1" x14ac:dyDescent="0.25">
      <c r="A2057" s="29" t="s">
        <v>2124</v>
      </c>
    </row>
    <row r="2058" spans="1:1" x14ac:dyDescent="0.25">
      <c r="A2058" s="29" t="s">
        <v>2125</v>
      </c>
    </row>
    <row r="2059" spans="1:1" x14ac:dyDescent="0.25">
      <c r="A2059" s="29" t="s">
        <v>2126</v>
      </c>
    </row>
    <row r="2060" spans="1:1" x14ac:dyDescent="0.25">
      <c r="A2060" s="29" t="s">
        <v>2127</v>
      </c>
    </row>
    <row r="2061" spans="1:1" x14ac:dyDescent="0.25">
      <c r="A2061" s="29" t="s">
        <v>2128</v>
      </c>
    </row>
    <row r="2062" spans="1:1" x14ac:dyDescent="0.25">
      <c r="A2062" s="29" t="s">
        <v>2129</v>
      </c>
    </row>
    <row r="2063" spans="1:1" x14ac:dyDescent="0.25">
      <c r="A2063" s="29" t="s">
        <v>2130</v>
      </c>
    </row>
    <row r="2064" spans="1:1" x14ac:dyDescent="0.25">
      <c r="A2064" s="29" t="s">
        <v>2131</v>
      </c>
    </row>
    <row r="2065" spans="1:1" x14ac:dyDescent="0.25">
      <c r="A2065" s="29" t="s">
        <v>2132</v>
      </c>
    </row>
    <row r="2066" spans="1:1" x14ac:dyDescent="0.25">
      <c r="A2066" s="29" t="s">
        <v>2133</v>
      </c>
    </row>
    <row r="2067" spans="1:1" x14ac:dyDescent="0.25">
      <c r="A2067" s="29" t="s">
        <v>2134</v>
      </c>
    </row>
    <row r="2068" spans="1:1" x14ac:dyDescent="0.25">
      <c r="A2068" s="29" t="s">
        <v>2135</v>
      </c>
    </row>
    <row r="2069" spans="1:1" x14ac:dyDescent="0.25">
      <c r="A2069" s="29" t="s">
        <v>2136</v>
      </c>
    </row>
    <row r="2070" spans="1:1" x14ac:dyDescent="0.25">
      <c r="A2070" s="29" t="s">
        <v>2137</v>
      </c>
    </row>
    <row r="2071" spans="1:1" x14ac:dyDescent="0.25">
      <c r="A2071" s="29" t="s">
        <v>2138</v>
      </c>
    </row>
    <row r="2072" spans="1:1" x14ac:dyDescent="0.25">
      <c r="A2072" s="29" t="s">
        <v>2139</v>
      </c>
    </row>
    <row r="2073" spans="1:1" x14ac:dyDescent="0.25">
      <c r="A2073" s="29" t="s">
        <v>2140</v>
      </c>
    </row>
    <row r="2074" spans="1:1" x14ac:dyDescent="0.25">
      <c r="A2074" s="29" t="s">
        <v>2141</v>
      </c>
    </row>
    <row r="2075" spans="1:1" x14ac:dyDescent="0.25">
      <c r="A2075" s="29" t="s">
        <v>2142</v>
      </c>
    </row>
    <row r="2076" spans="1:1" x14ac:dyDescent="0.25">
      <c r="A2076" s="29" t="s">
        <v>2143</v>
      </c>
    </row>
    <row r="2077" spans="1:1" x14ac:dyDescent="0.25">
      <c r="A2077" s="29" t="s">
        <v>2144</v>
      </c>
    </row>
    <row r="2078" spans="1:1" x14ac:dyDescent="0.25">
      <c r="A2078" s="29" t="s">
        <v>2145</v>
      </c>
    </row>
    <row r="2079" spans="1:1" x14ac:dyDescent="0.25">
      <c r="A2079" s="29" t="s">
        <v>2146</v>
      </c>
    </row>
    <row r="2080" spans="1:1" x14ac:dyDescent="0.25">
      <c r="A2080" s="29" t="s">
        <v>2147</v>
      </c>
    </row>
    <row r="2081" spans="1:1" x14ac:dyDescent="0.25">
      <c r="A2081" s="29" t="s">
        <v>2148</v>
      </c>
    </row>
    <row r="2082" spans="1:1" x14ac:dyDescent="0.25">
      <c r="A2082" s="29" t="s">
        <v>2149</v>
      </c>
    </row>
    <row r="2083" spans="1:1" x14ac:dyDescent="0.25">
      <c r="A2083" s="29" t="s">
        <v>2150</v>
      </c>
    </row>
    <row r="2084" spans="1:1" x14ac:dyDescent="0.25">
      <c r="A2084" s="29" t="s">
        <v>2151</v>
      </c>
    </row>
    <row r="2085" spans="1:1" x14ac:dyDescent="0.25">
      <c r="A2085" s="29" t="s">
        <v>2152</v>
      </c>
    </row>
    <row r="2086" spans="1:1" x14ac:dyDescent="0.25">
      <c r="A2086" s="29" t="s">
        <v>2153</v>
      </c>
    </row>
    <row r="2087" spans="1:1" x14ac:dyDescent="0.25">
      <c r="A2087" s="29" t="s">
        <v>2154</v>
      </c>
    </row>
    <row r="2088" spans="1:1" x14ac:dyDescent="0.25">
      <c r="A2088" s="29" t="s">
        <v>2155</v>
      </c>
    </row>
    <row r="2089" spans="1:1" x14ac:dyDescent="0.25">
      <c r="A2089" s="29" t="s">
        <v>2156</v>
      </c>
    </row>
    <row r="2090" spans="1:1" x14ac:dyDescent="0.25">
      <c r="A2090" s="29" t="s">
        <v>2157</v>
      </c>
    </row>
    <row r="2091" spans="1:1" x14ac:dyDescent="0.25">
      <c r="A2091" s="29" t="s">
        <v>2158</v>
      </c>
    </row>
    <row r="2092" spans="1:1" x14ac:dyDescent="0.25">
      <c r="A2092" s="29" t="s">
        <v>2159</v>
      </c>
    </row>
    <row r="2093" spans="1:1" x14ac:dyDescent="0.25">
      <c r="A2093" s="29" t="s">
        <v>2160</v>
      </c>
    </row>
    <row r="2094" spans="1:1" x14ac:dyDescent="0.25">
      <c r="A2094" s="29" t="s">
        <v>2161</v>
      </c>
    </row>
    <row r="2095" spans="1:1" x14ac:dyDescent="0.25">
      <c r="A2095" s="29" t="s">
        <v>2162</v>
      </c>
    </row>
    <row r="2096" spans="1:1" x14ac:dyDescent="0.25">
      <c r="A2096" s="29" t="s">
        <v>2163</v>
      </c>
    </row>
    <row r="2097" spans="1:1" x14ac:dyDescent="0.25">
      <c r="A2097" s="29" t="s">
        <v>2164</v>
      </c>
    </row>
    <row r="2098" spans="1:1" x14ac:dyDescent="0.25">
      <c r="A2098" s="29" t="s">
        <v>2165</v>
      </c>
    </row>
    <row r="2099" spans="1:1" x14ac:dyDescent="0.25">
      <c r="A2099" s="29" t="s">
        <v>2166</v>
      </c>
    </row>
    <row r="2100" spans="1:1" x14ac:dyDescent="0.25">
      <c r="A2100" s="29" t="s">
        <v>2167</v>
      </c>
    </row>
    <row r="2101" spans="1:1" x14ac:dyDescent="0.25">
      <c r="A2101" s="29" t="s">
        <v>2168</v>
      </c>
    </row>
    <row r="2102" spans="1:1" x14ac:dyDescent="0.25">
      <c r="A2102" s="29" t="s">
        <v>2169</v>
      </c>
    </row>
    <row r="2103" spans="1:1" x14ac:dyDescent="0.25">
      <c r="A2103" s="29" t="s">
        <v>2170</v>
      </c>
    </row>
    <row r="2104" spans="1:1" x14ac:dyDescent="0.25">
      <c r="A2104" s="29" t="s">
        <v>2171</v>
      </c>
    </row>
    <row r="2105" spans="1:1" x14ac:dyDescent="0.25">
      <c r="A2105" s="29" t="s">
        <v>2172</v>
      </c>
    </row>
    <row r="2106" spans="1:1" x14ac:dyDescent="0.25">
      <c r="A2106" s="29" t="s">
        <v>2173</v>
      </c>
    </row>
    <row r="2107" spans="1:1" x14ac:dyDescent="0.25">
      <c r="A2107" s="29" t="s">
        <v>2174</v>
      </c>
    </row>
    <row r="2108" spans="1:1" x14ac:dyDescent="0.25">
      <c r="A2108" s="29" t="s">
        <v>2175</v>
      </c>
    </row>
    <row r="2109" spans="1:1" x14ac:dyDescent="0.25">
      <c r="A2109" s="29" t="s">
        <v>2176</v>
      </c>
    </row>
    <row r="2110" spans="1:1" x14ac:dyDescent="0.25">
      <c r="A2110" s="29" t="s">
        <v>2177</v>
      </c>
    </row>
    <row r="2111" spans="1:1" x14ac:dyDescent="0.25">
      <c r="A2111" s="29" t="s">
        <v>2178</v>
      </c>
    </row>
    <row r="2112" spans="1:1" x14ac:dyDescent="0.25">
      <c r="A2112" s="29" t="s">
        <v>2179</v>
      </c>
    </row>
    <row r="2113" spans="1:1" x14ac:dyDescent="0.25">
      <c r="A2113" s="29" t="s">
        <v>2180</v>
      </c>
    </row>
    <row r="2114" spans="1:1" x14ac:dyDescent="0.25">
      <c r="A2114" s="29" t="s">
        <v>2181</v>
      </c>
    </row>
    <row r="2115" spans="1:1" x14ac:dyDescent="0.25">
      <c r="A2115" s="29" t="s">
        <v>2182</v>
      </c>
    </row>
    <row r="2116" spans="1:1" x14ac:dyDescent="0.25">
      <c r="A2116" s="29" t="s">
        <v>2183</v>
      </c>
    </row>
    <row r="2117" spans="1:1" x14ac:dyDescent="0.25">
      <c r="A2117" s="29" t="s">
        <v>2184</v>
      </c>
    </row>
    <row r="2118" spans="1:1" x14ac:dyDescent="0.25">
      <c r="A2118" s="29" t="s">
        <v>2185</v>
      </c>
    </row>
    <row r="2119" spans="1:1" x14ac:dyDescent="0.25">
      <c r="A2119" s="29" t="s">
        <v>2186</v>
      </c>
    </row>
    <row r="2120" spans="1:1" x14ac:dyDescent="0.25">
      <c r="A2120" s="29" t="s">
        <v>2187</v>
      </c>
    </row>
    <row r="2121" spans="1:1" x14ac:dyDescent="0.25">
      <c r="A2121" s="29" t="s">
        <v>2188</v>
      </c>
    </row>
    <row r="2122" spans="1:1" x14ac:dyDescent="0.25">
      <c r="A2122" s="29" t="s">
        <v>2189</v>
      </c>
    </row>
    <row r="2123" spans="1:1" x14ac:dyDescent="0.25">
      <c r="A2123" s="29" t="s">
        <v>2190</v>
      </c>
    </row>
    <row r="2124" spans="1:1" x14ac:dyDescent="0.25">
      <c r="A2124" s="29" t="s">
        <v>2191</v>
      </c>
    </row>
    <row r="2125" spans="1:1" x14ac:dyDescent="0.25">
      <c r="A2125" s="29" t="s">
        <v>2192</v>
      </c>
    </row>
    <row r="2126" spans="1:1" x14ac:dyDescent="0.25">
      <c r="A2126" s="29" t="s">
        <v>2193</v>
      </c>
    </row>
    <row r="2127" spans="1:1" x14ac:dyDescent="0.25">
      <c r="A2127" s="29" t="s">
        <v>2194</v>
      </c>
    </row>
    <row r="2128" spans="1:1" x14ac:dyDescent="0.25">
      <c r="A2128" s="29" t="s">
        <v>2195</v>
      </c>
    </row>
    <row r="2129" spans="1:1" x14ac:dyDescent="0.25">
      <c r="A2129" s="29" t="s">
        <v>2196</v>
      </c>
    </row>
    <row r="2130" spans="1:1" x14ac:dyDescent="0.25">
      <c r="A2130" s="29" t="s">
        <v>2197</v>
      </c>
    </row>
    <row r="2131" spans="1:1" x14ac:dyDescent="0.25">
      <c r="A2131" s="29" t="s">
        <v>2198</v>
      </c>
    </row>
    <row r="2132" spans="1:1" x14ac:dyDescent="0.25">
      <c r="A2132" s="29" t="s">
        <v>2199</v>
      </c>
    </row>
    <row r="2133" spans="1:1" x14ac:dyDescent="0.25">
      <c r="A2133" s="29" t="s">
        <v>2200</v>
      </c>
    </row>
    <row r="2134" spans="1:1" x14ac:dyDescent="0.25">
      <c r="A2134" s="29" t="s">
        <v>2201</v>
      </c>
    </row>
    <row r="2135" spans="1:1" x14ac:dyDescent="0.25">
      <c r="A2135" s="29" t="s">
        <v>2202</v>
      </c>
    </row>
    <row r="2136" spans="1:1" x14ac:dyDescent="0.25">
      <c r="A2136" s="29" t="s">
        <v>2203</v>
      </c>
    </row>
    <row r="2137" spans="1:1" x14ac:dyDescent="0.25">
      <c r="A2137" s="29" t="s">
        <v>2204</v>
      </c>
    </row>
    <row r="2138" spans="1:1" x14ac:dyDescent="0.25">
      <c r="A2138" s="29" t="s">
        <v>2205</v>
      </c>
    </row>
    <row r="2139" spans="1:1" ht="60" x14ac:dyDescent="0.25">
      <c r="A2139" s="29" t="s">
        <v>2206</v>
      </c>
    </row>
    <row r="2140" spans="1:1" ht="30" x14ac:dyDescent="0.25">
      <c r="A2140" s="29" t="s">
        <v>2207</v>
      </c>
    </row>
    <row r="2141" spans="1:1" ht="30" x14ac:dyDescent="0.25">
      <c r="A2141" s="29" t="s">
        <v>2208</v>
      </c>
    </row>
    <row r="2142" spans="1:1" x14ac:dyDescent="0.25">
      <c r="A2142" s="29" t="s">
        <v>2209</v>
      </c>
    </row>
    <row r="2143" spans="1:1" x14ac:dyDescent="0.25">
      <c r="A2143" s="29" t="s">
        <v>2210</v>
      </c>
    </row>
    <row r="2144" spans="1:1" x14ac:dyDescent="0.25">
      <c r="A2144" s="29" t="s">
        <v>2211</v>
      </c>
    </row>
    <row r="2145" spans="1:1" ht="30" x14ac:dyDescent="0.25">
      <c r="A2145" s="29" t="s">
        <v>2212</v>
      </c>
    </row>
    <row r="2146" spans="1:1" x14ac:dyDescent="0.25">
      <c r="A2146" s="29" t="s">
        <v>2213</v>
      </c>
    </row>
    <row r="2147" spans="1:1" x14ac:dyDescent="0.25">
      <c r="A2147" s="29" t="s">
        <v>2214</v>
      </c>
    </row>
    <row r="2148" spans="1:1" x14ac:dyDescent="0.25">
      <c r="A2148" s="29" t="s">
        <v>2215</v>
      </c>
    </row>
    <row r="2149" spans="1:1" x14ac:dyDescent="0.25">
      <c r="A2149" s="29" t="s">
        <v>2216</v>
      </c>
    </row>
    <row r="2150" spans="1:1" ht="30" x14ac:dyDescent="0.25">
      <c r="A2150" s="29" t="s">
        <v>2217</v>
      </c>
    </row>
    <row r="2151" spans="1:1" x14ac:dyDescent="0.25">
      <c r="A2151" s="29" t="s">
        <v>2218</v>
      </c>
    </row>
    <row r="2152" spans="1:1" x14ac:dyDescent="0.25">
      <c r="A2152" s="29" t="s">
        <v>2219</v>
      </c>
    </row>
    <row r="2153" spans="1:1" x14ac:dyDescent="0.25">
      <c r="A2153" s="29" t="s">
        <v>2220</v>
      </c>
    </row>
    <row r="2154" spans="1:1" x14ac:dyDescent="0.25">
      <c r="A2154" s="29" t="s">
        <v>2221</v>
      </c>
    </row>
    <row r="2155" spans="1:1" x14ac:dyDescent="0.25">
      <c r="A2155" s="29" t="s">
        <v>2222</v>
      </c>
    </row>
    <row r="2156" spans="1:1" x14ac:dyDescent="0.25">
      <c r="A2156" s="29" t="s">
        <v>2223</v>
      </c>
    </row>
    <row r="2157" spans="1:1" x14ac:dyDescent="0.25">
      <c r="A2157" s="29" t="s">
        <v>2224</v>
      </c>
    </row>
    <row r="2158" spans="1:1" x14ac:dyDescent="0.25">
      <c r="A2158" s="29" t="s">
        <v>2225</v>
      </c>
    </row>
    <row r="2159" spans="1:1" x14ac:dyDescent="0.25">
      <c r="A2159" s="29" t="s">
        <v>2226</v>
      </c>
    </row>
    <row r="2160" spans="1:1" ht="30" x14ac:dyDescent="0.25">
      <c r="A2160" s="29" t="s">
        <v>2227</v>
      </c>
    </row>
    <row r="2161" spans="1:1" x14ac:dyDescent="0.25">
      <c r="A2161" s="29" t="s">
        <v>2228</v>
      </c>
    </row>
    <row r="2162" spans="1:1" x14ac:dyDescent="0.25">
      <c r="A2162" s="29" t="s">
        <v>2229</v>
      </c>
    </row>
    <row r="2163" spans="1:1" x14ac:dyDescent="0.25">
      <c r="A2163" s="29" t="s">
        <v>2230</v>
      </c>
    </row>
    <row r="2164" spans="1:1" x14ac:dyDescent="0.25">
      <c r="A2164" s="29" t="s">
        <v>2231</v>
      </c>
    </row>
    <row r="2165" spans="1:1" x14ac:dyDescent="0.25">
      <c r="A2165" s="29" t="s">
        <v>2232</v>
      </c>
    </row>
    <row r="2166" spans="1:1" ht="30" x14ac:dyDescent="0.25">
      <c r="A2166" s="29" t="s">
        <v>2233</v>
      </c>
    </row>
    <row r="2167" spans="1:1" x14ac:dyDescent="0.25">
      <c r="A2167" s="29" t="s">
        <v>2234</v>
      </c>
    </row>
    <row r="2168" spans="1:1" x14ac:dyDescent="0.25">
      <c r="A2168" s="29" t="s">
        <v>2235</v>
      </c>
    </row>
    <row r="2169" spans="1:1" x14ac:dyDescent="0.25">
      <c r="A2169" s="29" t="s">
        <v>2236</v>
      </c>
    </row>
    <row r="2170" spans="1:1" x14ac:dyDescent="0.25">
      <c r="A2170" s="29" t="s">
        <v>2237</v>
      </c>
    </row>
    <row r="2171" spans="1:1" x14ac:dyDescent="0.25">
      <c r="A2171" s="29" t="s">
        <v>2238</v>
      </c>
    </row>
    <row r="2172" spans="1:1" x14ac:dyDescent="0.25">
      <c r="A2172" s="29" t="s">
        <v>2239</v>
      </c>
    </row>
    <row r="2173" spans="1:1" x14ac:dyDescent="0.25">
      <c r="A2173" s="29" t="s">
        <v>2240</v>
      </c>
    </row>
    <row r="2174" spans="1:1" x14ac:dyDescent="0.25">
      <c r="A2174" s="29" t="s">
        <v>2241</v>
      </c>
    </row>
    <row r="2175" spans="1:1" x14ac:dyDescent="0.25">
      <c r="A2175" s="29" t="s">
        <v>2243</v>
      </c>
    </row>
    <row r="2176" spans="1:1" x14ac:dyDescent="0.25">
      <c r="A2176" s="29" t="s">
        <v>2247</v>
      </c>
    </row>
    <row r="2177" spans="1:1" x14ac:dyDescent="0.25">
      <c r="A2177" s="29" t="s">
        <v>2245</v>
      </c>
    </row>
    <row r="2178" spans="1:1" x14ac:dyDescent="0.25">
      <c r="A2178" s="29" t="s">
        <v>2244</v>
      </c>
    </row>
    <row r="2179" spans="1:1" x14ac:dyDescent="0.25">
      <c r="A2179" s="29" t="s">
        <v>2246</v>
      </c>
    </row>
    <row r="2180" spans="1:1" ht="30" x14ac:dyDescent="0.25">
      <c r="A2180" s="30" t="s">
        <v>2078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sqref="A1:A1048576"/>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7" t="s">
        <v>27</v>
      </c>
      <c r="B2" t="s">
        <v>37</v>
      </c>
      <c r="C2">
        <v>6731002766</v>
      </c>
      <c r="D2">
        <v>673201001</v>
      </c>
      <c r="E2" t="s">
        <v>38</v>
      </c>
      <c r="F2" t="s">
        <v>39</v>
      </c>
      <c r="G2">
        <v>2</v>
      </c>
    </row>
    <row r="3" spans="1:7" x14ac:dyDescent="0.25">
      <c r="A3" s="36" t="s">
        <v>2306</v>
      </c>
      <c r="B3" t="s">
        <v>37</v>
      </c>
      <c r="C3">
        <v>6731002766</v>
      </c>
      <c r="D3">
        <v>673201001</v>
      </c>
      <c r="E3" t="s">
        <v>38</v>
      </c>
      <c r="F3" t="s">
        <v>39</v>
      </c>
      <c r="G3">
        <v>2</v>
      </c>
    </row>
    <row r="4" spans="1:7" x14ac:dyDescent="0.25">
      <c r="A4" s="37" t="s">
        <v>2248</v>
      </c>
      <c r="B4" t="s">
        <v>37</v>
      </c>
      <c r="C4">
        <v>6731002766</v>
      </c>
      <c r="D4">
        <v>673201001</v>
      </c>
      <c r="E4" t="s">
        <v>38</v>
      </c>
      <c r="F4" t="s">
        <v>39</v>
      </c>
      <c r="G4">
        <v>2</v>
      </c>
    </row>
    <row r="5" spans="1:7" x14ac:dyDescent="0.25">
      <c r="A5" s="36" t="s">
        <v>2249</v>
      </c>
      <c r="B5" t="s">
        <v>37</v>
      </c>
      <c r="C5">
        <v>6731002766</v>
      </c>
      <c r="D5">
        <v>673201001</v>
      </c>
      <c r="E5" t="s">
        <v>38</v>
      </c>
      <c r="F5" t="s">
        <v>39</v>
      </c>
      <c r="G5">
        <v>2</v>
      </c>
    </row>
    <row r="6" spans="1:7" ht="30" x14ac:dyDescent="0.25">
      <c r="A6" s="37" t="s">
        <v>2307</v>
      </c>
      <c r="B6" t="s">
        <v>40</v>
      </c>
      <c r="C6">
        <v>7806155468</v>
      </c>
      <c r="D6">
        <v>780601001</v>
      </c>
      <c r="E6" t="s">
        <v>41</v>
      </c>
      <c r="F6" t="s">
        <v>42</v>
      </c>
      <c r="G6">
        <v>1</v>
      </c>
    </row>
    <row r="7" spans="1:7" x14ac:dyDescent="0.25">
      <c r="A7" s="36" t="s">
        <v>2308</v>
      </c>
      <c r="B7" t="s">
        <v>40</v>
      </c>
      <c r="C7">
        <v>7806155468</v>
      </c>
      <c r="D7">
        <v>780601001</v>
      </c>
      <c r="E7" t="s">
        <v>41</v>
      </c>
      <c r="F7" t="s">
        <v>42</v>
      </c>
      <c r="G7">
        <v>1</v>
      </c>
    </row>
    <row r="8" spans="1:7" x14ac:dyDescent="0.25">
      <c r="A8" s="37" t="s">
        <v>2309</v>
      </c>
      <c r="B8" t="s">
        <v>40</v>
      </c>
      <c r="C8">
        <v>7806155468</v>
      </c>
      <c r="D8">
        <v>780601001</v>
      </c>
      <c r="E8" t="s">
        <v>41</v>
      </c>
      <c r="F8" t="s">
        <v>42</v>
      </c>
      <c r="G8">
        <v>1</v>
      </c>
    </row>
    <row r="9" spans="1:7" x14ac:dyDescent="0.25">
      <c r="A9" s="36" t="s">
        <v>2310</v>
      </c>
      <c r="B9" t="s">
        <v>43</v>
      </c>
      <c r="C9">
        <v>7839109650</v>
      </c>
      <c r="D9">
        <v>783901001</v>
      </c>
      <c r="E9" t="s">
        <v>44</v>
      </c>
      <c r="F9" t="s">
        <v>42</v>
      </c>
      <c r="G9">
        <v>2</v>
      </c>
    </row>
    <row r="10" spans="1:7" x14ac:dyDescent="0.25">
      <c r="A10" s="37" t="s">
        <v>2311</v>
      </c>
      <c r="B10" t="s">
        <v>43</v>
      </c>
      <c r="C10">
        <v>7839109650</v>
      </c>
      <c r="D10">
        <v>783901001</v>
      </c>
      <c r="E10" t="s">
        <v>44</v>
      </c>
      <c r="F10" t="s">
        <v>42</v>
      </c>
      <c r="G10">
        <v>2</v>
      </c>
    </row>
    <row r="11" spans="1:7" x14ac:dyDescent="0.25">
      <c r="A11" s="36" t="s">
        <v>2312</v>
      </c>
      <c r="B11" t="s">
        <v>43</v>
      </c>
      <c r="C11">
        <v>7839109650</v>
      </c>
      <c r="D11">
        <v>783901001</v>
      </c>
      <c r="E11" t="s">
        <v>44</v>
      </c>
      <c r="F11" t="s">
        <v>42</v>
      </c>
      <c r="G11">
        <v>2</v>
      </c>
    </row>
    <row r="12" spans="1:7" x14ac:dyDescent="0.25">
      <c r="A12" s="37" t="s">
        <v>2250</v>
      </c>
      <c r="B12" t="s">
        <v>43</v>
      </c>
      <c r="C12">
        <v>7839109650</v>
      </c>
      <c r="D12">
        <v>783901001</v>
      </c>
      <c r="E12" t="s">
        <v>44</v>
      </c>
      <c r="F12" t="s">
        <v>42</v>
      </c>
      <c r="G12">
        <v>2</v>
      </c>
    </row>
    <row r="13" spans="1:7" x14ac:dyDescent="0.25">
      <c r="A13" s="36" t="s">
        <v>2313</v>
      </c>
      <c r="B13" t="s">
        <v>37</v>
      </c>
      <c r="C13">
        <v>6731002766</v>
      </c>
      <c r="D13">
        <v>673201001</v>
      </c>
      <c r="E13" t="s">
        <v>38</v>
      </c>
      <c r="F13" t="s">
        <v>39</v>
      </c>
      <c r="G13">
        <v>2</v>
      </c>
    </row>
    <row r="14" spans="1:7" x14ac:dyDescent="0.25">
      <c r="A14" s="37" t="s">
        <v>2314</v>
      </c>
      <c r="B14" t="s">
        <v>37</v>
      </c>
      <c r="C14">
        <v>6731002766</v>
      </c>
      <c r="D14">
        <v>673201001</v>
      </c>
      <c r="E14" t="s">
        <v>38</v>
      </c>
      <c r="F14" t="s">
        <v>39</v>
      </c>
      <c r="G14">
        <v>2</v>
      </c>
    </row>
    <row r="15" spans="1:7" x14ac:dyDescent="0.25">
      <c r="A15" s="36" t="s">
        <v>2315</v>
      </c>
      <c r="B15" t="s">
        <v>37</v>
      </c>
      <c r="C15">
        <v>6731002766</v>
      </c>
      <c r="D15">
        <v>673201001</v>
      </c>
      <c r="E15" t="s">
        <v>38</v>
      </c>
      <c r="F15" t="s">
        <v>39</v>
      </c>
      <c r="G15">
        <v>2</v>
      </c>
    </row>
    <row r="16" spans="1:7" x14ac:dyDescent="0.25">
      <c r="A16" s="37" t="s">
        <v>2316</v>
      </c>
      <c r="B16" t="s">
        <v>37</v>
      </c>
      <c r="C16">
        <v>6731002766</v>
      </c>
      <c r="D16">
        <v>673201001</v>
      </c>
      <c r="E16" t="s">
        <v>38</v>
      </c>
      <c r="F16" t="s">
        <v>39</v>
      </c>
      <c r="G16">
        <v>2</v>
      </c>
    </row>
    <row r="17" spans="1:7" x14ac:dyDescent="0.25">
      <c r="A17" s="36" t="s">
        <v>2251</v>
      </c>
      <c r="B17" t="s">
        <v>43</v>
      </c>
      <c r="C17">
        <v>7839109650</v>
      </c>
      <c r="D17">
        <v>783901001</v>
      </c>
      <c r="E17" t="s">
        <v>44</v>
      </c>
      <c r="F17" t="s">
        <v>42</v>
      </c>
      <c r="G17">
        <v>2</v>
      </c>
    </row>
    <row r="18" spans="1:7" x14ac:dyDescent="0.25">
      <c r="A18" s="37" t="s">
        <v>2317</v>
      </c>
      <c r="B18" t="s">
        <v>43</v>
      </c>
      <c r="C18">
        <v>7839109650</v>
      </c>
      <c r="D18">
        <v>783901001</v>
      </c>
      <c r="E18" t="s">
        <v>44</v>
      </c>
      <c r="F18" t="s">
        <v>42</v>
      </c>
      <c r="G18">
        <v>2</v>
      </c>
    </row>
    <row r="19" spans="1:7" x14ac:dyDescent="0.25">
      <c r="A19" s="36" t="s">
        <v>2252</v>
      </c>
      <c r="B19" t="s">
        <v>45</v>
      </c>
      <c r="C19">
        <v>7810216924</v>
      </c>
      <c r="D19">
        <v>7814455001</v>
      </c>
      <c r="E19" t="s">
        <v>46</v>
      </c>
      <c r="F19" t="s">
        <v>42</v>
      </c>
      <c r="G19">
        <v>2</v>
      </c>
    </row>
    <row r="20" spans="1:7" x14ac:dyDescent="0.25">
      <c r="A20" s="37" t="s">
        <v>2253</v>
      </c>
      <c r="B20" t="s">
        <v>45</v>
      </c>
      <c r="C20">
        <v>7810216924</v>
      </c>
      <c r="D20">
        <v>7814455001</v>
      </c>
      <c r="E20" t="s">
        <v>46</v>
      </c>
      <c r="F20" t="s">
        <v>42</v>
      </c>
      <c r="G20">
        <v>2</v>
      </c>
    </row>
    <row r="21" spans="1:7" x14ac:dyDescent="0.25">
      <c r="A21" s="36" t="s">
        <v>2254</v>
      </c>
      <c r="B21" t="s">
        <v>45</v>
      </c>
      <c r="C21">
        <v>7810216924</v>
      </c>
      <c r="D21">
        <v>7814455001</v>
      </c>
      <c r="E21" t="s">
        <v>46</v>
      </c>
      <c r="F21" t="s">
        <v>42</v>
      </c>
      <c r="G21">
        <v>2</v>
      </c>
    </row>
    <row r="22" spans="1:7" x14ac:dyDescent="0.25">
      <c r="A22" s="37" t="s">
        <v>2255</v>
      </c>
      <c r="B22" t="s">
        <v>45</v>
      </c>
      <c r="C22">
        <v>7810216924</v>
      </c>
      <c r="D22">
        <v>7814455001</v>
      </c>
      <c r="E22" t="s">
        <v>46</v>
      </c>
      <c r="F22" t="s">
        <v>42</v>
      </c>
      <c r="G22">
        <v>2</v>
      </c>
    </row>
    <row r="23" spans="1:7" x14ac:dyDescent="0.25">
      <c r="A23" s="36" t="s">
        <v>2256</v>
      </c>
      <c r="B23" t="s">
        <v>47</v>
      </c>
      <c r="C23">
        <v>7804274156</v>
      </c>
      <c r="D23">
        <v>780401001</v>
      </c>
      <c r="E23" t="s">
        <v>48</v>
      </c>
      <c r="F23" t="s">
        <v>42</v>
      </c>
      <c r="G23">
        <v>2</v>
      </c>
    </row>
    <row r="24" spans="1:7" x14ac:dyDescent="0.25">
      <c r="A24" s="37" t="s">
        <v>2257</v>
      </c>
      <c r="B24" t="s">
        <v>45</v>
      </c>
      <c r="C24">
        <v>7810216924</v>
      </c>
      <c r="D24">
        <v>7814455001</v>
      </c>
      <c r="E24" t="s">
        <v>46</v>
      </c>
      <c r="F24" t="s">
        <v>42</v>
      </c>
      <c r="G24">
        <v>2</v>
      </c>
    </row>
    <row r="25" spans="1:7" x14ac:dyDescent="0.25">
      <c r="A25" s="36" t="s">
        <v>2258</v>
      </c>
      <c r="B25" t="s">
        <v>47</v>
      </c>
      <c r="C25">
        <v>7804274156</v>
      </c>
      <c r="D25">
        <v>780401001</v>
      </c>
      <c r="E25" t="s">
        <v>48</v>
      </c>
      <c r="F25" t="s">
        <v>42</v>
      </c>
      <c r="G25">
        <v>2</v>
      </c>
    </row>
    <row r="26" spans="1:7" x14ac:dyDescent="0.25">
      <c r="A26" s="37" t="s">
        <v>2259</v>
      </c>
      <c r="B26" t="s">
        <v>45</v>
      </c>
      <c r="C26">
        <v>7810216924</v>
      </c>
      <c r="D26">
        <v>7814455001</v>
      </c>
      <c r="E26" t="s">
        <v>46</v>
      </c>
      <c r="F26" t="s">
        <v>42</v>
      </c>
      <c r="G26">
        <v>2</v>
      </c>
    </row>
    <row r="27" spans="1:7" x14ac:dyDescent="0.25">
      <c r="A27" s="36" t="s">
        <v>2260</v>
      </c>
      <c r="B27" t="s">
        <v>45</v>
      </c>
      <c r="C27">
        <v>7810216924</v>
      </c>
      <c r="D27">
        <v>7814455001</v>
      </c>
      <c r="E27" t="s">
        <v>46</v>
      </c>
      <c r="F27" t="s">
        <v>42</v>
      </c>
      <c r="G27">
        <v>2</v>
      </c>
    </row>
    <row r="28" spans="1:7" x14ac:dyDescent="0.25">
      <c r="A28" s="37" t="s">
        <v>2261</v>
      </c>
      <c r="B28" t="s">
        <v>45</v>
      </c>
      <c r="C28">
        <v>7810216924</v>
      </c>
      <c r="D28">
        <v>7814455001</v>
      </c>
      <c r="E28" t="s">
        <v>46</v>
      </c>
      <c r="F28" t="s">
        <v>42</v>
      </c>
      <c r="G28">
        <v>2</v>
      </c>
    </row>
    <row r="29" spans="1:7" x14ac:dyDescent="0.25">
      <c r="A29" s="36" t="s">
        <v>2318</v>
      </c>
      <c r="B29" t="s">
        <v>37</v>
      </c>
      <c r="C29">
        <v>6731002766</v>
      </c>
      <c r="D29">
        <v>673201001</v>
      </c>
      <c r="E29" t="s">
        <v>38</v>
      </c>
      <c r="F29" t="s">
        <v>39</v>
      </c>
      <c r="G29">
        <v>2</v>
      </c>
    </row>
    <row r="30" spans="1:7" x14ac:dyDescent="0.25">
      <c r="A30" s="37" t="s">
        <v>2319</v>
      </c>
      <c r="B30" t="s">
        <v>37</v>
      </c>
      <c r="C30">
        <v>6731002766</v>
      </c>
      <c r="D30">
        <v>673201001</v>
      </c>
      <c r="E30" t="s">
        <v>38</v>
      </c>
      <c r="F30" t="s">
        <v>39</v>
      </c>
      <c r="G30">
        <v>2</v>
      </c>
    </row>
    <row r="31" spans="1:7" x14ac:dyDescent="0.25">
      <c r="A31" s="36" t="s">
        <v>2262</v>
      </c>
      <c r="B31" t="s">
        <v>37</v>
      </c>
      <c r="C31">
        <v>6731002766</v>
      </c>
      <c r="D31">
        <v>673201001</v>
      </c>
      <c r="E31" t="s">
        <v>38</v>
      </c>
      <c r="F31" t="s">
        <v>39</v>
      </c>
      <c r="G31">
        <v>2</v>
      </c>
    </row>
    <row r="32" spans="1:7" ht="30" x14ac:dyDescent="0.25">
      <c r="A32" s="37" t="s">
        <v>2263</v>
      </c>
      <c r="B32" t="s">
        <v>49</v>
      </c>
      <c r="C32">
        <v>509950001</v>
      </c>
      <c r="D32">
        <v>5036002480</v>
      </c>
      <c r="E32" t="s">
        <v>50</v>
      </c>
      <c r="F32" t="s">
        <v>51</v>
      </c>
      <c r="G32">
        <v>2</v>
      </c>
    </row>
    <row r="33" spans="1:7" ht="30" x14ac:dyDescent="0.25">
      <c r="A33" s="36" t="s">
        <v>2264</v>
      </c>
      <c r="B33" t="s">
        <v>49</v>
      </c>
      <c r="C33">
        <v>509950001</v>
      </c>
      <c r="D33">
        <v>5036002480</v>
      </c>
      <c r="E33" t="s">
        <v>50</v>
      </c>
      <c r="F33" t="s">
        <v>51</v>
      </c>
      <c r="G33">
        <v>2</v>
      </c>
    </row>
    <row r="34" spans="1:7" ht="30" x14ac:dyDescent="0.25">
      <c r="A34" s="37" t="s">
        <v>2265</v>
      </c>
      <c r="B34" t="s">
        <v>49</v>
      </c>
      <c r="C34">
        <v>509950001</v>
      </c>
      <c r="D34">
        <v>5036002480</v>
      </c>
      <c r="E34" t="s">
        <v>50</v>
      </c>
      <c r="F34" t="s">
        <v>51</v>
      </c>
      <c r="G34">
        <v>2</v>
      </c>
    </row>
    <row r="35" spans="1:7" ht="30" x14ac:dyDescent="0.25">
      <c r="A35" s="36" t="s">
        <v>2266</v>
      </c>
      <c r="B35" t="s">
        <v>49</v>
      </c>
      <c r="C35">
        <v>509950001</v>
      </c>
      <c r="D35">
        <v>5036002480</v>
      </c>
      <c r="E35" t="s">
        <v>50</v>
      </c>
      <c r="F35" t="s">
        <v>51</v>
      </c>
      <c r="G35">
        <v>2</v>
      </c>
    </row>
    <row r="36" spans="1:7" ht="30" x14ac:dyDescent="0.25">
      <c r="A36" s="37" t="s">
        <v>2267</v>
      </c>
      <c r="B36" t="s">
        <v>49</v>
      </c>
      <c r="C36">
        <v>509950001</v>
      </c>
      <c r="D36">
        <v>5036002480</v>
      </c>
      <c r="E36" t="s">
        <v>50</v>
      </c>
      <c r="F36" t="s">
        <v>51</v>
      </c>
      <c r="G36">
        <v>2</v>
      </c>
    </row>
    <row r="37" spans="1:7" x14ac:dyDescent="0.25">
      <c r="A37" s="36" t="s">
        <v>2268</v>
      </c>
      <c r="B37" t="s">
        <v>49</v>
      </c>
      <c r="C37">
        <v>509950001</v>
      </c>
      <c r="D37">
        <v>5036002480</v>
      </c>
      <c r="E37" t="s">
        <v>50</v>
      </c>
      <c r="F37" t="s">
        <v>51</v>
      </c>
      <c r="G37">
        <v>2</v>
      </c>
    </row>
    <row r="38" spans="1:7" x14ac:dyDescent="0.25">
      <c r="A38" s="37" t="s">
        <v>2269</v>
      </c>
      <c r="B38" t="s">
        <v>52</v>
      </c>
      <c r="C38">
        <v>7802348846</v>
      </c>
      <c r="D38">
        <v>997350001</v>
      </c>
      <c r="E38" t="s">
        <v>53</v>
      </c>
      <c r="F38" t="s">
        <v>42</v>
      </c>
      <c r="G38">
        <v>2</v>
      </c>
    </row>
    <row r="39" spans="1:7" x14ac:dyDescent="0.25">
      <c r="A39" s="36" t="s">
        <v>2270</v>
      </c>
      <c r="B39" t="s">
        <v>52</v>
      </c>
      <c r="C39">
        <v>7802348846</v>
      </c>
      <c r="D39">
        <v>997350001</v>
      </c>
      <c r="E39" t="s">
        <v>53</v>
      </c>
      <c r="F39" t="s">
        <v>42</v>
      </c>
      <c r="G39">
        <v>2</v>
      </c>
    </row>
    <row r="40" spans="1:7" x14ac:dyDescent="0.25">
      <c r="A40" s="37" t="s">
        <v>2271</v>
      </c>
      <c r="B40" t="s">
        <v>47</v>
      </c>
      <c r="C40">
        <v>7802348846</v>
      </c>
      <c r="D40">
        <v>997350001</v>
      </c>
      <c r="E40" t="s">
        <v>48</v>
      </c>
      <c r="F40" t="s">
        <v>42</v>
      </c>
      <c r="G40">
        <v>2</v>
      </c>
    </row>
    <row r="41" spans="1:7" x14ac:dyDescent="0.25">
      <c r="A41" s="36" t="s">
        <v>2272</v>
      </c>
      <c r="B41" t="s">
        <v>43</v>
      </c>
      <c r="C41">
        <v>7802348846</v>
      </c>
      <c r="D41">
        <v>997350001</v>
      </c>
      <c r="E41" t="s">
        <v>44</v>
      </c>
      <c r="F41" t="s">
        <v>42</v>
      </c>
      <c r="G41">
        <v>2</v>
      </c>
    </row>
    <row r="42" spans="1:7" x14ac:dyDescent="0.25">
      <c r="A42" s="37" t="s">
        <v>2273</v>
      </c>
      <c r="B42" t="s">
        <v>43</v>
      </c>
      <c r="C42">
        <v>7802348846</v>
      </c>
      <c r="D42">
        <v>997350001</v>
      </c>
      <c r="E42" t="s">
        <v>44</v>
      </c>
      <c r="F42" t="s">
        <v>42</v>
      </c>
      <c r="G42">
        <v>2</v>
      </c>
    </row>
    <row r="43" spans="1:7" x14ac:dyDescent="0.25">
      <c r="A43" s="36" t="s">
        <v>2274</v>
      </c>
      <c r="B43" t="s">
        <v>47</v>
      </c>
      <c r="C43">
        <v>7802348846</v>
      </c>
      <c r="D43">
        <v>997350001</v>
      </c>
      <c r="E43" t="s">
        <v>48</v>
      </c>
      <c r="F43" t="s">
        <v>42</v>
      </c>
      <c r="G43">
        <v>2</v>
      </c>
    </row>
    <row r="44" spans="1:7" x14ac:dyDescent="0.25">
      <c r="A44" s="37" t="s">
        <v>2275</v>
      </c>
      <c r="B44" t="s">
        <v>52</v>
      </c>
      <c r="C44">
        <v>7802348846</v>
      </c>
      <c r="D44">
        <v>997350001</v>
      </c>
      <c r="E44" t="s">
        <v>53</v>
      </c>
      <c r="F44" t="s">
        <v>42</v>
      </c>
      <c r="G44">
        <v>2</v>
      </c>
    </row>
    <row r="45" spans="1:7" x14ac:dyDescent="0.25">
      <c r="A45" s="36" t="s">
        <v>2276</v>
      </c>
      <c r="B45" t="s">
        <v>54</v>
      </c>
      <c r="C45">
        <v>7802348846</v>
      </c>
      <c r="D45">
        <v>997350001</v>
      </c>
      <c r="E45" t="s">
        <v>55</v>
      </c>
      <c r="F45" t="s">
        <v>42</v>
      </c>
      <c r="G45">
        <v>2</v>
      </c>
    </row>
    <row r="46" spans="1:7" x14ac:dyDescent="0.25">
      <c r="A46" s="37" t="s">
        <v>2277</v>
      </c>
      <c r="B46" t="s">
        <v>52</v>
      </c>
      <c r="C46">
        <v>7802348846</v>
      </c>
      <c r="D46">
        <v>997350001</v>
      </c>
      <c r="E46" t="s">
        <v>53</v>
      </c>
      <c r="F46" t="s">
        <v>42</v>
      </c>
      <c r="G46">
        <v>2</v>
      </c>
    </row>
    <row r="47" spans="1:7" x14ac:dyDescent="0.25">
      <c r="A47" s="36" t="s">
        <v>2278</v>
      </c>
      <c r="B47" t="s">
        <v>54</v>
      </c>
      <c r="C47">
        <v>7802348846</v>
      </c>
      <c r="D47">
        <v>997350001</v>
      </c>
      <c r="E47" t="s">
        <v>55</v>
      </c>
      <c r="F47" t="s">
        <v>42</v>
      </c>
      <c r="G47">
        <v>2</v>
      </c>
    </row>
    <row r="48" spans="1:7" x14ac:dyDescent="0.25">
      <c r="A48" s="37" t="s">
        <v>2279</v>
      </c>
      <c r="B48" t="s">
        <v>54</v>
      </c>
      <c r="C48">
        <v>7802348846</v>
      </c>
      <c r="D48">
        <v>997350001</v>
      </c>
      <c r="E48" t="s">
        <v>55</v>
      </c>
      <c r="F48" t="s">
        <v>42</v>
      </c>
      <c r="G48">
        <v>2</v>
      </c>
    </row>
    <row r="49" spans="1:7" x14ac:dyDescent="0.25">
      <c r="A49" s="36" t="s">
        <v>2280</v>
      </c>
      <c r="B49" t="s">
        <v>52</v>
      </c>
      <c r="C49">
        <v>7802348846</v>
      </c>
      <c r="D49">
        <v>997350001</v>
      </c>
      <c r="E49" t="s">
        <v>53</v>
      </c>
      <c r="F49" t="s">
        <v>42</v>
      </c>
      <c r="G49">
        <v>2</v>
      </c>
    </row>
    <row r="50" spans="1:7" x14ac:dyDescent="0.25">
      <c r="A50" s="37" t="s">
        <v>2281</v>
      </c>
      <c r="B50" t="s">
        <v>52</v>
      </c>
      <c r="C50">
        <v>7802348846</v>
      </c>
      <c r="D50">
        <v>997350001</v>
      </c>
      <c r="E50" t="s">
        <v>53</v>
      </c>
      <c r="F50" t="s">
        <v>42</v>
      </c>
      <c r="G50">
        <v>2</v>
      </c>
    </row>
    <row r="51" spans="1:7" x14ac:dyDescent="0.25">
      <c r="A51" s="36" t="s">
        <v>2282</v>
      </c>
      <c r="B51" t="s">
        <v>52</v>
      </c>
      <c r="C51">
        <v>7802348846</v>
      </c>
      <c r="D51">
        <v>997350001</v>
      </c>
      <c r="E51" t="s">
        <v>53</v>
      </c>
      <c r="F51" t="s">
        <v>42</v>
      </c>
      <c r="G51">
        <v>2</v>
      </c>
    </row>
    <row r="52" spans="1:7" x14ac:dyDescent="0.25">
      <c r="A52" s="37" t="s">
        <v>2283</v>
      </c>
      <c r="B52" t="s">
        <v>56</v>
      </c>
      <c r="C52">
        <v>7802348846</v>
      </c>
      <c r="D52">
        <v>997350001</v>
      </c>
      <c r="E52" t="s">
        <v>57</v>
      </c>
      <c r="F52" t="s">
        <v>42</v>
      </c>
      <c r="G52">
        <v>2</v>
      </c>
    </row>
    <row r="53" spans="1:7" x14ac:dyDescent="0.25">
      <c r="A53" s="36" t="s">
        <v>2284</v>
      </c>
      <c r="B53" t="s">
        <v>56</v>
      </c>
      <c r="C53">
        <v>7802348846</v>
      </c>
      <c r="D53">
        <v>997350001</v>
      </c>
      <c r="E53" t="s">
        <v>57</v>
      </c>
      <c r="F53" t="s">
        <v>58</v>
      </c>
      <c r="G53">
        <v>2</v>
      </c>
    </row>
    <row r="54" spans="1:7" x14ac:dyDescent="0.25">
      <c r="A54" s="37" t="s">
        <v>2285</v>
      </c>
      <c r="B54" t="s">
        <v>56</v>
      </c>
      <c r="C54">
        <v>7802348846</v>
      </c>
      <c r="D54">
        <v>997350001</v>
      </c>
      <c r="E54" t="s">
        <v>57</v>
      </c>
      <c r="F54" t="s">
        <v>58</v>
      </c>
      <c r="G54">
        <v>2</v>
      </c>
    </row>
    <row r="55" spans="1:7" x14ac:dyDescent="0.25">
      <c r="A55" s="36" t="s">
        <v>2286</v>
      </c>
      <c r="B55" t="s">
        <v>59</v>
      </c>
      <c r="C55">
        <v>7802348846</v>
      </c>
      <c r="D55">
        <v>997350001</v>
      </c>
      <c r="E55" t="s">
        <v>60</v>
      </c>
      <c r="F55" t="s">
        <v>58</v>
      </c>
      <c r="G55">
        <v>2</v>
      </c>
    </row>
    <row r="56" spans="1:7" x14ac:dyDescent="0.25">
      <c r="A56" s="37" t="s">
        <v>2287</v>
      </c>
      <c r="B56" t="s">
        <v>52</v>
      </c>
      <c r="C56">
        <v>7802348846</v>
      </c>
      <c r="D56">
        <v>997350001</v>
      </c>
      <c r="E56" t="s">
        <v>53</v>
      </c>
      <c r="F56" t="s">
        <v>58</v>
      </c>
      <c r="G56">
        <v>2</v>
      </c>
    </row>
    <row r="57" spans="1:7" x14ac:dyDescent="0.25">
      <c r="A57" s="36" t="s">
        <v>2288</v>
      </c>
      <c r="B57" t="s">
        <v>52</v>
      </c>
      <c r="C57">
        <v>7802348846</v>
      </c>
      <c r="D57">
        <v>997350001</v>
      </c>
      <c r="E57" t="s">
        <v>53</v>
      </c>
      <c r="F57" t="s">
        <v>58</v>
      </c>
      <c r="G57">
        <v>2</v>
      </c>
    </row>
    <row r="58" spans="1:7" x14ac:dyDescent="0.25">
      <c r="A58" s="37" t="s">
        <v>2289</v>
      </c>
      <c r="B58" t="s">
        <v>56</v>
      </c>
      <c r="C58">
        <v>7802348846</v>
      </c>
      <c r="D58">
        <v>997350001</v>
      </c>
      <c r="E58" t="s">
        <v>57</v>
      </c>
      <c r="F58" t="s">
        <v>42</v>
      </c>
      <c r="G58">
        <v>2</v>
      </c>
    </row>
    <row r="59" spans="1:7" x14ac:dyDescent="0.25">
      <c r="A59" s="36" t="s">
        <v>2290</v>
      </c>
      <c r="B59" t="s">
        <v>56</v>
      </c>
      <c r="C59">
        <v>7802348846</v>
      </c>
      <c r="D59">
        <v>997350001</v>
      </c>
      <c r="E59" t="s">
        <v>57</v>
      </c>
      <c r="F59" t="s">
        <v>42</v>
      </c>
      <c r="G59">
        <v>2</v>
      </c>
    </row>
    <row r="60" spans="1:7" x14ac:dyDescent="0.25">
      <c r="A60" s="37" t="s">
        <v>2291</v>
      </c>
      <c r="B60" t="s">
        <v>56</v>
      </c>
      <c r="C60">
        <v>7802348846</v>
      </c>
      <c r="D60">
        <v>997350001</v>
      </c>
      <c r="E60" t="s">
        <v>57</v>
      </c>
      <c r="F60" t="s">
        <v>42</v>
      </c>
      <c r="G60">
        <v>2</v>
      </c>
    </row>
    <row r="61" spans="1:7" x14ac:dyDescent="0.25">
      <c r="A61" s="36" t="s">
        <v>2292</v>
      </c>
      <c r="B61" t="s">
        <v>56</v>
      </c>
      <c r="C61">
        <v>7802348846</v>
      </c>
      <c r="D61">
        <v>997350001</v>
      </c>
      <c r="E61" t="s">
        <v>57</v>
      </c>
      <c r="F61" t="s">
        <v>42</v>
      </c>
      <c r="G61">
        <v>2</v>
      </c>
    </row>
    <row r="62" spans="1:7" x14ac:dyDescent="0.25">
      <c r="A62" s="37" t="s">
        <v>2293</v>
      </c>
      <c r="B62" t="s">
        <v>56</v>
      </c>
      <c r="C62">
        <v>7802348846</v>
      </c>
      <c r="D62">
        <v>997350001</v>
      </c>
      <c r="E62" t="s">
        <v>57</v>
      </c>
      <c r="F62" t="s">
        <v>42</v>
      </c>
      <c r="G62">
        <v>2</v>
      </c>
    </row>
    <row r="63" spans="1:7" x14ac:dyDescent="0.25">
      <c r="A63" s="36" t="s">
        <v>2294</v>
      </c>
      <c r="B63" t="s">
        <v>56</v>
      </c>
      <c r="C63">
        <v>7802348846</v>
      </c>
      <c r="D63">
        <v>997350001</v>
      </c>
      <c r="E63" t="s">
        <v>57</v>
      </c>
      <c r="F63" t="s">
        <v>42</v>
      </c>
      <c r="G63">
        <v>2</v>
      </c>
    </row>
    <row r="64" spans="1:7" x14ac:dyDescent="0.25">
      <c r="A64" s="37" t="s">
        <v>2295</v>
      </c>
      <c r="B64" t="s">
        <v>56</v>
      </c>
      <c r="C64">
        <v>7802348846</v>
      </c>
      <c r="D64">
        <v>997350001</v>
      </c>
      <c r="E64" t="s">
        <v>57</v>
      </c>
      <c r="F64" t="s">
        <v>42</v>
      </c>
      <c r="G64">
        <v>2</v>
      </c>
    </row>
    <row r="65" spans="1:7" x14ac:dyDescent="0.25">
      <c r="A65" s="36" t="s">
        <v>2296</v>
      </c>
      <c r="B65" t="s">
        <v>56</v>
      </c>
      <c r="C65">
        <v>7802348846</v>
      </c>
      <c r="D65">
        <v>997350001</v>
      </c>
      <c r="E65" t="s">
        <v>57</v>
      </c>
      <c r="F65" t="s">
        <v>42</v>
      </c>
      <c r="G65">
        <v>2</v>
      </c>
    </row>
    <row r="66" spans="1:7" x14ac:dyDescent="0.25">
      <c r="A66" s="37" t="s">
        <v>2297</v>
      </c>
      <c r="B66" t="s">
        <v>56</v>
      </c>
      <c r="C66">
        <v>7802348846</v>
      </c>
      <c r="D66">
        <v>997350001</v>
      </c>
      <c r="E66" t="s">
        <v>57</v>
      </c>
      <c r="F66" t="s">
        <v>42</v>
      </c>
      <c r="G66">
        <v>2</v>
      </c>
    </row>
    <row r="67" spans="1:7" x14ac:dyDescent="0.25">
      <c r="A67" s="36" t="s">
        <v>2298</v>
      </c>
      <c r="B67" t="s">
        <v>56</v>
      </c>
      <c r="C67">
        <v>7802348846</v>
      </c>
      <c r="D67">
        <v>997350001</v>
      </c>
      <c r="E67" t="s">
        <v>57</v>
      </c>
      <c r="F67" t="s">
        <v>42</v>
      </c>
      <c r="G67">
        <v>2</v>
      </c>
    </row>
    <row r="68" spans="1:7" x14ac:dyDescent="0.25">
      <c r="A68" s="37" t="s">
        <v>2299</v>
      </c>
      <c r="B68" t="s">
        <v>52</v>
      </c>
      <c r="C68">
        <v>7802348846</v>
      </c>
      <c r="D68">
        <v>997350001</v>
      </c>
      <c r="E68" t="s">
        <v>53</v>
      </c>
      <c r="F68" t="s">
        <v>42</v>
      </c>
      <c r="G68">
        <v>2</v>
      </c>
    </row>
    <row r="69" spans="1:7" x14ac:dyDescent="0.25">
      <c r="A69" s="36" t="s">
        <v>2300</v>
      </c>
      <c r="B69" t="s">
        <v>61</v>
      </c>
      <c r="C69">
        <v>7802348846</v>
      </c>
      <c r="D69">
        <v>997350001</v>
      </c>
      <c r="E69" t="s">
        <v>62</v>
      </c>
      <c r="F69" t="s">
        <v>42</v>
      </c>
      <c r="G69">
        <v>2</v>
      </c>
    </row>
    <row r="70" spans="1:7" x14ac:dyDescent="0.25">
      <c r="A70" s="37" t="s">
        <v>2301</v>
      </c>
      <c r="B70" t="s">
        <v>52</v>
      </c>
      <c r="C70">
        <v>7802348846</v>
      </c>
      <c r="D70">
        <v>997350001</v>
      </c>
      <c r="E70" t="s">
        <v>53</v>
      </c>
      <c r="F70" t="s">
        <v>42</v>
      </c>
      <c r="G70">
        <v>2</v>
      </c>
    </row>
    <row r="71" spans="1:7" x14ac:dyDescent="0.25">
      <c r="A71" s="36" t="s">
        <v>2302</v>
      </c>
      <c r="B71" t="s">
        <v>52</v>
      </c>
      <c r="C71">
        <v>7802348846</v>
      </c>
      <c r="D71">
        <v>997350001</v>
      </c>
      <c r="E71" t="s">
        <v>53</v>
      </c>
      <c r="F71" t="s">
        <v>42</v>
      </c>
      <c r="G71">
        <v>2</v>
      </c>
    </row>
    <row r="72" spans="1:7" x14ac:dyDescent="0.25">
      <c r="A72" s="37" t="s">
        <v>2303</v>
      </c>
      <c r="B72" t="s">
        <v>45</v>
      </c>
      <c r="C72">
        <v>7802348846</v>
      </c>
      <c r="D72">
        <v>997350001</v>
      </c>
      <c r="E72" t="s">
        <v>46</v>
      </c>
      <c r="F72" t="s">
        <v>42</v>
      </c>
      <c r="G72">
        <v>2</v>
      </c>
    </row>
    <row r="73" spans="1:7" x14ac:dyDescent="0.25">
      <c r="A73" s="36" t="s">
        <v>2304</v>
      </c>
      <c r="B73" t="s">
        <v>47</v>
      </c>
      <c r="C73">
        <v>7802348846</v>
      </c>
      <c r="D73">
        <v>997350001</v>
      </c>
      <c r="E73" t="s">
        <v>48</v>
      </c>
      <c r="F73" t="s">
        <v>42</v>
      </c>
      <c r="G73">
        <v>2</v>
      </c>
    </row>
    <row r="74" spans="1:7" x14ac:dyDescent="0.25">
      <c r="A74" s="37" t="s">
        <v>2305</v>
      </c>
      <c r="B74" t="s">
        <v>47</v>
      </c>
      <c r="C74">
        <v>7802348846</v>
      </c>
      <c r="D74">
        <v>997350001</v>
      </c>
      <c r="E74" t="s">
        <v>48</v>
      </c>
      <c r="F74" t="s">
        <v>42</v>
      </c>
      <c r="G74">
        <v>2</v>
      </c>
    </row>
    <row r="75" spans="1:7" ht="45" x14ac:dyDescent="0.25">
      <c r="A75" s="36" t="s">
        <v>2320</v>
      </c>
      <c r="B75" t="s">
        <v>40</v>
      </c>
      <c r="C75">
        <v>7802348846</v>
      </c>
      <c r="D75">
        <v>997350001</v>
      </c>
      <c r="E75" t="s">
        <v>41</v>
      </c>
      <c r="F75" t="s">
        <v>39</v>
      </c>
      <c r="G75">
        <v>2</v>
      </c>
    </row>
    <row r="76" spans="1:7" x14ac:dyDescent="0.25">
      <c r="A76" s="37" t="s">
        <v>2321</v>
      </c>
      <c r="B76" t="s">
        <v>52</v>
      </c>
      <c r="C76">
        <v>7802348846</v>
      </c>
      <c r="D76">
        <v>997350001</v>
      </c>
      <c r="E76" t="s">
        <v>53</v>
      </c>
      <c r="F76" t="s">
        <v>58</v>
      </c>
      <c r="G76">
        <v>2</v>
      </c>
    </row>
    <row r="77" spans="1:7" x14ac:dyDescent="0.25">
      <c r="A77" s="36" t="s">
        <v>2323</v>
      </c>
      <c r="B77" t="s">
        <v>47</v>
      </c>
      <c r="C77">
        <v>7802348846</v>
      </c>
      <c r="D77">
        <v>997350001</v>
      </c>
      <c r="E77" t="s">
        <v>48</v>
      </c>
      <c r="F77" t="s">
        <v>42</v>
      </c>
      <c r="G77">
        <v>2</v>
      </c>
    </row>
    <row r="78" spans="1:7" x14ac:dyDescent="0.25">
      <c r="A78" s="37" t="s">
        <v>2322</v>
      </c>
      <c r="B78" t="s">
        <v>47</v>
      </c>
      <c r="C78">
        <v>7802348846</v>
      </c>
      <c r="D78">
        <v>997350001</v>
      </c>
      <c r="E78" t="s">
        <v>48</v>
      </c>
      <c r="F78" t="s">
        <v>42</v>
      </c>
      <c r="G78">
        <v>2</v>
      </c>
    </row>
    <row r="79" spans="1:7" x14ac:dyDescent="0.25">
      <c r="A79" s="36" t="s">
        <v>2332</v>
      </c>
      <c r="B79" t="s">
        <v>47</v>
      </c>
      <c r="C79">
        <v>7802348846</v>
      </c>
      <c r="D79">
        <v>997350001</v>
      </c>
      <c r="E79" t="s">
        <v>48</v>
      </c>
      <c r="F79" t="s">
        <v>42</v>
      </c>
      <c r="G79">
        <v>2</v>
      </c>
    </row>
    <row r="80" spans="1:7" x14ac:dyDescent="0.25">
      <c r="A80" s="37" t="s">
        <v>2333</v>
      </c>
      <c r="B80" t="s">
        <v>47</v>
      </c>
      <c r="C80">
        <v>7802348846</v>
      </c>
      <c r="D80">
        <v>997350001</v>
      </c>
      <c r="E80" t="s">
        <v>48</v>
      </c>
      <c r="F80" t="s">
        <v>42</v>
      </c>
      <c r="G80">
        <v>2</v>
      </c>
    </row>
    <row r="81" spans="1:7" x14ac:dyDescent="0.25">
      <c r="A81" s="36" t="s">
        <v>2335</v>
      </c>
      <c r="B81" t="s">
        <v>37</v>
      </c>
      <c r="C81">
        <v>7802348846</v>
      </c>
      <c r="D81">
        <v>997350001</v>
      </c>
      <c r="E81" t="s">
        <v>38</v>
      </c>
      <c r="F81" t="s">
        <v>39</v>
      </c>
      <c r="G81">
        <v>2</v>
      </c>
    </row>
    <row r="82" spans="1:7" x14ac:dyDescent="0.25">
      <c r="A82" s="37" t="s">
        <v>2336</v>
      </c>
      <c r="B82" t="s">
        <v>37</v>
      </c>
      <c r="C82">
        <v>7802348846</v>
      </c>
      <c r="D82">
        <v>997350001</v>
      </c>
      <c r="E82" t="s">
        <v>38</v>
      </c>
      <c r="F82" t="s">
        <v>39</v>
      </c>
      <c r="G82">
        <v>2</v>
      </c>
    </row>
    <row r="83" spans="1:7" x14ac:dyDescent="0.25">
      <c r="A83" s="36" t="s">
        <v>2337</v>
      </c>
      <c r="B83" t="s">
        <v>37</v>
      </c>
      <c r="C83">
        <v>7802348846</v>
      </c>
      <c r="D83">
        <v>997350001</v>
      </c>
      <c r="E83" t="s">
        <v>38</v>
      </c>
      <c r="F83" t="s">
        <v>39</v>
      </c>
      <c r="G83">
        <v>2</v>
      </c>
    </row>
    <row r="84" spans="1:7" x14ac:dyDescent="0.25">
      <c r="A84" s="37" t="s">
        <v>2338</v>
      </c>
      <c r="B84" t="s">
        <v>37</v>
      </c>
      <c r="C84">
        <v>7802348846</v>
      </c>
      <c r="D84">
        <v>997350001</v>
      </c>
      <c r="E84" t="s">
        <v>38</v>
      </c>
      <c r="F84" t="s">
        <v>39</v>
      </c>
      <c r="G84">
        <v>2</v>
      </c>
    </row>
    <row r="85" spans="1:7" x14ac:dyDescent="0.25">
      <c r="A85" s="36" t="s">
        <v>2350</v>
      </c>
      <c r="B85" t="s">
        <v>37</v>
      </c>
      <c r="C85">
        <v>7802348846</v>
      </c>
      <c r="D85">
        <v>997350001</v>
      </c>
      <c r="E85" t="s">
        <v>38</v>
      </c>
      <c r="F85" t="s">
        <v>39</v>
      </c>
      <c r="G85">
        <v>2</v>
      </c>
    </row>
    <row r="86" spans="1:7" x14ac:dyDescent="0.25">
      <c r="A86" s="37" t="s">
        <v>2339</v>
      </c>
      <c r="B86" t="s">
        <v>37</v>
      </c>
      <c r="C86">
        <v>7802348846</v>
      </c>
      <c r="D86">
        <v>997350001</v>
      </c>
      <c r="E86" t="s">
        <v>38</v>
      </c>
      <c r="F86" t="s">
        <v>39</v>
      </c>
      <c r="G86">
        <v>2</v>
      </c>
    </row>
    <row r="87" spans="1:7" x14ac:dyDescent="0.25">
      <c r="A87" s="36" t="s">
        <v>2340</v>
      </c>
      <c r="B87" t="s">
        <v>37</v>
      </c>
      <c r="C87">
        <v>7802348846</v>
      </c>
      <c r="D87">
        <v>997350001</v>
      </c>
      <c r="E87" t="s">
        <v>38</v>
      </c>
      <c r="F87" t="s">
        <v>39</v>
      </c>
      <c r="G87">
        <v>2</v>
      </c>
    </row>
    <row r="88" spans="1:7" x14ac:dyDescent="0.25">
      <c r="A88" s="37" t="s">
        <v>2342</v>
      </c>
      <c r="B88" t="s">
        <v>37</v>
      </c>
      <c r="C88">
        <v>7802348846</v>
      </c>
      <c r="D88">
        <v>997350001</v>
      </c>
      <c r="E88" t="s">
        <v>38</v>
      </c>
      <c r="F88" t="s">
        <v>39</v>
      </c>
      <c r="G88">
        <v>2</v>
      </c>
    </row>
    <row r="89" spans="1:7" x14ac:dyDescent="0.25">
      <c r="A89" s="36" t="s">
        <v>2343</v>
      </c>
      <c r="B89" t="s">
        <v>37</v>
      </c>
      <c r="C89">
        <v>7802348846</v>
      </c>
      <c r="D89">
        <v>997350001</v>
      </c>
      <c r="E89" t="s">
        <v>38</v>
      </c>
      <c r="F89" t="s">
        <v>39</v>
      </c>
      <c r="G89">
        <v>2</v>
      </c>
    </row>
    <row r="90" spans="1:7" x14ac:dyDescent="0.25">
      <c r="A90" s="37" t="s">
        <v>2344</v>
      </c>
      <c r="B90" t="s">
        <v>37</v>
      </c>
      <c r="C90">
        <v>7802348846</v>
      </c>
      <c r="D90">
        <v>997350001</v>
      </c>
      <c r="E90" t="s">
        <v>38</v>
      </c>
      <c r="F90" t="s">
        <v>39</v>
      </c>
      <c r="G90">
        <v>2</v>
      </c>
    </row>
    <row r="91" spans="1:7" x14ac:dyDescent="0.25">
      <c r="A91" s="36" t="s">
        <v>2345</v>
      </c>
      <c r="B91" t="s">
        <v>37</v>
      </c>
      <c r="C91">
        <v>7802348846</v>
      </c>
      <c r="D91">
        <v>997350001</v>
      </c>
      <c r="E91" t="s">
        <v>38</v>
      </c>
      <c r="F91" t="s">
        <v>39</v>
      </c>
      <c r="G91">
        <v>2</v>
      </c>
    </row>
    <row r="92" spans="1:7" x14ac:dyDescent="0.25">
      <c r="A92" s="37" t="s">
        <v>2341</v>
      </c>
      <c r="B92" t="s">
        <v>37</v>
      </c>
      <c r="C92">
        <v>7802348846</v>
      </c>
      <c r="D92">
        <v>997350001</v>
      </c>
      <c r="E92" t="s">
        <v>38</v>
      </c>
      <c r="F92" t="s">
        <v>39</v>
      </c>
      <c r="G92">
        <v>2</v>
      </c>
    </row>
    <row r="93" spans="1:7" x14ac:dyDescent="0.25">
      <c r="A93" s="36" t="s">
        <v>2346</v>
      </c>
      <c r="B93" t="s">
        <v>37</v>
      </c>
      <c r="C93">
        <v>7802348846</v>
      </c>
      <c r="D93">
        <v>997350001</v>
      </c>
      <c r="E93" t="s">
        <v>38</v>
      </c>
      <c r="F93" t="s">
        <v>39</v>
      </c>
      <c r="G93">
        <v>2</v>
      </c>
    </row>
    <row r="94" spans="1:7" x14ac:dyDescent="0.25">
      <c r="A94" s="37" t="s">
        <v>2347</v>
      </c>
      <c r="B94" t="s">
        <v>37</v>
      </c>
      <c r="C94">
        <v>7802348846</v>
      </c>
      <c r="D94">
        <v>997350001</v>
      </c>
      <c r="E94" t="s">
        <v>38</v>
      </c>
      <c r="F94" t="s">
        <v>39</v>
      </c>
      <c r="G94">
        <v>2</v>
      </c>
    </row>
    <row r="95" spans="1:7" x14ac:dyDescent="0.25">
      <c r="A95" s="36" t="s">
        <v>2348</v>
      </c>
      <c r="B95" t="s">
        <v>37</v>
      </c>
      <c r="C95">
        <v>7802348846</v>
      </c>
      <c r="D95">
        <v>997350001</v>
      </c>
      <c r="E95" t="s">
        <v>38</v>
      </c>
      <c r="F95" t="s">
        <v>39</v>
      </c>
      <c r="G95">
        <v>2</v>
      </c>
    </row>
    <row r="96" spans="1:7" x14ac:dyDescent="0.25">
      <c r="A96" s="37" t="s">
        <v>2349</v>
      </c>
      <c r="B96" t="s">
        <v>37</v>
      </c>
      <c r="C96">
        <v>7802348846</v>
      </c>
      <c r="D96">
        <v>997350001</v>
      </c>
      <c r="E96" t="s">
        <v>38</v>
      </c>
      <c r="F96" t="s">
        <v>39</v>
      </c>
      <c r="G96">
        <v>2</v>
      </c>
    </row>
    <row r="97" spans="1:7" x14ac:dyDescent="0.25">
      <c r="A97" s="36" t="s">
        <v>2351</v>
      </c>
      <c r="B97" t="s">
        <v>2358</v>
      </c>
      <c r="C97" s="35">
        <v>7802348846</v>
      </c>
      <c r="D97" s="35">
        <v>997350001</v>
      </c>
      <c r="E97" t="s">
        <v>2359</v>
      </c>
      <c r="F97" t="s">
        <v>42</v>
      </c>
      <c r="G97">
        <v>1</v>
      </c>
    </row>
    <row r="98" spans="1:7" x14ac:dyDescent="0.25">
      <c r="A98" s="37" t="s">
        <v>2352</v>
      </c>
      <c r="B98" t="s">
        <v>2358</v>
      </c>
      <c r="C98" s="35">
        <v>7802348846</v>
      </c>
      <c r="D98" s="35">
        <v>997350001</v>
      </c>
      <c r="E98" t="s">
        <v>2359</v>
      </c>
      <c r="F98" t="s">
        <v>42</v>
      </c>
      <c r="G98">
        <v>1</v>
      </c>
    </row>
    <row r="99" spans="1:7" x14ac:dyDescent="0.25">
      <c r="A99" s="36" t="s">
        <v>2353</v>
      </c>
      <c r="B99" t="s">
        <v>2358</v>
      </c>
      <c r="C99" s="35">
        <v>7802348846</v>
      </c>
      <c r="D99" s="35">
        <v>997350001</v>
      </c>
      <c r="E99" t="s">
        <v>2359</v>
      </c>
      <c r="F99" t="s">
        <v>42</v>
      </c>
      <c r="G99">
        <v>1</v>
      </c>
    </row>
    <row r="100" spans="1:7" x14ac:dyDescent="0.25">
      <c r="A100" s="37" t="s">
        <v>2354</v>
      </c>
      <c r="B100" t="s">
        <v>2358</v>
      </c>
      <c r="C100" s="35">
        <v>7802348846</v>
      </c>
      <c r="D100" s="35">
        <v>997350001</v>
      </c>
      <c r="E100" t="s">
        <v>2359</v>
      </c>
      <c r="F100" t="s">
        <v>42</v>
      </c>
      <c r="G100">
        <v>1</v>
      </c>
    </row>
    <row r="101" spans="1:7" x14ac:dyDescent="0.25">
      <c r="A101" s="36" t="s">
        <v>2355</v>
      </c>
      <c r="B101" t="s">
        <v>2358</v>
      </c>
      <c r="C101" s="35">
        <v>7802348846</v>
      </c>
      <c r="D101" s="35">
        <v>997350001</v>
      </c>
      <c r="E101" t="s">
        <v>2359</v>
      </c>
      <c r="F101" t="s">
        <v>42</v>
      </c>
      <c r="G101">
        <v>1</v>
      </c>
    </row>
    <row r="102" spans="1:7" x14ac:dyDescent="0.25">
      <c r="A102" s="37" t="s">
        <v>2356</v>
      </c>
      <c r="B102" t="s">
        <v>2358</v>
      </c>
      <c r="C102" s="35">
        <v>7802348846</v>
      </c>
      <c r="D102" s="35">
        <v>997350001</v>
      </c>
      <c r="E102" t="s">
        <v>2359</v>
      </c>
      <c r="F102" t="s">
        <v>42</v>
      </c>
      <c r="G102">
        <v>1</v>
      </c>
    </row>
    <row r="103" spans="1:7" x14ac:dyDescent="0.25">
      <c r="A103" s="36" t="s">
        <v>2357</v>
      </c>
      <c r="B103" t="s">
        <v>2358</v>
      </c>
      <c r="C103" s="35">
        <v>7802348846</v>
      </c>
      <c r="D103" s="35">
        <v>997350001</v>
      </c>
      <c r="E103" t="s">
        <v>2359</v>
      </c>
      <c r="F103" t="s">
        <v>42</v>
      </c>
      <c r="G103">
        <v>1</v>
      </c>
    </row>
    <row r="104" spans="1:7" x14ac:dyDescent="0.25">
      <c r="A104" s="37" t="s">
        <v>2360</v>
      </c>
      <c r="B104" t="s">
        <v>40</v>
      </c>
      <c r="C104">
        <v>7802348846</v>
      </c>
      <c r="D104">
        <v>997350001</v>
      </c>
      <c r="E104" t="s">
        <v>41</v>
      </c>
      <c r="F104" t="s">
        <v>42</v>
      </c>
      <c r="G104">
        <v>1</v>
      </c>
    </row>
    <row r="105" spans="1:7" ht="60" x14ac:dyDescent="0.25">
      <c r="A105" s="36" t="s">
        <v>2361</v>
      </c>
      <c r="B105" t="s">
        <v>40</v>
      </c>
      <c r="C105">
        <v>7802348846</v>
      </c>
      <c r="D105">
        <v>997350001</v>
      </c>
      <c r="E105" t="s">
        <v>41</v>
      </c>
      <c r="F105" t="s">
        <v>42</v>
      </c>
      <c r="G105">
        <v>1</v>
      </c>
    </row>
    <row r="106" spans="1:7" ht="60" x14ac:dyDescent="0.25">
      <c r="A106" s="37" t="s">
        <v>2362</v>
      </c>
      <c r="B106" t="s">
        <v>40</v>
      </c>
      <c r="C106">
        <v>7802348846</v>
      </c>
      <c r="D106">
        <v>997350001</v>
      </c>
      <c r="E106" t="s">
        <v>41</v>
      </c>
      <c r="F106" t="s">
        <v>42</v>
      </c>
      <c r="G106">
        <v>1</v>
      </c>
    </row>
    <row r="107" spans="1:7" ht="60" x14ac:dyDescent="0.25">
      <c r="A107" s="36" t="s">
        <v>2363</v>
      </c>
      <c r="B107" t="s">
        <v>40</v>
      </c>
      <c r="C107">
        <v>7802348846</v>
      </c>
      <c r="D107">
        <v>997350001</v>
      </c>
      <c r="E107" t="s">
        <v>41</v>
      </c>
      <c r="F107" t="s">
        <v>42</v>
      </c>
      <c r="G107">
        <v>1</v>
      </c>
    </row>
    <row r="108" spans="1:7" x14ac:dyDescent="0.25">
      <c r="A108" s="37" t="s">
        <v>2364</v>
      </c>
      <c r="B108" t="s">
        <v>40</v>
      </c>
      <c r="C108">
        <v>7802348846</v>
      </c>
      <c r="D108">
        <v>997350001</v>
      </c>
      <c r="E108" t="s">
        <v>41</v>
      </c>
      <c r="F108" t="s">
        <v>42</v>
      </c>
      <c r="G108">
        <v>1</v>
      </c>
    </row>
    <row r="109" spans="1:7" x14ac:dyDescent="0.25">
      <c r="A109" s="36" t="s">
        <v>2365</v>
      </c>
      <c r="B109" t="s">
        <v>40</v>
      </c>
      <c r="C109">
        <v>7802348846</v>
      </c>
      <c r="D109">
        <v>997350001</v>
      </c>
      <c r="E109" t="s">
        <v>41</v>
      </c>
      <c r="F109" t="s">
        <v>42</v>
      </c>
      <c r="G109">
        <v>1</v>
      </c>
    </row>
    <row r="110" spans="1:7" x14ac:dyDescent="0.25">
      <c r="A110" s="37" t="s">
        <v>2366</v>
      </c>
      <c r="B110" t="s">
        <v>40</v>
      </c>
      <c r="C110">
        <v>7802348846</v>
      </c>
      <c r="D110">
        <v>997350001</v>
      </c>
      <c r="E110" t="s">
        <v>41</v>
      </c>
      <c r="F110" t="s">
        <v>42</v>
      </c>
      <c r="G110">
        <v>1</v>
      </c>
    </row>
    <row r="111" spans="1:7" ht="13.5" customHeight="1" x14ac:dyDescent="0.25">
      <c r="A111" s="36" t="s">
        <v>2367</v>
      </c>
      <c r="B111" t="s">
        <v>40</v>
      </c>
      <c r="C111">
        <v>7802348846</v>
      </c>
      <c r="D111">
        <v>997350001</v>
      </c>
      <c r="E111" t="s">
        <v>41</v>
      </c>
      <c r="F111" t="s">
        <v>42</v>
      </c>
      <c r="G111">
        <v>1</v>
      </c>
    </row>
    <row r="112" spans="1:7" x14ac:dyDescent="0.25">
      <c r="A112" s="37" t="s">
        <v>2368</v>
      </c>
      <c r="B112" t="s">
        <v>40</v>
      </c>
      <c r="C112">
        <v>7802348846</v>
      </c>
      <c r="D112">
        <v>997350001</v>
      </c>
      <c r="E112" t="s">
        <v>41</v>
      </c>
      <c r="F112" t="s">
        <v>42</v>
      </c>
      <c r="G112">
        <v>1</v>
      </c>
    </row>
    <row r="113" spans="1:7" x14ac:dyDescent="0.25">
      <c r="A113" s="36" t="s">
        <v>2369</v>
      </c>
      <c r="B113" t="s">
        <v>40</v>
      </c>
      <c r="C113">
        <v>7802348846</v>
      </c>
      <c r="D113">
        <v>997350001</v>
      </c>
      <c r="E113" t="s">
        <v>41</v>
      </c>
      <c r="F113" t="s">
        <v>42</v>
      </c>
      <c r="G113">
        <v>1</v>
      </c>
    </row>
    <row r="114" spans="1:7" ht="30" x14ac:dyDescent="0.25">
      <c r="A114" s="37" t="s">
        <v>2370</v>
      </c>
      <c r="B114" t="s">
        <v>40</v>
      </c>
      <c r="C114">
        <v>7802348846</v>
      </c>
      <c r="D114">
        <v>997350001</v>
      </c>
      <c r="E114" t="s">
        <v>41</v>
      </c>
      <c r="F114" t="s">
        <v>42</v>
      </c>
      <c r="G114">
        <v>1</v>
      </c>
    </row>
    <row r="115" spans="1:7" x14ac:dyDescent="0.25">
      <c r="A115" s="36" t="s">
        <v>2371</v>
      </c>
      <c r="B115" t="s">
        <v>40</v>
      </c>
      <c r="C115">
        <v>7802348846</v>
      </c>
      <c r="D115">
        <v>997350001</v>
      </c>
      <c r="E115" t="s">
        <v>41</v>
      </c>
      <c r="F115" t="s">
        <v>42</v>
      </c>
      <c r="G115">
        <v>1</v>
      </c>
    </row>
    <row r="116" spans="1:7" ht="30" x14ac:dyDescent="0.25">
      <c r="A116" s="37" t="s">
        <v>2372</v>
      </c>
      <c r="B116" t="s">
        <v>40</v>
      </c>
      <c r="C116">
        <v>7802348846</v>
      </c>
      <c r="D116">
        <v>997350001</v>
      </c>
      <c r="E116" t="s">
        <v>41</v>
      </c>
      <c r="F116" t="s">
        <v>42</v>
      </c>
      <c r="G116">
        <v>1</v>
      </c>
    </row>
    <row r="117" spans="1:7" ht="30" x14ac:dyDescent="0.25">
      <c r="A117" s="36" t="s">
        <v>2373</v>
      </c>
      <c r="B117" t="s">
        <v>40</v>
      </c>
      <c r="C117">
        <v>7802348846</v>
      </c>
      <c r="D117">
        <v>997350001</v>
      </c>
      <c r="E117" t="s">
        <v>41</v>
      </c>
      <c r="F117" t="s">
        <v>42</v>
      </c>
      <c r="G117">
        <v>1</v>
      </c>
    </row>
    <row r="118" spans="1:7" ht="30" x14ac:dyDescent="0.25">
      <c r="A118" s="37" t="s">
        <v>2374</v>
      </c>
      <c r="B118" t="s">
        <v>40</v>
      </c>
      <c r="C118">
        <v>7802348846</v>
      </c>
      <c r="D118">
        <v>997350001</v>
      </c>
      <c r="E118" t="s">
        <v>41</v>
      </c>
      <c r="F118" t="s">
        <v>42</v>
      </c>
      <c r="G118">
        <v>1</v>
      </c>
    </row>
    <row r="119" spans="1:7" x14ac:dyDescent="0.25">
      <c r="A119" s="36" t="s">
        <v>2375</v>
      </c>
      <c r="B119" t="s">
        <v>40</v>
      </c>
      <c r="C119">
        <v>7802348846</v>
      </c>
      <c r="D119">
        <v>997350001</v>
      </c>
      <c r="E119" t="s">
        <v>41</v>
      </c>
      <c r="F119" t="s">
        <v>42</v>
      </c>
      <c r="G119">
        <v>1</v>
      </c>
    </row>
    <row r="120" spans="1:7" x14ac:dyDescent="0.25">
      <c r="A120" s="37" t="s">
        <v>2376</v>
      </c>
      <c r="B120" t="s">
        <v>40</v>
      </c>
      <c r="C120">
        <v>7802348846</v>
      </c>
      <c r="D120">
        <v>997350001</v>
      </c>
      <c r="E120" t="s">
        <v>41</v>
      </c>
      <c r="F120" t="s">
        <v>42</v>
      </c>
      <c r="G120">
        <v>1</v>
      </c>
    </row>
    <row r="121" spans="1:7" x14ac:dyDescent="0.25">
      <c r="A121" s="36" t="s">
        <v>2377</v>
      </c>
      <c r="B121" t="s">
        <v>43</v>
      </c>
      <c r="C121">
        <v>7802348846</v>
      </c>
      <c r="D121">
        <v>997350001</v>
      </c>
      <c r="E121" t="s">
        <v>44</v>
      </c>
      <c r="F121" t="s">
        <v>42</v>
      </c>
      <c r="G121">
        <v>2</v>
      </c>
    </row>
    <row r="122" spans="1:7" x14ac:dyDescent="0.25">
      <c r="A122" s="37" t="s">
        <v>2378</v>
      </c>
      <c r="B122" t="s">
        <v>43</v>
      </c>
      <c r="C122">
        <v>7802348846</v>
      </c>
      <c r="D122">
        <v>997350001</v>
      </c>
      <c r="E122" t="s">
        <v>44</v>
      </c>
      <c r="F122" t="s">
        <v>42</v>
      </c>
      <c r="G122">
        <v>2</v>
      </c>
    </row>
    <row r="123" spans="1:7" x14ac:dyDescent="0.25">
      <c r="A123" s="36" t="s">
        <v>2379</v>
      </c>
      <c r="B123" t="s">
        <v>43</v>
      </c>
      <c r="C123">
        <v>7802348846</v>
      </c>
      <c r="D123">
        <v>997350001</v>
      </c>
      <c r="E123" t="s">
        <v>44</v>
      </c>
      <c r="F123" t="s">
        <v>42</v>
      </c>
      <c r="G123">
        <v>2</v>
      </c>
    </row>
    <row r="124" spans="1:7" x14ac:dyDescent="0.25">
      <c r="A124" s="37" t="s">
        <v>2380</v>
      </c>
      <c r="B124" t="s">
        <v>43</v>
      </c>
      <c r="C124">
        <v>7802348846</v>
      </c>
      <c r="D124">
        <v>997350001</v>
      </c>
      <c r="E124" t="s">
        <v>44</v>
      </c>
      <c r="F124" t="s">
        <v>42</v>
      </c>
      <c r="G124">
        <v>2</v>
      </c>
    </row>
    <row r="125" spans="1:7" x14ac:dyDescent="0.25">
      <c r="A125" s="36" t="s">
        <v>2381</v>
      </c>
      <c r="B125" t="s">
        <v>43</v>
      </c>
      <c r="C125">
        <v>7802348846</v>
      </c>
      <c r="D125">
        <v>997350001</v>
      </c>
      <c r="E125" t="s">
        <v>44</v>
      </c>
      <c r="F125" t="s">
        <v>42</v>
      </c>
      <c r="G125">
        <v>2</v>
      </c>
    </row>
    <row r="126" spans="1:7" x14ac:dyDescent="0.25">
      <c r="A126" s="37" t="s">
        <v>2387</v>
      </c>
      <c r="B126" t="s">
        <v>49</v>
      </c>
      <c r="C126">
        <v>7802348846</v>
      </c>
      <c r="D126">
        <v>997350001</v>
      </c>
      <c r="E126" t="s">
        <v>50</v>
      </c>
      <c r="F126" t="s">
        <v>51</v>
      </c>
      <c r="G126">
        <v>2</v>
      </c>
    </row>
    <row r="127" spans="1:7" x14ac:dyDescent="0.25">
      <c r="A127" s="36" t="s">
        <v>2386</v>
      </c>
      <c r="B127" t="s">
        <v>49</v>
      </c>
      <c r="C127">
        <v>7802348846</v>
      </c>
      <c r="D127">
        <v>997350001</v>
      </c>
      <c r="E127" t="s">
        <v>50</v>
      </c>
      <c r="F127" t="s">
        <v>51</v>
      </c>
      <c r="G127">
        <v>2</v>
      </c>
    </row>
    <row r="128" spans="1:7" x14ac:dyDescent="0.25">
      <c r="A128" s="37" t="s">
        <v>2385</v>
      </c>
      <c r="B128" t="s">
        <v>49</v>
      </c>
      <c r="C128">
        <v>7802348846</v>
      </c>
      <c r="D128">
        <v>997350001</v>
      </c>
      <c r="E128" t="s">
        <v>50</v>
      </c>
      <c r="F128" t="s">
        <v>51</v>
      </c>
      <c r="G128">
        <v>2</v>
      </c>
    </row>
    <row r="129" spans="1:7" x14ac:dyDescent="0.25">
      <c r="A129" s="36" t="s">
        <v>2384</v>
      </c>
      <c r="B129" t="s">
        <v>49</v>
      </c>
      <c r="C129">
        <v>7802348846</v>
      </c>
      <c r="D129">
        <v>997350001</v>
      </c>
      <c r="E129" t="s">
        <v>50</v>
      </c>
      <c r="F129" t="s">
        <v>51</v>
      </c>
      <c r="G129">
        <v>2</v>
      </c>
    </row>
    <row r="130" spans="1:7" x14ac:dyDescent="0.25">
      <c r="A130" s="37" t="s">
        <v>2383</v>
      </c>
      <c r="B130" t="s">
        <v>49</v>
      </c>
      <c r="C130">
        <v>7802348846</v>
      </c>
      <c r="D130">
        <v>997350001</v>
      </c>
      <c r="E130" t="s">
        <v>50</v>
      </c>
      <c r="F130" t="s">
        <v>51</v>
      </c>
      <c r="G130">
        <v>2</v>
      </c>
    </row>
    <row r="131" spans="1:7" x14ac:dyDescent="0.25">
      <c r="A131" s="36" t="s">
        <v>2382</v>
      </c>
      <c r="B131" t="s">
        <v>49</v>
      </c>
      <c r="C131">
        <v>7802348846</v>
      </c>
      <c r="D131">
        <v>997350001</v>
      </c>
      <c r="E131" t="s">
        <v>50</v>
      </c>
      <c r="F131" t="s">
        <v>51</v>
      </c>
      <c r="G131">
        <v>2</v>
      </c>
    </row>
    <row r="132" spans="1:7" x14ac:dyDescent="0.25">
      <c r="A132" s="37" t="s">
        <v>2388</v>
      </c>
      <c r="B132" t="s">
        <v>47</v>
      </c>
      <c r="C132">
        <v>7802348846</v>
      </c>
      <c r="D132">
        <v>997350001</v>
      </c>
      <c r="E132" t="s">
        <v>48</v>
      </c>
      <c r="F132" t="s">
        <v>42</v>
      </c>
      <c r="G132">
        <v>2</v>
      </c>
    </row>
    <row r="133" spans="1:7" x14ac:dyDescent="0.25">
      <c r="A133" s="36" t="s">
        <v>2390</v>
      </c>
      <c r="B133" t="s">
        <v>47</v>
      </c>
      <c r="C133">
        <v>7802348846</v>
      </c>
      <c r="D133">
        <v>997350001</v>
      </c>
      <c r="E133" t="s">
        <v>48</v>
      </c>
      <c r="F133" t="s">
        <v>42</v>
      </c>
      <c r="G133">
        <v>2</v>
      </c>
    </row>
    <row r="134" spans="1:7" x14ac:dyDescent="0.25">
      <c r="A134" s="37" t="s">
        <v>2407</v>
      </c>
      <c r="B134" t="s">
        <v>47</v>
      </c>
      <c r="C134">
        <v>7802348846</v>
      </c>
      <c r="D134">
        <v>997350001</v>
      </c>
      <c r="E134" t="s">
        <v>48</v>
      </c>
      <c r="F134" t="s">
        <v>42</v>
      </c>
      <c r="G134">
        <v>2</v>
      </c>
    </row>
    <row r="135" spans="1:7" x14ac:dyDescent="0.25">
      <c r="A135" s="36" t="s">
        <v>2391</v>
      </c>
      <c r="B135" t="s">
        <v>47</v>
      </c>
      <c r="C135">
        <v>7802348846</v>
      </c>
      <c r="D135">
        <v>997350001</v>
      </c>
      <c r="E135" t="s">
        <v>48</v>
      </c>
      <c r="F135" t="s">
        <v>42</v>
      </c>
      <c r="G135">
        <v>2</v>
      </c>
    </row>
    <row r="136" spans="1:7" x14ac:dyDescent="0.25">
      <c r="A136" s="37" t="s">
        <v>2392</v>
      </c>
      <c r="B136" t="s">
        <v>47</v>
      </c>
      <c r="C136">
        <v>7802348846</v>
      </c>
      <c r="D136">
        <v>997350001</v>
      </c>
      <c r="E136" t="s">
        <v>48</v>
      </c>
      <c r="F136" t="s">
        <v>42</v>
      </c>
      <c r="G136">
        <v>2</v>
      </c>
    </row>
    <row r="137" spans="1:7" x14ac:dyDescent="0.25">
      <c r="A137" s="36" t="s">
        <v>2393</v>
      </c>
      <c r="B137" t="s">
        <v>47</v>
      </c>
      <c r="C137">
        <v>7802348846</v>
      </c>
      <c r="D137">
        <v>997350001</v>
      </c>
      <c r="E137" t="s">
        <v>48</v>
      </c>
      <c r="F137" t="s">
        <v>42</v>
      </c>
      <c r="G137">
        <v>2</v>
      </c>
    </row>
    <row r="138" spans="1:7" x14ac:dyDescent="0.25">
      <c r="A138" s="37" t="s">
        <v>2394</v>
      </c>
      <c r="B138" t="s">
        <v>47</v>
      </c>
      <c r="C138">
        <v>7802348846</v>
      </c>
      <c r="D138">
        <v>997350001</v>
      </c>
      <c r="E138" t="s">
        <v>48</v>
      </c>
      <c r="F138" t="s">
        <v>42</v>
      </c>
      <c r="G138">
        <v>2</v>
      </c>
    </row>
    <row r="139" spans="1:7" x14ac:dyDescent="0.25">
      <c r="A139" s="36" t="s">
        <v>2395</v>
      </c>
      <c r="B139" t="s">
        <v>47</v>
      </c>
      <c r="C139">
        <v>7802348846</v>
      </c>
      <c r="D139">
        <v>997350001</v>
      </c>
      <c r="E139" t="s">
        <v>48</v>
      </c>
      <c r="F139" t="s">
        <v>42</v>
      </c>
      <c r="G139">
        <v>2</v>
      </c>
    </row>
    <row r="140" spans="1:7" x14ac:dyDescent="0.25">
      <c r="A140" s="37" t="s">
        <v>2403</v>
      </c>
      <c r="B140" t="s">
        <v>47</v>
      </c>
      <c r="C140">
        <v>7802348846</v>
      </c>
      <c r="D140">
        <v>997350001</v>
      </c>
      <c r="E140" t="s">
        <v>48</v>
      </c>
      <c r="F140" t="s">
        <v>42</v>
      </c>
      <c r="G140">
        <v>2</v>
      </c>
    </row>
    <row r="141" spans="1:7" x14ac:dyDescent="0.25">
      <c r="A141" s="36" t="s">
        <v>2404</v>
      </c>
      <c r="B141" t="s">
        <v>47</v>
      </c>
      <c r="C141">
        <v>7802348846</v>
      </c>
      <c r="D141">
        <v>997350001</v>
      </c>
      <c r="E141" t="s">
        <v>48</v>
      </c>
      <c r="F141" t="s">
        <v>42</v>
      </c>
      <c r="G141">
        <v>2</v>
      </c>
    </row>
    <row r="142" spans="1:7" x14ac:dyDescent="0.25">
      <c r="A142" s="37" t="s">
        <v>2405</v>
      </c>
      <c r="B142" t="s">
        <v>47</v>
      </c>
      <c r="C142">
        <v>7802348846</v>
      </c>
      <c r="D142">
        <v>997350001</v>
      </c>
      <c r="E142" t="s">
        <v>48</v>
      </c>
      <c r="F142" t="s">
        <v>42</v>
      </c>
      <c r="G142">
        <v>2</v>
      </c>
    </row>
    <row r="143" spans="1:7" x14ac:dyDescent="0.25">
      <c r="A143" s="36" t="s">
        <v>2396</v>
      </c>
      <c r="B143" t="s">
        <v>47</v>
      </c>
      <c r="C143">
        <v>7802348846</v>
      </c>
      <c r="D143">
        <v>997350001</v>
      </c>
      <c r="E143" t="s">
        <v>48</v>
      </c>
      <c r="F143" t="s">
        <v>42</v>
      </c>
      <c r="G143">
        <v>2</v>
      </c>
    </row>
    <row r="144" spans="1:7" x14ac:dyDescent="0.25">
      <c r="A144" s="37" t="s">
        <v>2406</v>
      </c>
      <c r="B144" t="s">
        <v>47</v>
      </c>
      <c r="C144">
        <v>7802348846</v>
      </c>
      <c r="D144">
        <v>997350001</v>
      </c>
      <c r="E144" t="s">
        <v>48</v>
      </c>
      <c r="F144" t="s">
        <v>42</v>
      </c>
      <c r="G144">
        <v>2</v>
      </c>
    </row>
    <row r="145" spans="1:7" x14ac:dyDescent="0.25">
      <c r="A145" s="36" t="s">
        <v>2397</v>
      </c>
      <c r="B145" t="s">
        <v>47</v>
      </c>
      <c r="C145">
        <v>7802348846</v>
      </c>
      <c r="D145">
        <v>997350001</v>
      </c>
      <c r="E145" t="s">
        <v>48</v>
      </c>
      <c r="F145" t="s">
        <v>42</v>
      </c>
      <c r="G145">
        <v>2</v>
      </c>
    </row>
    <row r="146" spans="1:7" x14ac:dyDescent="0.25">
      <c r="A146" s="37" t="s">
        <v>2398</v>
      </c>
      <c r="B146" t="s">
        <v>47</v>
      </c>
      <c r="C146">
        <v>7802348846</v>
      </c>
      <c r="D146">
        <v>997350001</v>
      </c>
      <c r="E146" t="s">
        <v>48</v>
      </c>
      <c r="F146" t="s">
        <v>42</v>
      </c>
      <c r="G146">
        <v>2</v>
      </c>
    </row>
    <row r="147" spans="1:7" x14ac:dyDescent="0.25">
      <c r="A147" s="36" t="s">
        <v>2399</v>
      </c>
      <c r="B147" t="s">
        <v>47</v>
      </c>
      <c r="C147">
        <v>7802348846</v>
      </c>
      <c r="D147">
        <v>997350001</v>
      </c>
      <c r="E147" t="s">
        <v>48</v>
      </c>
      <c r="F147" t="s">
        <v>42</v>
      </c>
      <c r="G147">
        <v>2</v>
      </c>
    </row>
    <row r="148" spans="1:7" x14ac:dyDescent="0.25">
      <c r="A148" s="37" t="s">
        <v>2389</v>
      </c>
      <c r="B148" t="s">
        <v>47</v>
      </c>
      <c r="C148">
        <v>7802348846</v>
      </c>
      <c r="D148">
        <v>997350001</v>
      </c>
      <c r="E148" t="s">
        <v>48</v>
      </c>
      <c r="F148" t="s">
        <v>42</v>
      </c>
      <c r="G148">
        <v>2</v>
      </c>
    </row>
    <row r="149" spans="1:7" x14ac:dyDescent="0.25">
      <c r="A149" s="36" t="s">
        <v>2400</v>
      </c>
      <c r="B149" t="s">
        <v>47</v>
      </c>
      <c r="C149">
        <v>7802348846</v>
      </c>
      <c r="D149">
        <v>997350001</v>
      </c>
      <c r="E149" t="s">
        <v>48</v>
      </c>
      <c r="F149" t="s">
        <v>42</v>
      </c>
      <c r="G149">
        <v>2</v>
      </c>
    </row>
    <row r="150" spans="1:7" x14ac:dyDescent="0.25">
      <c r="A150" s="37" t="s">
        <v>2401</v>
      </c>
      <c r="B150" t="s">
        <v>47</v>
      </c>
      <c r="C150">
        <v>7802348846</v>
      </c>
      <c r="D150">
        <v>997350001</v>
      </c>
      <c r="E150" t="s">
        <v>48</v>
      </c>
      <c r="F150" t="s">
        <v>42</v>
      </c>
      <c r="G150">
        <v>2</v>
      </c>
    </row>
    <row r="151" spans="1:7" x14ac:dyDescent="0.25">
      <c r="A151" s="36" t="s">
        <v>2402</v>
      </c>
      <c r="B151" t="s">
        <v>47</v>
      </c>
      <c r="C151">
        <v>7802348846</v>
      </c>
      <c r="D151">
        <v>997350001</v>
      </c>
      <c r="E151" t="s">
        <v>48</v>
      </c>
      <c r="F151" t="s">
        <v>42</v>
      </c>
      <c r="G151">
        <v>2</v>
      </c>
    </row>
    <row r="152" spans="1:7" x14ac:dyDescent="0.25">
      <c r="A152" s="37" t="s">
        <v>2408</v>
      </c>
      <c r="B152" t="s">
        <v>52</v>
      </c>
      <c r="C152">
        <v>7802348846</v>
      </c>
      <c r="D152">
        <v>997350001</v>
      </c>
      <c r="E152" t="s">
        <v>53</v>
      </c>
      <c r="F152" t="s">
        <v>42</v>
      </c>
      <c r="G152">
        <v>2</v>
      </c>
    </row>
    <row r="153" spans="1:7" x14ac:dyDescent="0.25">
      <c r="A153" s="36" t="s">
        <v>2409</v>
      </c>
      <c r="B153" t="s">
        <v>52</v>
      </c>
      <c r="C153">
        <v>7802348846</v>
      </c>
      <c r="D153">
        <v>997350001</v>
      </c>
      <c r="E153" t="s">
        <v>53</v>
      </c>
      <c r="F153" t="s">
        <v>42</v>
      </c>
      <c r="G153">
        <v>2</v>
      </c>
    </row>
    <row r="154" spans="1:7" x14ac:dyDescent="0.25">
      <c r="A154" s="37" t="s">
        <v>2410</v>
      </c>
      <c r="B154" t="s">
        <v>52</v>
      </c>
      <c r="C154">
        <v>7802348846</v>
      </c>
      <c r="D154">
        <v>997350001</v>
      </c>
      <c r="E154" t="s">
        <v>53</v>
      </c>
      <c r="F154" t="s">
        <v>42</v>
      </c>
      <c r="G154">
        <v>2</v>
      </c>
    </row>
    <row r="155" spans="1:7" x14ac:dyDescent="0.25">
      <c r="A155" s="36" t="s">
        <v>2411</v>
      </c>
      <c r="B155" t="s">
        <v>52</v>
      </c>
      <c r="C155">
        <v>7802348846</v>
      </c>
      <c r="D155">
        <v>997350001</v>
      </c>
      <c r="E155" t="s">
        <v>53</v>
      </c>
      <c r="F155" t="s">
        <v>42</v>
      </c>
      <c r="G155">
        <v>2</v>
      </c>
    </row>
    <row r="156" spans="1:7" x14ac:dyDescent="0.25">
      <c r="A156" s="37" t="s">
        <v>2412</v>
      </c>
      <c r="B156" t="s">
        <v>52</v>
      </c>
      <c r="C156">
        <v>7802348846</v>
      </c>
      <c r="D156">
        <v>997350001</v>
      </c>
      <c r="E156" t="s">
        <v>53</v>
      </c>
      <c r="F156" t="s">
        <v>42</v>
      </c>
      <c r="G156">
        <v>2</v>
      </c>
    </row>
    <row r="157" spans="1:7" x14ac:dyDescent="0.25">
      <c r="A157" s="36" t="s">
        <v>2413</v>
      </c>
      <c r="B157" t="s">
        <v>52</v>
      </c>
      <c r="C157">
        <v>7802348846</v>
      </c>
      <c r="D157">
        <v>997350001</v>
      </c>
      <c r="E157" t="s">
        <v>53</v>
      </c>
      <c r="F157" t="s">
        <v>42</v>
      </c>
      <c r="G157">
        <v>2</v>
      </c>
    </row>
    <row r="158" spans="1:7" x14ac:dyDescent="0.25">
      <c r="A158" s="37" t="s">
        <v>2414</v>
      </c>
      <c r="B158" t="s">
        <v>2415</v>
      </c>
      <c r="C158">
        <v>7723889433</v>
      </c>
      <c r="D158">
        <v>772401001</v>
      </c>
      <c r="E158" t="s">
        <v>2416</v>
      </c>
      <c r="F158" t="s">
        <v>2417</v>
      </c>
      <c r="G158">
        <v>2</v>
      </c>
    </row>
    <row r="159" spans="1:7" x14ac:dyDescent="0.25">
      <c r="A159" s="36" t="s">
        <v>2421</v>
      </c>
      <c r="B159" t="s">
        <v>2418</v>
      </c>
      <c r="C159">
        <v>5838002196</v>
      </c>
      <c r="D159">
        <v>583801001</v>
      </c>
      <c r="E159" t="s">
        <v>2420</v>
      </c>
      <c r="F159" t="s">
        <v>2419</v>
      </c>
      <c r="G159">
        <v>2</v>
      </c>
    </row>
    <row r="160" spans="1:7" x14ac:dyDescent="0.25">
      <c r="A160" s="31"/>
    </row>
    <row r="161" spans="1:1" x14ac:dyDescent="0.25">
      <c r="A161" s="32"/>
    </row>
    <row r="162" spans="1:1" x14ac:dyDescent="0.25">
      <c r="A162" s="31"/>
    </row>
    <row r="163" spans="1:1" x14ac:dyDescent="0.25">
      <c r="A163" s="32"/>
    </row>
    <row r="164" spans="1:1" x14ac:dyDescent="0.25">
      <c r="A164" s="31"/>
    </row>
    <row r="165" spans="1:1" x14ac:dyDescent="0.25">
      <c r="A165" s="32"/>
    </row>
    <row r="166" spans="1:1" x14ac:dyDescent="0.25">
      <c r="A166" s="31"/>
    </row>
    <row r="167" spans="1:1" x14ac:dyDescent="0.25">
      <c r="A167" s="32"/>
    </row>
    <row r="168" spans="1:1" x14ac:dyDescent="0.25">
      <c r="A168" s="31"/>
    </row>
    <row r="169" spans="1:1" x14ac:dyDescent="0.25">
      <c r="A169" s="32"/>
    </row>
    <row r="170" spans="1:1" x14ac:dyDescent="0.25">
      <c r="A170" s="31"/>
    </row>
    <row r="171" spans="1:1" x14ac:dyDescent="0.25">
      <c r="A171" s="32"/>
    </row>
    <row r="172" spans="1:1" x14ac:dyDescent="0.25">
      <c r="A172" s="31"/>
    </row>
    <row r="173" spans="1:1" x14ac:dyDescent="0.25">
      <c r="A173" s="32"/>
    </row>
    <row r="174" spans="1:1" x14ac:dyDescent="0.25">
      <c r="A174" s="31"/>
    </row>
    <row r="175" spans="1:1" x14ac:dyDescent="0.25">
      <c r="A175" s="32"/>
    </row>
    <row r="176" spans="1:1" x14ac:dyDescent="0.25">
      <c r="A176" s="31"/>
    </row>
    <row r="177" spans="1:1" x14ac:dyDescent="0.25">
      <c r="A177" s="32"/>
    </row>
    <row r="178" spans="1:1" x14ac:dyDescent="0.25">
      <c r="A178" s="31"/>
    </row>
    <row r="179" spans="1:1" x14ac:dyDescent="0.25">
      <c r="A179" s="32"/>
    </row>
    <row r="180" spans="1:1" x14ac:dyDescent="0.25">
      <c r="A180" s="31"/>
    </row>
    <row r="181" spans="1:1" x14ac:dyDescent="0.25">
      <c r="A181" s="32"/>
    </row>
    <row r="182" spans="1:1" x14ac:dyDescent="0.25">
      <c r="A182" s="31"/>
    </row>
    <row r="183" spans="1:1" x14ac:dyDescent="0.25">
      <c r="A183" s="32"/>
    </row>
    <row r="184" spans="1:1" x14ac:dyDescent="0.25">
      <c r="A184" s="31"/>
    </row>
    <row r="185" spans="1:1" x14ac:dyDescent="0.25">
      <c r="A185" s="32"/>
    </row>
    <row r="186" spans="1:1" x14ac:dyDescent="0.25">
      <c r="A186" s="31"/>
    </row>
    <row r="187" spans="1:1" x14ac:dyDescent="0.25">
      <c r="A187" s="32"/>
    </row>
    <row r="188" spans="1:1" x14ac:dyDescent="0.25">
      <c r="A188" s="31"/>
    </row>
    <row r="189" spans="1:1" x14ac:dyDescent="0.25">
      <c r="A189" s="32"/>
    </row>
    <row r="190" spans="1:1" x14ac:dyDescent="0.25">
      <c r="A190" s="31"/>
    </row>
    <row r="191" spans="1:1" x14ac:dyDescent="0.25">
      <c r="A191" s="32"/>
    </row>
    <row r="192" spans="1:1" x14ac:dyDescent="0.25">
      <c r="A192" s="31"/>
    </row>
    <row r="193" spans="1:1" x14ac:dyDescent="0.25">
      <c r="A193" s="32"/>
    </row>
    <row r="194" spans="1:1" x14ac:dyDescent="0.25">
      <c r="A194" s="31"/>
    </row>
    <row r="195" spans="1:1" x14ac:dyDescent="0.25">
      <c r="A195" s="32"/>
    </row>
    <row r="196" spans="1:1" x14ac:dyDescent="0.25">
      <c r="A196" s="31"/>
    </row>
    <row r="197" spans="1:1" x14ac:dyDescent="0.25">
      <c r="A197" s="32"/>
    </row>
    <row r="198" spans="1:1" x14ac:dyDescent="0.25">
      <c r="A198" s="31"/>
    </row>
    <row r="199" spans="1:1" x14ac:dyDescent="0.25">
      <c r="A199" s="32"/>
    </row>
    <row r="200" spans="1:1" x14ac:dyDescent="0.25">
      <c r="A200" s="31"/>
    </row>
    <row r="201" spans="1:1" x14ac:dyDescent="0.25">
      <c r="A201" s="32"/>
    </row>
    <row r="202" spans="1:1" x14ac:dyDescent="0.25">
      <c r="A202" s="31"/>
    </row>
    <row r="203" spans="1:1" x14ac:dyDescent="0.25">
      <c r="A203" s="32"/>
    </row>
    <row r="204" spans="1:1" x14ac:dyDescent="0.25">
      <c r="A204" s="31"/>
    </row>
    <row r="205" spans="1:1" x14ac:dyDescent="0.25">
      <c r="A205" s="32"/>
    </row>
    <row r="206" spans="1:1" x14ac:dyDescent="0.25">
      <c r="A206" s="31"/>
    </row>
    <row r="207" spans="1:1" x14ac:dyDescent="0.25">
      <c r="A207" s="32"/>
    </row>
    <row r="208" spans="1:1" x14ac:dyDescent="0.25">
      <c r="A208" s="31"/>
    </row>
    <row r="209" spans="1:1" x14ac:dyDescent="0.25">
      <c r="A209" s="32"/>
    </row>
    <row r="210" spans="1:1" x14ac:dyDescent="0.25">
      <c r="A210" s="31"/>
    </row>
    <row r="211" spans="1:1" x14ac:dyDescent="0.25">
      <c r="A211" s="32"/>
    </row>
    <row r="212" spans="1:1" x14ac:dyDescent="0.25">
      <c r="A212" s="31"/>
    </row>
    <row r="213" spans="1:1" x14ac:dyDescent="0.25">
      <c r="A213" s="32"/>
    </row>
    <row r="214" spans="1:1" x14ac:dyDescent="0.25">
      <c r="A214" s="31"/>
    </row>
    <row r="215" spans="1:1" x14ac:dyDescent="0.25">
      <c r="A215" s="32"/>
    </row>
    <row r="216" spans="1:1" x14ac:dyDescent="0.25">
      <c r="A216" s="31"/>
    </row>
    <row r="217" spans="1:1" x14ac:dyDescent="0.25">
      <c r="A217" s="32"/>
    </row>
    <row r="218" spans="1:1" x14ac:dyDescent="0.25">
      <c r="A218" s="31"/>
    </row>
    <row r="219" spans="1:1" x14ac:dyDescent="0.25">
      <c r="A219" s="32"/>
    </row>
    <row r="220" spans="1:1" x14ac:dyDescent="0.25">
      <c r="A220" s="31"/>
    </row>
    <row r="221" spans="1:1" x14ac:dyDescent="0.25">
      <c r="A221" s="32"/>
    </row>
    <row r="222" spans="1:1" x14ac:dyDescent="0.25">
      <c r="A222" s="31"/>
    </row>
    <row r="223" spans="1:1" x14ac:dyDescent="0.25">
      <c r="A223" s="32"/>
    </row>
    <row r="224" spans="1:1" x14ac:dyDescent="0.25">
      <c r="A224" s="31"/>
    </row>
    <row r="225" spans="1:1" x14ac:dyDescent="0.25">
      <c r="A225" s="32"/>
    </row>
    <row r="226" spans="1:1" x14ac:dyDescent="0.25">
      <c r="A226" s="31"/>
    </row>
    <row r="227" spans="1:1" x14ac:dyDescent="0.25">
      <c r="A227" s="32"/>
    </row>
    <row r="228" spans="1:1" x14ac:dyDescent="0.25">
      <c r="A228" s="31"/>
    </row>
    <row r="229" spans="1:1" x14ac:dyDescent="0.25">
      <c r="A229" s="32"/>
    </row>
    <row r="230" spans="1:1" x14ac:dyDescent="0.25">
      <c r="A230" s="31"/>
    </row>
    <row r="231" spans="1:1" x14ac:dyDescent="0.25">
      <c r="A231" s="32"/>
    </row>
    <row r="232" spans="1:1" x14ac:dyDescent="0.25">
      <c r="A232" s="31"/>
    </row>
    <row r="233" spans="1:1" x14ac:dyDescent="0.25">
      <c r="A233" s="32"/>
    </row>
    <row r="234" spans="1:1" x14ac:dyDescent="0.25">
      <c r="A234" s="31"/>
    </row>
    <row r="235" spans="1:1" x14ac:dyDescent="0.25">
      <c r="A235" s="32"/>
    </row>
    <row r="236" spans="1:1" x14ac:dyDescent="0.25">
      <c r="A236" s="31"/>
    </row>
    <row r="237" spans="1:1" x14ac:dyDescent="0.25">
      <c r="A237" s="32"/>
    </row>
    <row r="238" spans="1:1" x14ac:dyDescent="0.25">
      <c r="A238" s="31"/>
    </row>
    <row r="239" spans="1:1" x14ac:dyDescent="0.25">
      <c r="A239" s="32"/>
    </row>
    <row r="240" spans="1:1" x14ac:dyDescent="0.25">
      <c r="A240" s="31"/>
    </row>
    <row r="241" spans="1:1" x14ac:dyDescent="0.25">
      <c r="A241" s="32"/>
    </row>
    <row r="242" spans="1:1" x14ac:dyDescent="0.25">
      <c r="A242" s="31"/>
    </row>
    <row r="243" spans="1:1" x14ac:dyDescent="0.25">
      <c r="A243" s="32"/>
    </row>
    <row r="244" spans="1:1" x14ac:dyDescent="0.25">
      <c r="A244" s="31"/>
    </row>
    <row r="245" spans="1:1" x14ac:dyDescent="0.25">
      <c r="A245" s="32"/>
    </row>
    <row r="246" spans="1:1" x14ac:dyDescent="0.25">
      <c r="A246" s="31"/>
    </row>
    <row r="247" spans="1:1" x14ac:dyDescent="0.25">
      <c r="A247" s="32"/>
    </row>
    <row r="248" spans="1:1" x14ac:dyDescent="0.25">
      <c r="A248" s="31"/>
    </row>
    <row r="249" spans="1:1" x14ac:dyDescent="0.25">
      <c r="A249" s="32"/>
    </row>
    <row r="250" spans="1:1" x14ac:dyDescent="0.25">
      <c r="A250" s="31"/>
    </row>
    <row r="251" spans="1:1" x14ac:dyDescent="0.25">
      <c r="A251" s="32"/>
    </row>
    <row r="252" spans="1:1" x14ac:dyDescent="0.25">
      <c r="A252" s="31"/>
    </row>
    <row r="253" spans="1:1" x14ac:dyDescent="0.25">
      <c r="A253" s="32"/>
    </row>
    <row r="254" spans="1:1" x14ac:dyDescent="0.25">
      <c r="A254" s="31"/>
    </row>
    <row r="255" spans="1:1" x14ac:dyDescent="0.25">
      <c r="A255" s="32"/>
    </row>
    <row r="256" spans="1:1" x14ac:dyDescent="0.25">
      <c r="A256" s="31"/>
    </row>
    <row r="257" spans="1:1" x14ac:dyDescent="0.25">
      <c r="A257" s="32"/>
    </row>
    <row r="258" spans="1:1" x14ac:dyDescent="0.25">
      <c r="A258" s="31"/>
    </row>
    <row r="259" spans="1:1" x14ac:dyDescent="0.25">
      <c r="A259" s="32"/>
    </row>
    <row r="260" spans="1:1" x14ac:dyDescent="0.25">
      <c r="A260" s="31"/>
    </row>
    <row r="261" spans="1:1" x14ac:dyDescent="0.25">
      <c r="A261" s="32"/>
    </row>
    <row r="262" spans="1:1" x14ac:dyDescent="0.25">
      <c r="A262" s="31"/>
    </row>
    <row r="263" spans="1:1" x14ac:dyDescent="0.25">
      <c r="A263" s="32"/>
    </row>
    <row r="264" spans="1:1" x14ac:dyDescent="0.25">
      <c r="A264" s="31"/>
    </row>
    <row r="265" spans="1:1" x14ac:dyDescent="0.25">
      <c r="A265" s="32"/>
    </row>
    <row r="266" spans="1:1" x14ac:dyDescent="0.25">
      <c r="A266" s="31"/>
    </row>
    <row r="267" spans="1:1" x14ac:dyDescent="0.25">
      <c r="A267" s="32"/>
    </row>
    <row r="268" spans="1:1" x14ac:dyDescent="0.25">
      <c r="A268" s="31"/>
    </row>
    <row r="269" spans="1:1" x14ac:dyDescent="0.25">
      <c r="A269" s="32"/>
    </row>
    <row r="270" spans="1:1" x14ac:dyDescent="0.25">
      <c r="A270" s="31"/>
    </row>
    <row r="271" spans="1:1" x14ac:dyDescent="0.25">
      <c r="A271" s="32"/>
    </row>
    <row r="272" spans="1:1" x14ac:dyDescent="0.25">
      <c r="A272" s="31"/>
    </row>
    <row r="273" spans="1:1" x14ac:dyDescent="0.25">
      <c r="A273" s="32"/>
    </row>
    <row r="274" spans="1:1" x14ac:dyDescent="0.25">
      <c r="A274" s="31"/>
    </row>
    <row r="275" spans="1:1" x14ac:dyDescent="0.25">
      <c r="A275" s="32"/>
    </row>
    <row r="276" spans="1:1" x14ac:dyDescent="0.25">
      <c r="A276" s="31"/>
    </row>
    <row r="277" spans="1:1" x14ac:dyDescent="0.25">
      <c r="A277" s="32"/>
    </row>
    <row r="278" spans="1:1" x14ac:dyDescent="0.25">
      <c r="A278" s="31"/>
    </row>
    <row r="279" spans="1:1" x14ac:dyDescent="0.25">
      <c r="A279" s="32"/>
    </row>
    <row r="280" spans="1:1" x14ac:dyDescent="0.25">
      <c r="A280" s="31"/>
    </row>
    <row r="281" spans="1:1" x14ac:dyDescent="0.25">
      <c r="A281" s="32"/>
    </row>
    <row r="282" spans="1:1" x14ac:dyDescent="0.25">
      <c r="A282" s="31"/>
    </row>
    <row r="283" spans="1:1" x14ac:dyDescent="0.25">
      <c r="A283" s="32"/>
    </row>
    <row r="284" spans="1:1" x14ac:dyDescent="0.25">
      <c r="A284" s="31"/>
    </row>
    <row r="285" spans="1:1" x14ac:dyDescent="0.25">
      <c r="A285" s="32"/>
    </row>
    <row r="286" spans="1:1" x14ac:dyDescent="0.25">
      <c r="A286" s="31"/>
    </row>
    <row r="287" spans="1:1" x14ac:dyDescent="0.25">
      <c r="A287" s="32"/>
    </row>
    <row r="288" spans="1:1" x14ac:dyDescent="0.25">
      <c r="A288" s="31"/>
    </row>
    <row r="289" spans="1:1" x14ac:dyDescent="0.25">
      <c r="A289" s="32"/>
    </row>
    <row r="290" spans="1:1" x14ac:dyDescent="0.25">
      <c r="A290" s="31"/>
    </row>
    <row r="291" spans="1:1" x14ac:dyDescent="0.25">
      <c r="A291" s="32"/>
    </row>
    <row r="292" spans="1:1" x14ac:dyDescent="0.25">
      <c r="A292" s="31"/>
    </row>
    <row r="293" spans="1:1" x14ac:dyDescent="0.25">
      <c r="A293" s="32"/>
    </row>
    <row r="294" spans="1:1" x14ac:dyDescent="0.25">
      <c r="A294" s="31"/>
    </row>
    <row r="295" spans="1:1" x14ac:dyDescent="0.25">
      <c r="A295" s="32"/>
    </row>
    <row r="296" spans="1:1" x14ac:dyDescent="0.25">
      <c r="A296" s="31"/>
    </row>
    <row r="297" spans="1:1" x14ac:dyDescent="0.25">
      <c r="A297" s="32"/>
    </row>
    <row r="298" spans="1:1" x14ac:dyDescent="0.25">
      <c r="A298" s="31"/>
    </row>
    <row r="299" spans="1:1" x14ac:dyDescent="0.25">
      <c r="A299" s="32"/>
    </row>
    <row r="300" spans="1:1" x14ac:dyDescent="0.25">
      <c r="A300" s="31"/>
    </row>
    <row r="301" spans="1:1" x14ac:dyDescent="0.25">
      <c r="A301" s="32"/>
    </row>
    <row r="302" spans="1:1" x14ac:dyDescent="0.25">
      <c r="A302" s="31"/>
    </row>
    <row r="303" spans="1:1" x14ac:dyDescent="0.25">
      <c r="A303" s="32"/>
    </row>
    <row r="304" spans="1:1" x14ac:dyDescent="0.25">
      <c r="A304" s="31"/>
    </row>
    <row r="305" spans="1:1" x14ac:dyDescent="0.25">
      <c r="A305" s="32"/>
    </row>
    <row r="306" spans="1:1" x14ac:dyDescent="0.25">
      <c r="A306" s="31"/>
    </row>
    <row r="307" spans="1:1" x14ac:dyDescent="0.25">
      <c r="A307" s="32"/>
    </row>
    <row r="308" spans="1:1" x14ac:dyDescent="0.25">
      <c r="A308" s="31"/>
    </row>
    <row r="309" spans="1:1" x14ac:dyDescent="0.25">
      <c r="A309" s="32"/>
    </row>
    <row r="310" spans="1:1" x14ac:dyDescent="0.25">
      <c r="A310" s="31"/>
    </row>
    <row r="311" spans="1:1" x14ac:dyDescent="0.25">
      <c r="A311" s="32"/>
    </row>
    <row r="312" spans="1:1" x14ac:dyDescent="0.25">
      <c r="A312" s="31"/>
    </row>
    <row r="313" spans="1:1" x14ac:dyDescent="0.25">
      <c r="A313" s="32"/>
    </row>
    <row r="314" spans="1:1" x14ac:dyDescent="0.25">
      <c r="A314" s="31"/>
    </row>
    <row r="315" spans="1:1" x14ac:dyDescent="0.25">
      <c r="A315" s="32"/>
    </row>
    <row r="316" spans="1:1" x14ac:dyDescent="0.25">
      <c r="A316" s="31"/>
    </row>
    <row r="317" spans="1:1" x14ac:dyDescent="0.25">
      <c r="A317" s="32"/>
    </row>
    <row r="318" spans="1:1" x14ac:dyDescent="0.25">
      <c r="A318" s="31"/>
    </row>
    <row r="319" spans="1:1" x14ac:dyDescent="0.25">
      <c r="A319" s="32"/>
    </row>
    <row r="320" spans="1:1" x14ac:dyDescent="0.25">
      <c r="A320" s="31"/>
    </row>
    <row r="321" spans="1:1" x14ac:dyDescent="0.25">
      <c r="A321" s="32"/>
    </row>
    <row r="322" spans="1:1" x14ac:dyDescent="0.25">
      <c r="A322" s="31"/>
    </row>
    <row r="323" spans="1:1" x14ac:dyDescent="0.25">
      <c r="A323" s="32"/>
    </row>
    <row r="324" spans="1:1" x14ac:dyDescent="0.25">
      <c r="A324" s="31"/>
    </row>
    <row r="325" spans="1:1" x14ac:dyDescent="0.25">
      <c r="A325" s="32"/>
    </row>
    <row r="326" spans="1:1" x14ac:dyDescent="0.25">
      <c r="A326" s="31"/>
    </row>
    <row r="327" spans="1:1" x14ac:dyDescent="0.25">
      <c r="A327" s="32"/>
    </row>
    <row r="328" spans="1:1" x14ac:dyDescent="0.25">
      <c r="A328" s="31"/>
    </row>
    <row r="329" spans="1:1" x14ac:dyDescent="0.25">
      <c r="A329" s="32"/>
    </row>
    <row r="330" spans="1:1" x14ac:dyDescent="0.25">
      <c r="A330" s="31"/>
    </row>
    <row r="331" spans="1:1" x14ac:dyDescent="0.25">
      <c r="A331" s="32"/>
    </row>
    <row r="332" spans="1:1" x14ac:dyDescent="0.25">
      <c r="A332" s="31"/>
    </row>
    <row r="333" spans="1:1" x14ac:dyDescent="0.25">
      <c r="A333" s="32"/>
    </row>
    <row r="334" spans="1:1" x14ac:dyDescent="0.25">
      <c r="A334" s="31"/>
    </row>
    <row r="335" spans="1:1" x14ac:dyDescent="0.25">
      <c r="A335" s="32"/>
    </row>
    <row r="336" spans="1:1" x14ac:dyDescent="0.25">
      <c r="A336" s="31"/>
    </row>
    <row r="337" spans="1:1" x14ac:dyDescent="0.25">
      <c r="A337" s="32"/>
    </row>
    <row r="338" spans="1:1" x14ac:dyDescent="0.25">
      <c r="A338" s="31"/>
    </row>
    <row r="339" spans="1:1" x14ac:dyDescent="0.25">
      <c r="A339" s="32"/>
    </row>
    <row r="340" spans="1:1" x14ac:dyDescent="0.25">
      <c r="A340" s="31"/>
    </row>
    <row r="341" spans="1:1" x14ac:dyDescent="0.25">
      <c r="A341" s="32"/>
    </row>
    <row r="342" spans="1:1" x14ac:dyDescent="0.25">
      <c r="A342" s="31"/>
    </row>
    <row r="343" spans="1:1" x14ac:dyDescent="0.25">
      <c r="A343" s="32"/>
    </row>
    <row r="1048534" spans="3:15" x14ac:dyDescent="0.25">
      <c r="C1048534" s="26"/>
      <c r="O1048534" t="b">
        <v>1</v>
      </c>
    </row>
  </sheetData>
  <conditionalFormatting sqref="A2:A3">
    <cfRule type="duplicateValues" dxfId="15" priority="21"/>
  </conditionalFormatting>
  <conditionalFormatting sqref="A2:A3">
    <cfRule type="duplicateValues" dxfId="14" priority="9"/>
  </conditionalFormatting>
  <conditionalFormatting sqref="A3">
    <cfRule type="duplicateValues" dxfId="13" priority="6"/>
  </conditionalFormatting>
  <conditionalFormatting sqref="A4:A343">
    <cfRule type="duplicateValues" dxfId="12" priority="5"/>
  </conditionalFormatting>
  <conditionalFormatting sqref="A4:A343">
    <cfRule type="duplicateValues" dxfId="11" priority="4"/>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10" priority="3"/>
  </conditionalFormatting>
  <conditionalFormatting sqref="A2:A1861">
    <cfRule type="duplicateValues" dxfId="9" priority="2"/>
  </conditionalFormatting>
  <conditionalFormatting sqref="A1:A1048576">
    <cfRule type="duplicateValues" dxfId="8"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sqref="A1:A1048576"/>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2334</v>
      </c>
    </row>
  </sheetData>
  <conditionalFormatting sqref="A1:A1048576">
    <cfRule type="duplicateValues" dxfId="16"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2024-03-21T07:50:25Z</dcterms:modified>
</cp:coreProperties>
</file>