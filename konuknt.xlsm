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nikit\OneDrive\Документы\Excel dev\"/>
    </mc:Choice>
  </mc:AlternateContent>
  <bookViews>
    <workbookView xWindow="0" yWindow="0" windowWidth="19200" windowHeight="6930" activeTab="2"/>
  </bookViews>
  <sheets>
    <sheet name="Лист1" sheetId="2" r:id="rId1"/>
    <sheet name="Шапка" sheetId="1" r:id="rId2"/>
    <sheet name="ComboboxProducts" sheetId="3" r:id="rId3"/>
    <sheet name="ComboboxMeasure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2" l="1"/>
  <c r="A17" i="2"/>
  <c r="A16" i="2"/>
  <c r="A15" i="2"/>
  <c r="A14" i="2"/>
</calcChain>
</file>

<file path=xl/sharedStrings.xml><?xml version="1.0" encoding="utf-8"?>
<sst xmlns="http://schemas.openxmlformats.org/spreadsheetml/2006/main" count="395" uniqueCount="157">
  <si>
    <t>г. Мыски, промплощадка Томь-Усинской ГРЭС АО «Кузбассэнерго»</t>
  </si>
  <si>
    <t>(наименование, адрес объекта)</t>
  </si>
  <si>
    <r>
      <t xml:space="preserve">Конъюнктурный анализ 
</t>
    </r>
    <r>
      <rPr>
        <sz val="12"/>
        <rFont val="Times New Roman"/>
        <family val="1"/>
        <charset val="204"/>
      </rPr>
      <t>по выбору поставщиков материалов и оборудования</t>
    </r>
  </si>
  <si>
    <t>«Оснащение помещения маслохозяйства, мазутонасосной № 1, мазутонасосной № 2 ТУ ГРЭС средствами автоматического контроля загазованности» для нужд Томь-Усинской ГРЭС АО «Кузбассэнерго»»</t>
  </si>
  <si>
    <t>(наименование работ)</t>
  </si>
  <si>
    <t>№ п/п</t>
  </si>
  <si>
    <t>Код строительного ресурса</t>
  </si>
  <si>
    <t>Наименование строительного ресурса, затрат</t>
  </si>
  <si>
    <t>Полное наименование строительного ресурса,затрат в обосновывающем документе</t>
  </si>
  <si>
    <t>Ед. изм.</t>
  </si>
  <si>
    <t>Ед. изм. строительного ресурса, затрат в обосновывающем документе</t>
  </si>
  <si>
    <t xml:space="preserve">Текущая отпускная цена за ед. изм. В обосновывающем документе с НДС в руб. </t>
  </si>
  <si>
    <t>Текущая отпускная цена за ед. изм. без НДС в руб. в соответствии с графой 5</t>
  </si>
  <si>
    <t>Стоимость перевозки без НДС в руб. за ед. изм.</t>
  </si>
  <si>
    <t>Заготовительно - складские расходы</t>
  </si>
  <si>
    <t>Сметная цена без НДС в руб. за ед. изм.</t>
  </si>
  <si>
    <t>Год</t>
  </si>
  <si>
    <t>Квартал</t>
  </si>
  <si>
    <t>Наименование производителя/поставщика</t>
  </si>
  <si>
    <t>КПП организации</t>
  </si>
  <si>
    <t>ИНН организации</t>
  </si>
  <si>
    <t>Гиперссылка на веб-сайт
производителя/поставщика</t>
  </si>
  <si>
    <t>Населенный пункт расположения склада
производителя/поставщика</t>
  </si>
  <si>
    <t>Статус организации (производитель(1)/Поставщик (2)</t>
  </si>
  <si>
    <t>Дата коммерческого предложения</t>
  </si>
  <si>
    <t>%</t>
  </si>
  <si>
    <t>руб.</t>
  </si>
  <si>
    <t>Сигнализатор СТМ-30М-10ДЦГ в комплекте</t>
  </si>
  <si>
    <t>ФИЛЬТР ПОГЛОТИТЕЛЬ АГРЕССИВНЫХ ВЕЩЕСТВ И 
КАТАЛИТИЧЕСКИХ ЯДОВ ИБЯЛ.061425.013</t>
  </si>
  <si>
    <t>Вентиль точной регулировки ВТР ИБЯЛ.306577.002</t>
  </si>
  <si>
    <t>Индикатор расхода ИР ИБЯЛ.418622.003</t>
  </si>
  <si>
    <t>УВГ1030Р23Ф000565 Табло светозвуковое
взрывозащищенное 1Ex db e mb IIC T5 Gb, IP66.
24В DC, надпись "ЗАГАЗОВАНО ДВК", цвет букв
белый, цвет подсветки красный.</t>
  </si>
  <si>
    <t xml:space="preserve">УВГ1030Р23Ф000568 Пост управления
взрывозащищенный 1Ex db e IIC T5 Gb IP66
</t>
  </si>
  <si>
    <t xml:space="preserve">УВГ1030Р23Ф000569 Пост управления
пылевлагозащищенный IP66
</t>
  </si>
  <si>
    <t>Табло световое и звуковое ЛЮКС-220-К
Текст надписи «ЗАГАЗОВАНО ДВК ПОРОГ1»</t>
  </si>
  <si>
    <t>Табло световое и звуковое ЛЮКС-220-К
Текст надписи «ЗАГАЗОВАНО ДВК ПОРОГ2»</t>
  </si>
  <si>
    <t>Табло световое и звуковое ЛЮКС-220-К
Текст надписи «Насос отключён».</t>
  </si>
  <si>
    <t>Оповещатель звуковой ED16-22BM 230В EKF PROxima</t>
  </si>
  <si>
    <t xml:space="preserve">УВГ1030Р23Ф000570 Коробка клеммная
взрывозащищенная 1Ex e IIC T6 Gb IP66
</t>
  </si>
  <si>
    <t xml:space="preserve">УВГ1030Р23Ф000571 Коробка клеммная
взрывозащищенная 1Ex e IIC T6 Gb IP66
</t>
  </si>
  <si>
    <t xml:space="preserve">УВГ1030Р23Ф000561 Коробка клеммная
взрывозащищенная 1Ex e IIC T6 Gb IP66
</t>
  </si>
  <si>
    <t xml:space="preserve">УВГ1030Р23Ф000572 Коробка клеммная
взрывозащищенная 1Ex e IIC T6 Gb IP66
</t>
  </si>
  <si>
    <t>Щит автоматики. Габаритные размеры (ВхШхГ,мм): 1600х600х500</t>
  </si>
  <si>
    <t>Щит коммутационный
Габаритные размеры (ВхШхГ,мм): 500х300х220</t>
  </si>
  <si>
    <t>Дин-рейка с насечкой С1, 30х15х16мм</t>
  </si>
  <si>
    <t>Зажим кабельный для С-профиля диам.кабеля 6-14 мм</t>
  </si>
  <si>
    <t>Автоматический выключатель AV-6 2P 16A (С) 6кА</t>
  </si>
  <si>
    <t>Автоматический выключатель AV-6 2P 6A (B) 6кА</t>
  </si>
  <si>
    <t>Проходная клемма 2 точки подключения на 4 кв.мм синяя</t>
  </si>
  <si>
    <t>Заглушка к клемме проходной</t>
  </si>
  <si>
    <t>Фиксатор на DIN-рейку</t>
  </si>
  <si>
    <t>DIN-рейка 20см оцинкованная Высота 35мм</t>
  </si>
  <si>
    <t>Катушка реле 220В AC</t>
  </si>
  <si>
    <t>Розетка реле 95.05 SMA</t>
  </si>
  <si>
    <t>Поверочная газовая смесь ПГС C6H14 (в баллоне из 
углеродистой стали 4 л.) 0,25% об. + воздух</t>
  </si>
  <si>
    <t>Поверочная газовая смесь ПГС C6H14 (в баллоне из 
углеродистой стали 4 л.) 0,475% об. + воздух</t>
  </si>
  <si>
    <t>Поверочная газовая смесь ПГС воздух, кл.1 (в баллоне из углеродистой стали 4 л., ГОСТ 17433-80)</t>
  </si>
  <si>
    <t>Кабель контрольный с изоляцией и оболочкой из ПВХ пластиката пониженной горючести, с низким дымо- газовыделением экранированный	 КГВВзнг(А)-ХЛ 2x1,5</t>
  </si>
  <si>
    <t>Кабель контрольный с изоляцией и оболочкой из ПВХ пластиката пониженной горючести, с низким дымо- газовыделением экранированный	 КГВЭВнг(А)-LS  14х1,5</t>
  </si>
  <si>
    <t>Кабель контрольный с изоляцией и оболочкой из ПВХ пластиката пониженной горючести, с низким дымо- газовыделением экранированный	 КГВЭВнг(А)-LS  4х1,5</t>
  </si>
  <si>
    <t>Кабель контрольный с изоляцией и оболочкой из ПВХ пластиката пониженной горючести, с низким дымо- газовыделением экранированный	 КГВЭВнг(А)-LS  5х1,5</t>
  </si>
  <si>
    <t>Кабель контрольный с изоляцией и оболочкой из ПВХ пластиката пониженной горючести, с низким дымо- газовыделением экранированный	 КГВЭВзнг(А)-ХЛ 4x2.5</t>
  </si>
  <si>
    <t>Провод гибкий (жёлто-зеленый) ПуГВнг(А)-LS 1х6</t>
  </si>
  <si>
    <t>Стяжка нейлоновая неоткрывающаяся 140х2,5 (100 шт)</t>
  </si>
  <si>
    <t>Стяжка нейлоновая неоткрывающаяся 300х3,6</t>
  </si>
  <si>
    <t>Наконечник НШвИ 1,0</t>
  </si>
  <si>
    <t>Бирка кабельная маркировочная – (100 шт.) (номер.211-835)</t>
  </si>
  <si>
    <t>Бирка кабельная маркировочная – (100 шт.) (номер.211-861)</t>
  </si>
  <si>
    <t>Хомут заземления УХЗ (16-25)/W2</t>
  </si>
  <si>
    <t>Стяжки кабельные стальные 	СКС (304) 4,6*500</t>
  </si>
  <si>
    <t>Резьбовой крепежный элемент с внутренней резьбой  У2 IP54 ГОФРОМАТИК 	РКв-20</t>
  </si>
  <si>
    <t>Футорка ¾ НР(ш)х1,2 ВР(г)</t>
  </si>
  <si>
    <t>Муфта вводная МВ алюминиевая 	МВ-20</t>
  </si>
  <si>
    <t>Муфта вводная МВ алюминиевая 	МВ-25</t>
  </si>
  <si>
    <t>Муфта стальная 	Ду 20 (3/4")</t>
  </si>
  <si>
    <t>Угол ВВ  	Ду 20 (3/4")</t>
  </si>
  <si>
    <t>Муфта переходная 	Ду15-Ду20</t>
  </si>
  <si>
    <t>СВ-1-500-СЗ Стойка вертикальная 500 мм  (гор. цинк)</t>
  </si>
  <si>
    <t>КГУ-2-450 Консоль горизонтальная усиленная 450 мм (цинк)</t>
  </si>
  <si>
    <t>К241-2 S1.5 L3000, Z-профиль 32х40х32х1,5 (2-перфорация)</t>
  </si>
  <si>
    <t>Уголок равнополочный 50×50×5мм оцинкованный-31,72 м=3,883 кг/м</t>
  </si>
  <si>
    <t>Свая-стойка винтовая d76 мм h1700 мм (70х70 h200 мм; d76 мм h1500 мм)</t>
  </si>
  <si>
    <t>Оголовок для сваи-стойки винтовой d76 мм 70х70 мм</t>
  </si>
  <si>
    <t>GYROUX GL-150-50 S1.0 L3000, перфокороб замковый</t>
  </si>
  <si>
    <t>GYROUX F-150 S0.8 L3000, крышка замковая</t>
  </si>
  <si>
    <t>DGF90-150-50 S1.0, спуск угловой 90* c крышкой</t>
  </si>
  <si>
    <t>UGF90-150-50 S1.0, подъем угловой 90* c крышкой</t>
  </si>
  <si>
    <t>RGF90-150-50 S1.0, отвод 90* c крышкой</t>
  </si>
  <si>
    <t>РЛ-50, разделитель лотка L3000</t>
  </si>
  <si>
    <t>ЛМ-С40, соединитель малый</t>
  </si>
  <si>
    <t>К1150А, стойка 400 мм</t>
  </si>
  <si>
    <t>К1160А, полка 150 мм</t>
  </si>
  <si>
    <t>К1157, крепление к стене (скоба)</t>
  </si>
  <si>
    <t>Трос стальной оцинкованный d5 мм	DIN 3055</t>
  </si>
  <si>
    <t>Узел крепежа натяжной 	УК-Н-2к</t>
  </si>
  <si>
    <t>Коуш стальной оцинкованный для троса 	DIN 6899</t>
  </si>
  <si>
    <t>Зажим троса u-образный d5 мм 	DIN 741</t>
  </si>
  <si>
    <t>Подвес для крепления кабеля к тросу 160</t>
  </si>
  <si>
    <t>Крюк 	CS 16</t>
  </si>
  <si>
    <t>Талреп (Крюк-кольцо) 	DIN 1480</t>
  </si>
  <si>
    <t>НТМ-РМ10у.1х1/КПГ Кабельная проходка
взрывозащищённая, 1Ex e IIC Gb, IP66, в
составе:
Рама монтажная НТМ-РМ10у.1х1/КПГ -1шт
Рама ответная НТМ-РО10у.1х1 (глубина 100
мм)/КПГ -1шт
Пресс-блок НТМ-ПБ60/КПГ -1шт
Пластина опорная НТМ-ОП60/КПГ -3шт
Лента уплотнительная НТМ-ЛУ -1,5м.
Смазка монтажная НТМ-СМ -1шт
Транзитный модуль НТМ20/3-16/КПГ -9шт.</t>
  </si>
  <si>
    <t>Пена монтажная профессиональная Tytan B1
огнестойкая 750 мл</t>
  </si>
  <si>
    <t>Наименование</t>
  </si>
  <si>
    <t>шт.</t>
  </si>
  <si>
    <t>см.</t>
  </si>
  <si>
    <t>м.</t>
  </si>
  <si>
    <t>мм.</t>
  </si>
  <si>
    <t>км.</t>
  </si>
  <si>
    <t>т.</t>
  </si>
  <si>
    <t>кг.</t>
  </si>
  <si>
    <t>у</t>
  </si>
  <si>
    <t>уц</t>
  </si>
  <si>
    <t>цуа</t>
  </si>
  <si>
    <t>йвц</t>
  </si>
  <si>
    <t>йв</t>
  </si>
  <si>
    <t>вйц</t>
  </si>
  <si>
    <t>йцв</t>
  </si>
  <si>
    <t>вй</t>
  </si>
  <si>
    <t>вйцв</t>
  </si>
  <si>
    <t>й</t>
  </si>
  <si>
    <t>Вйцв</t>
  </si>
  <si>
    <t>вцйцвй</t>
  </si>
  <si>
    <t>йвцйц</t>
  </si>
  <si>
    <t>йвйц</t>
  </si>
  <si>
    <t>вйцйв</t>
  </si>
  <si>
    <t>Компания</t>
  </si>
  <si>
    <t>ФГУП СПО Аналитприбор</t>
  </si>
  <si>
    <t>market@analitpribor-smolensk.ru</t>
  </si>
  <si>
    <t>г.Смоленск</t>
  </si>
  <si>
    <t>ООО ГОРЭЛТЕХ</t>
  </si>
  <si>
    <t>mail@exd.ru</t>
  </si>
  <si>
    <t>г. Санкт-Петербург</t>
  </si>
  <si>
    <t>ООО АВТОМАТИКА ГРУПП</t>
  </si>
  <si>
    <t>info@avtomatikagrupp.ru</t>
  </si>
  <si>
    <t>ООО Минимакс</t>
  </si>
  <si>
    <t>minimaks@minimaks.ru</t>
  </si>
  <si>
    <t>ЭТМ</t>
  </si>
  <si>
    <t>www.etm.ru</t>
  </si>
  <si>
    <t>ПОДОЛЬСККАБЕЛЬ</t>
  </si>
  <si>
    <t>mailto:office@podolskkabel.ru</t>
  </si>
  <si>
    <t>г. Подольск</t>
  </si>
  <si>
    <t>ООО Петрович</t>
  </si>
  <si>
    <t>petrovich.ru</t>
  </si>
  <si>
    <t>ООО Кабельная арматура</t>
  </si>
  <si>
    <t>https://www.zkabel.ru/</t>
  </si>
  <si>
    <t>ООО ЕКА СПБ</t>
  </si>
  <si>
    <t>eka@oooeka.ru</t>
  </si>
  <si>
    <t>Лен. Область</t>
  </si>
  <si>
    <t>ООО Сталь-Про</t>
  </si>
  <si>
    <t>zakaz@stalspb.net</t>
  </si>
  <si>
    <t>ООО СКС</t>
  </si>
  <si>
    <t>info@sks.spb.ru</t>
  </si>
  <si>
    <t>ИНН</t>
  </si>
  <si>
    <t>КПП</t>
  </si>
  <si>
    <t xml:space="preserve">WEB-Адрес </t>
  </si>
  <si>
    <t>Город</t>
  </si>
  <si>
    <t>Производитель/Поставщик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</si>
</sst>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* #,##0.00\ &quot;₽&quot;_-;\-* #,##0.00\ &quot;₽&quot;_-;_-* &quot;-&quot;??\ &quot;₽&quot;_-;_-@_-"/>
  </numFmts>
  <fonts count="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0"/>
      <name val="Times New Roman"/>
      <family val="1"/>
      <charset val="204"/>
    </font>
    <font>
      <sz val="9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14"/>
      <name val="Times New Roman"/>
      <family val="1"/>
      <charset val="204"/>
    </font>
    <font>
      <sz val="12"/>
      <name val="Times New Roman"/>
      <family val="1"/>
      <charset val="204"/>
    </font>
    <font>
      <sz val="1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7">
    <xf numFmtId="0" fontId="0" fillId="0" borderId="0" xfId="0"/>
    <xf numFmtId="49" fontId="2" fillId="0" borderId="0" xfId="0" applyNumberFormat="1" applyFont="1" applyFill="1" applyAlignment="1">
      <alignment horizontal="center" vertical="center" wrapText="1"/>
    </xf>
    <xf numFmtId="0" fontId="3" fillId="0" borderId="0" xfId="0" applyNumberFormat="1" applyFont="1" applyFill="1" applyAlignment="1">
      <alignment horizontal="center" vertical="center"/>
    </xf>
    <xf numFmtId="49" fontId="3" fillId="0" borderId="0" xfId="0" applyNumberFormat="1" applyFont="1" applyFill="1" applyAlignment="1">
      <alignment horizontal="center" vertical="center"/>
    </xf>
    <xf numFmtId="44" fontId="3" fillId="0" borderId="0" xfId="1" applyFont="1" applyFill="1" applyAlignment="1">
      <alignment horizontal="center" vertical="center"/>
    </xf>
    <xf numFmtId="49" fontId="2" fillId="0" borderId="0" xfId="0" applyNumberFormat="1" applyFont="1" applyFill="1" applyBorder="1" applyAlignment="1">
      <alignment horizontal="center" vertical="center" wrapText="1"/>
    </xf>
    <xf numFmtId="0" fontId="2" fillId="0" borderId="0" xfId="0" applyNumberFormat="1" applyFont="1" applyFill="1" applyBorder="1" applyAlignment="1">
      <alignment horizontal="center" vertical="center" wrapText="1"/>
    </xf>
    <xf numFmtId="44" fontId="2" fillId="0" borderId="0" xfId="1" applyFont="1" applyFill="1" applyBorder="1" applyAlignment="1">
      <alignment horizontal="center" vertical="center" wrapText="1"/>
    </xf>
    <xf numFmtId="0" fontId="2" fillId="0" borderId="0" xfId="0" applyNumberFormat="1" applyFont="1" applyFill="1" applyBorder="1" applyAlignment="1">
      <alignment horizontal="center" vertical="center"/>
    </xf>
    <xf numFmtId="49" fontId="7" fillId="0" borderId="0" xfId="0" applyNumberFormat="1" applyFont="1" applyFill="1" applyAlignment="1">
      <alignment horizontal="center" vertical="center"/>
    </xf>
    <xf numFmtId="0" fontId="5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horizontal="center" vertical="center" wrapText="1"/>
    </xf>
    <xf numFmtId="44" fontId="5" fillId="0" borderId="0" xfId="1" applyFont="1" applyFill="1" applyAlignment="1">
      <alignment horizontal="center" vertical="center" wrapText="1"/>
    </xf>
    <xf numFmtId="0" fontId="5" fillId="0" borderId="0" xfId="0" applyNumberFormat="1" applyFont="1" applyFill="1" applyAlignment="1">
      <alignment horizontal="center" vertical="center"/>
    </xf>
    <xf numFmtId="49" fontId="6" fillId="0" borderId="0" xfId="0" applyNumberFormat="1" applyFont="1" applyFill="1" applyBorder="1" applyAlignment="1">
      <alignment horizontal="center" vertical="center" wrapText="1"/>
    </xf>
    <xf numFmtId="0" fontId="6" fillId="0" borderId="0" xfId="0" applyNumberFormat="1" applyFont="1" applyFill="1" applyBorder="1" applyAlignment="1">
      <alignment horizontal="center" vertical="center" wrapText="1"/>
    </xf>
    <xf numFmtId="44" fontId="6" fillId="0" borderId="0" xfId="1" applyFont="1" applyFill="1" applyBorder="1" applyAlignment="1">
      <alignment horizontal="center" vertical="center" wrapText="1"/>
    </xf>
    <xf numFmtId="0" fontId="6" fillId="0" borderId="0" xfId="0" applyNumberFormat="1" applyFont="1" applyFill="1" applyBorder="1" applyAlignment="1">
      <alignment horizontal="center" vertical="center"/>
    </xf>
    <xf numFmtId="44" fontId="7" fillId="0" borderId="3" xfId="1" applyFont="1" applyFill="1" applyBorder="1" applyAlignment="1">
      <alignment horizontal="center" vertical="center" wrapText="1"/>
    </xf>
    <xf numFmtId="49" fontId="7" fillId="0" borderId="3" xfId="0" applyNumberFormat="1" applyFont="1" applyFill="1" applyBorder="1" applyAlignment="1">
      <alignment horizontal="center" vertical="center" wrapText="1"/>
    </xf>
    <xf numFmtId="0" fontId="7" fillId="0" borderId="3" xfId="0" applyNumberFormat="1" applyFont="1" applyFill="1" applyBorder="1" applyAlignment="1">
      <alignment horizontal="center" vertical="center" wrapText="1"/>
    </xf>
    <xf numFmtId="0" fontId="7" fillId="0" borderId="3" xfId="0" applyNumberFormat="1" applyFont="1" applyFill="1" applyBorder="1" applyAlignment="1">
      <alignment horizontal="center" vertical="center"/>
    </xf>
    <xf numFmtId="0" fontId="7" fillId="0" borderId="3" xfId="0" applyNumberFormat="1" applyFont="1" applyFill="1" applyBorder="1" applyAlignment="1">
      <alignment horizontal="center" vertical="center" textRotation="90" wrapText="1"/>
    </xf>
    <xf numFmtId="0" fontId="7" fillId="0" borderId="3" xfId="0" applyNumberFormat="1" applyFont="1" applyFill="1" applyBorder="1" applyAlignment="1">
      <alignment horizontal="center" vertical="center" textRotation="90"/>
    </xf>
    <xf numFmtId="44" fontId="7" fillId="0" borderId="3" xfId="1" applyFont="1" applyFill="1" applyBorder="1" applyAlignment="1">
      <alignment horizontal="center" vertical="center" textRotation="90" wrapText="1"/>
    </xf>
    <xf numFmtId="0" fontId="4" fillId="0" borderId="0" xfId="0" applyNumberFormat="1" applyFont="1" applyFill="1" applyBorder="1" applyAlignment="1">
      <alignment horizontal="center" vertical="center" wrapText="1"/>
    </xf>
    <xf numFmtId="0" fontId="4" fillId="0" borderId="1" xfId="0" applyNumberFormat="1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>
      <alignment horizontal="center" vertical="center" wrapText="1"/>
    </xf>
    <xf numFmtId="0" fontId="5" fillId="0" borderId="0" xfId="0" applyNumberFormat="1" applyFont="1" applyFill="1" applyAlignment="1">
      <alignment horizontal="center" vertical="center" wrapText="1"/>
    </xf>
    <xf numFmtId="0" fontId="6" fillId="0" borderId="1" xfId="0" applyNumberFormat="1" applyFont="1" applyFill="1" applyBorder="1" applyAlignment="1">
      <alignment horizontal="center" vertical="center" wrapText="1"/>
    </xf>
    <xf numFmtId="0" fontId="2" fillId="0" borderId="0" xfId="0" applyNumberFormat="1" applyFont="1" applyFill="1" applyAlignment="1">
      <alignment horizontal="center" vertical="center" wrapText="1"/>
    </xf>
    <xf numFmtId="49" fontId="7" fillId="0" borderId="3" xfId="0" applyNumberFormat="1" applyFont="1" applyFill="1" applyBorder="1" applyAlignment="1">
      <alignment horizontal="center" vertical="center" wrapText="1"/>
    </xf>
    <xf numFmtId="0" fontId="7" fillId="0" borderId="3" xfId="0" applyNumberFormat="1" applyFont="1" applyFill="1" applyBorder="1" applyAlignment="1">
      <alignment vertical="center" textRotation="90" wrapText="1"/>
    </xf>
    <xf numFmtId="44" fontId="7" fillId="0" borderId="3" xfId="1" applyFont="1" applyFill="1" applyBorder="1" applyAlignment="1">
      <alignment vertical="center" textRotation="90" wrapText="1"/>
    </xf>
    <xf numFmtId="49" fontId="7" fillId="0" borderId="3" xfId="0" applyNumberFormat="1" applyFont="1" applyFill="1" applyBorder="1" applyAlignment="1">
      <alignment vertical="center" textRotation="90" wrapText="1"/>
    </xf>
    <xf numFmtId="0" fontId="7" fillId="0" borderId="4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</cellXfs>
  <cellStyles count="2">
    <cellStyle name="Денежный" xfId="1" builtinId="4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4" name="Таблица4" displayName="Таблица4" ref="A1:G1048575" totalsRowShown="0">
  <autoFilter ref="A1:G1048575"/>
  <tableColumns count="7">
    <tableColumn id="1" name="Наименование"/>
    <tableColumn id="2" name="Компания"/>
    <tableColumn id="3" name="ИНН"/>
    <tableColumn id="4" name="КПП"/>
    <tableColumn id="5" name="WEB-Адрес "/>
    <tableColumn id="6" name="Город"/>
    <tableColumn id="7" name="Производитель/Поставщик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Таблица5" displayName="Таблица5" ref="A1:A8" totalsRowShown="0">
  <autoFilter ref="A1:A8"/>
  <tableColumns count="1">
    <tableColumn id="1" name="Наименование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U17"/>
  <sheetViews>
    <sheetView topLeftCell="A10" zoomScale="70" zoomScaleNormal="70" workbookViewId="0">
      <selection activeCell="N18" sqref="N18"/>
    </sheetView>
  </sheetViews>
  <sheetFormatPr defaultRowHeight="14.5" x14ac:dyDescent="0.35"/>
  <cols>
    <col min="2" max="2" width="8.6328125" customWidth="1"/>
  </cols>
  <sheetData>
    <row r="1" spans="1:21" x14ac:dyDescent="0.35">
      <c r="A1" s="1"/>
      <c r="B1" s="2"/>
      <c r="C1" s="2"/>
      <c r="D1" s="2"/>
      <c r="E1" s="3"/>
      <c r="F1" s="2"/>
      <c r="G1" s="2"/>
      <c r="H1" s="4"/>
      <c r="I1" s="4"/>
      <c r="J1" s="4"/>
      <c r="K1" s="4"/>
      <c r="L1" s="4"/>
      <c r="M1" s="4"/>
      <c r="N1" s="2"/>
      <c r="O1" s="2"/>
      <c r="P1" s="2"/>
      <c r="Q1" s="2"/>
      <c r="R1" s="2"/>
      <c r="S1" s="2"/>
      <c r="T1" s="2"/>
      <c r="U1" s="2"/>
    </row>
    <row r="2" spans="1:21" x14ac:dyDescent="0.3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</row>
    <row r="3" spans="1:21" x14ac:dyDescent="0.35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</row>
    <row r="4" spans="1:21" x14ac:dyDescent="0.35">
      <c r="A4" s="27" t="s">
        <v>1</v>
      </c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</row>
    <row r="5" spans="1:21" x14ac:dyDescent="0.35">
      <c r="A5" s="5"/>
      <c r="B5" s="6"/>
      <c r="C5" s="6"/>
      <c r="D5" s="6"/>
      <c r="E5" s="5"/>
      <c r="F5" s="6"/>
      <c r="G5" s="6"/>
      <c r="H5" s="7"/>
      <c r="I5" s="7"/>
      <c r="J5" s="7"/>
      <c r="K5" s="7"/>
      <c r="L5" s="7"/>
      <c r="M5" s="7"/>
      <c r="N5" s="6"/>
      <c r="O5" s="6"/>
      <c r="P5" s="6"/>
      <c r="Q5" s="6"/>
      <c r="R5" s="6"/>
      <c r="S5" s="8"/>
      <c r="T5" s="6"/>
      <c r="U5" s="6"/>
    </row>
    <row r="6" spans="1:21" ht="17.5" x14ac:dyDescent="0.35">
      <c r="A6" s="28" t="s">
        <v>2</v>
      </c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</row>
    <row r="7" spans="1:21" ht="17.5" x14ac:dyDescent="0.35">
      <c r="A7" s="9"/>
      <c r="B7" s="10"/>
      <c r="C7" s="10"/>
      <c r="D7" s="10"/>
      <c r="E7" s="11"/>
      <c r="F7" s="10"/>
      <c r="G7" s="10"/>
      <c r="H7" s="12"/>
      <c r="I7" s="12"/>
      <c r="J7" s="12"/>
      <c r="K7" s="12"/>
      <c r="L7" s="12"/>
      <c r="M7" s="12"/>
      <c r="N7" s="10"/>
      <c r="O7" s="10"/>
      <c r="P7" s="10"/>
      <c r="Q7" s="10"/>
      <c r="R7" s="10"/>
      <c r="S7" s="13"/>
      <c r="T7" s="10"/>
      <c r="U7" s="10"/>
    </row>
    <row r="8" spans="1:21" ht="15.5" x14ac:dyDescent="0.35">
      <c r="A8" s="29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</row>
    <row r="9" spans="1:21" x14ac:dyDescent="0.35">
      <c r="A9" s="30" t="s">
        <v>4</v>
      </c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</row>
    <row r="10" spans="1:21" ht="15.5" x14ac:dyDescent="0.35">
      <c r="A10" s="14"/>
      <c r="B10" s="15"/>
      <c r="C10" s="15"/>
      <c r="D10" s="15"/>
      <c r="E10" s="14"/>
      <c r="F10" s="15"/>
      <c r="G10" s="15"/>
      <c r="H10" s="16"/>
      <c r="I10" s="16"/>
      <c r="J10" s="16"/>
      <c r="K10" s="16"/>
      <c r="L10" s="16"/>
      <c r="M10" s="16"/>
      <c r="N10" s="15"/>
      <c r="O10" s="15"/>
      <c r="P10" s="15"/>
      <c r="Q10" s="15"/>
      <c r="R10" s="15"/>
      <c r="S10" s="17"/>
      <c r="T10" s="15"/>
      <c r="U10" s="15"/>
    </row>
    <row r="11" spans="1:21" ht="59.5" customHeight="1" x14ac:dyDescent="0.35">
      <c r="A11" s="31" t="s">
        <v>5</v>
      </c>
      <c r="B11" s="22" t="s">
        <v>6</v>
      </c>
      <c r="C11" s="32"/>
      <c r="D11" s="34"/>
      <c r="E11" s="32"/>
      <c r="F11" s="32"/>
      <c r="G11" s="33"/>
      <c r="H11" s="24" t="s">
        <v>12</v>
      </c>
      <c r="I11" s="24" t="s">
        <v>13</v>
      </c>
      <c r="J11" s="24" t="s">
        <v>14</v>
      </c>
      <c r="K11" s="24"/>
      <c r="L11" s="24" t="s">
        <v>15</v>
      </c>
      <c r="M11" s="22" t="s">
        <v>16</v>
      </c>
      <c r="N11" s="22" t="s">
        <v>17</v>
      </c>
      <c r="O11" s="22" t="s">
        <v>18</v>
      </c>
      <c r="P11" s="22" t="s">
        <v>19</v>
      </c>
      <c r="Q11" s="22" t="s">
        <v>20</v>
      </c>
      <c r="R11" s="23" t="s">
        <v>21</v>
      </c>
      <c r="S11" s="22" t="s">
        <v>22</v>
      </c>
      <c r="T11" s="22" t="s">
        <v>23</v>
      </c>
      <c r="U11" s="32"/>
    </row>
    <row r="12" spans="1:21" ht="97" customHeight="1" x14ac:dyDescent="0.35">
      <c r="A12" s="31"/>
      <c r="B12" s="22"/>
      <c r="C12" s="32" t="s">
        <v>7</v>
      </c>
      <c r="D12" s="34" t="s">
        <v>8</v>
      </c>
      <c r="E12" s="32" t="s">
        <v>9</v>
      </c>
      <c r="F12" s="32" t="s">
        <v>10</v>
      </c>
      <c r="G12" s="33" t="s">
        <v>11</v>
      </c>
      <c r="H12" s="24"/>
      <c r="I12" s="24"/>
      <c r="J12" s="18" t="s">
        <v>25</v>
      </c>
      <c r="K12" s="18" t="s">
        <v>26</v>
      </c>
      <c r="L12" s="24"/>
      <c r="M12" s="22"/>
      <c r="N12" s="22"/>
      <c r="O12" s="22"/>
      <c r="P12" s="22"/>
      <c r="Q12" s="22"/>
      <c r="R12" s="23"/>
      <c r="S12" s="22"/>
      <c r="T12" s="22"/>
      <c r="U12" s="32" t="s">
        <v>24</v>
      </c>
    </row>
    <row r="13" spans="1:21" x14ac:dyDescent="0.35">
      <c r="A13" s="19">
        <v>1</v>
      </c>
      <c r="B13" s="20">
        <v>2</v>
      </c>
      <c r="C13" s="20">
        <v>3</v>
      </c>
      <c r="D13" s="19">
        <v>4</v>
      </c>
      <c r="E13" s="20">
        <v>5</v>
      </c>
      <c r="F13" s="20">
        <v>6</v>
      </c>
      <c r="G13" s="20">
        <v>7</v>
      </c>
      <c r="H13" s="20">
        <v>8</v>
      </c>
      <c r="I13" s="20">
        <v>9</v>
      </c>
      <c r="J13" s="20">
        <v>10</v>
      </c>
      <c r="K13" s="20">
        <v>11</v>
      </c>
      <c r="L13" s="20">
        <v>12</v>
      </c>
      <c r="M13" s="20">
        <v>13</v>
      </c>
      <c r="N13" s="20">
        <v>14</v>
      </c>
      <c r="O13" s="20">
        <v>15</v>
      </c>
      <c r="P13" s="20">
        <v>16</v>
      </c>
      <c r="Q13" s="20">
        <v>17</v>
      </c>
      <c r="R13" s="21">
        <v>18</v>
      </c>
      <c r="S13" s="20">
        <v>19</v>
      </c>
      <c r="T13" s="20">
        <v>20</v>
      </c>
      <c r="U13" s="20">
        <v>21</v>
      </c>
    </row>
    <row r="14" spans="1:21" ht="101.5" x14ac:dyDescent="0.35">
      <c r="A14">
        <f>ROW()-13</f>
        <v>1</v>
      </c>
      <c r="B14" t="str">
        <f>"ТЦ_101_"&amp;""&amp;W14&amp;"_"&amp;Q14&amp;"_"&amp;TEXT(U14,"ДД.ММ.ГГ")&amp;"_"&amp;T14</f>
        <v>ТЦ_101___цуа_</v>
      </c>
      <c r="C14" s="36" t="s">
        <v>27</v>
      </c>
      <c r="D14" t="s">
        <v>110</v>
      </c>
      <c r="E14" t="s">
        <v>104</v>
      </c>
      <c r="F14" t="s">
        <v>111</v>
      </c>
      <c r="G14" t="s">
        <v>112</v>
      </c>
      <c r="U14" t="s">
        <v>112</v>
      </c>
    </row>
    <row r="15" spans="1:21" x14ac:dyDescent="0.35">
      <c r="A15">
        <f>ROW()-13</f>
        <v>2</v>
      </c>
      <c r="C15" t="s">
        <v>27</v>
      </c>
      <c r="D15" t="s">
        <v>113</v>
      </c>
      <c r="E15" t="s">
        <v>114</v>
      </c>
      <c r="F15" t="s">
        <v>115</v>
      </c>
      <c r="G15" t="s">
        <v>116</v>
      </c>
      <c r="U15" t="s">
        <v>117</v>
      </c>
    </row>
    <row r="16" spans="1:21" x14ac:dyDescent="0.35">
      <c r="A16">
        <f>ROW()-13</f>
        <v>3</v>
      </c>
      <c r="C16" t="s">
        <v>27</v>
      </c>
      <c r="D16" t="s">
        <v>118</v>
      </c>
      <c r="E16" t="s">
        <v>104</v>
      </c>
      <c r="F16" t="s">
        <v>118</v>
      </c>
      <c r="G16" t="s">
        <v>119</v>
      </c>
      <c r="U16" t="s">
        <v>116</v>
      </c>
    </row>
    <row r="17" spans="1:21" x14ac:dyDescent="0.35">
      <c r="A17">
        <f>ROW()-13</f>
        <v>4</v>
      </c>
      <c r="C17" t="s">
        <v>120</v>
      </c>
      <c r="D17" t="s">
        <v>121</v>
      </c>
      <c r="E17" t="s">
        <v>107</v>
      </c>
      <c r="F17" t="s">
        <v>122</v>
      </c>
      <c r="G17" t="s">
        <v>123</v>
      </c>
      <c r="U17" t="s">
        <v>124</v>
      </c>
    </row>
  </sheetData>
  <mergeCells count="19">
    <mergeCell ref="R11:R12"/>
    <mergeCell ref="S11:S12"/>
    <mergeCell ref="T11:T12"/>
    <mergeCell ref="L11:L12"/>
    <mergeCell ref="M11:M12"/>
    <mergeCell ref="N11:N12"/>
    <mergeCell ref="O11:O12"/>
    <mergeCell ref="P11:P12"/>
    <mergeCell ref="Q11:Q12"/>
    <mergeCell ref="A2:U3"/>
    <mergeCell ref="A4:U4"/>
    <mergeCell ref="A6:U6"/>
    <mergeCell ref="A8:U8"/>
    <mergeCell ref="A9:U9"/>
    <mergeCell ref="A11:A12"/>
    <mergeCell ref="B11:B12"/>
    <mergeCell ref="H11:H12"/>
    <mergeCell ref="I11:I12"/>
    <mergeCell ref="J11:K11"/>
  </mergeCells>
  <dataValidations count="1">
    <dataValidation type="list" allowBlank="1" showInputMessage="1" showErrorMessage="1" sqref="E11:E12">
      <formula1>$E$11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W13"/>
  <sheetViews>
    <sheetView zoomScale="70" zoomScaleNormal="70" workbookViewId="0">
      <selection activeCell="L17" sqref="L17"/>
    </sheetView>
  </sheetViews>
  <sheetFormatPr defaultRowHeight="14.5" x14ac:dyDescent="0.35"/>
  <sheetData>
    <row r="1" spans="1:23" x14ac:dyDescent="0.35">
      <c r="A1" s="1"/>
      <c r="B1" s="2"/>
      <c r="C1" s="2"/>
      <c r="D1" s="2"/>
      <c r="E1" s="3"/>
      <c r="F1" s="2"/>
      <c r="G1" s="2"/>
      <c r="H1" s="4"/>
      <c r="I1" s="4"/>
      <c r="J1" s="4"/>
      <c r="K1" s="4"/>
      <c r="L1" s="4"/>
      <c r="M1" s="4"/>
      <c r="N1" s="2"/>
      <c r="O1" s="2"/>
      <c r="P1" s="2"/>
      <c r="Q1" s="2"/>
      <c r="R1" s="2"/>
      <c r="S1" s="2"/>
      <c r="T1" s="2"/>
      <c r="U1" s="2"/>
    </row>
    <row r="2" spans="1:23" ht="14.5" customHeight="1" x14ac:dyDescent="0.35">
      <c r="A2" s="25" t="s">
        <v>0</v>
      </c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</row>
    <row r="3" spans="1:23" ht="14.5" customHeight="1" x14ac:dyDescent="0.35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</row>
    <row r="4" spans="1:23" ht="14.5" customHeight="1" x14ac:dyDescent="0.35">
      <c r="A4" s="27" t="s">
        <v>1</v>
      </c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</row>
    <row r="5" spans="1:23" x14ac:dyDescent="0.35">
      <c r="A5" s="5"/>
      <c r="B5" s="6"/>
      <c r="C5" s="6"/>
      <c r="D5" s="6"/>
      <c r="E5" s="5"/>
      <c r="F5" s="6"/>
      <c r="G5" s="6"/>
      <c r="H5" s="7"/>
      <c r="I5" s="7"/>
      <c r="J5" s="7"/>
      <c r="K5" s="7"/>
      <c r="L5" s="7"/>
      <c r="M5" s="7"/>
      <c r="N5" s="6"/>
      <c r="O5" s="6"/>
      <c r="P5" s="6"/>
      <c r="Q5" s="6"/>
      <c r="R5" s="6"/>
      <c r="S5" s="8"/>
      <c r="T5" s="6"/>
      <c r="U5" s="6"/>
    </row>
    <row r="6" spans="1:23" ht="17.5" customHeight="1" x14ac:dyDescent="0.35">
      <c r="A6" s="28" t="s">
        <v>2</v>
      </c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</row>
    <row r="7" spans="1:23" ht="17.5" x14ac:dyDescent="0.35">
      <c r="A7" s="9"/>
      <c r="B7" s="10"/>
      <c r="C7" s="10"/>
      <c r="D7" s="10"/>
      <c r="E7" s="11"/>
      <c r="F7" s="10"/>
      <c r="G7" s="10"/>
      <c r="H7" s="12"/>
      <c r="I7" s="12"/>
      <c r="J7" s="12"/>
      <c r="K7" s="12"/>
      <c r="L7" s="12"/>
      <c r="M7" s="12"/>
      <c r="N7" s="10"/>
      <c r="O7" s="10"/>
      <c r="P7" s="10"/>
      <c r="Q7" s="10"/>
      <c r="R7" s="10"/>
      <c r="S7" s="13"/>
      <c r="T7" s="10"/>
      <c r="U7" s="10"/>
    </row>
    <row r="8" spans="1:23" ht="15.5" customHeight="1" x14ac:dyDescent="0.35">
      <c r="A8" s="29" t="s">
        <v>3</v>
      </c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</row>
    <row r="9" spans="1:23" ht="14.5" customHeight="1" x14ac:dyDescent="0.35">
      <c r="A9" s="30" t="s">
        <v>4</v>
      </c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</row>
    <row r="10" spans="1:23" ht="15.5" x14ac:dyDescent="0.35">
      <c r="A10" s="14"/>
      <c r="B10" s="15"/>
      <c r="C10" s="15"/>
      <c r="D10" s="15"/>
      <c r="E10" s="14"/>
      <c r="F10" s="15"/>
      <c r="G10" s="15"/>
      <c r="H10" s="16"/>
      <c r="I10" s="16"/>
      <c r="J10" s="16"/>
      <c r="K10" s="16"/>
      <c r="L10" s="16"/>
      <c r="M10" s="16"/>
      <c r="N10" s="15"/>
      <c r="O10" s="15"/>
      <c r="P10" s="15"/>
      <c r="Q10" s="15"/>
      <c r="R10" s="15"/>
      <c r="S10" s="17"/>
      <c r="T10" s="15"/>
      <c r="U10" s="15"/>
    </row>
    <row r="11" spans="1:23" ht="57" customHeight="1" x14ac:dyDescent="0.35">
      <c r="A11" s="31" t="s">
        <v>5</v>
      </c>
      <c r="B11" s="22" t="s">
        <v>6</v>
      </c>
      <c r="C11" s="32"/>
      <c r="D11" s="34"/>
      <c r="E11" s="32"/>
      <c r="F11" s="32"/>
      <c r="G11" s="33"/>
      <c r="H11" s="24" t="s">
        <v>12</v>
      </c>
      <c r="I11" s="24" t="s">
        <v>13</v>
      </c>
      <c r="J11" s="24" t="s">
        <v>14</v>
      </c>
      <c r="K11" s="24"/>
      <c r="L11" s="24" t="s">
        <v>15</v>
      </c>
      <c r="M11" s="22" t="s">
        <v>16</v>
      </c>
      <c r="N11" s="22" t="s">
        <v>17</v>
      </c>
      <c r="O11" s="22" t="s">
        <v>18</v>
      </c>
      <c r="P11" s="22" t="s">
        <v>19</v>
      </c>
      <c r="Q11" s="22" t="s">
        <v>20</v>
      </c>
      <c r="R11" s="23" t="s">
        <v>21</v>
      </c>
      <c r="S11" s="22" t="s">
        <v>22</v>
      </c>
      <c r="T11" s="22" t="s">
        <v>23</v>
      </c>
      <c r="U11" s="32"/>
    </row>
    <row r="12" spans="1:23" ht="132.5" customHeight="1" x14ac:dyDescent="0.35">
      <c r="A12" s="31"/>
      <c r="B12" s="22"/>
      <c r="C12" s="32" t="s">
        <v>7</v>
      </c>
      <c r="D12" s="34" t="s">
        <v>8</v>
      </c>
      <c r="E12" s="32" t="s">
        <v>9</v>
      </c>
      <c r="F12" s="32" t="s">
        <v>10</v>
      </c>
      <c r="G12" s="33" t="s">
        <v>11</v>
      </c>
      <c r="H12" s="24"/>
      <c r="I12" s="24"/>
      <c r="J12" s="18" t="s">
        <v>25</v>
      </c>
      <c r="K12" s="18" t="s">
        <v>26</v>
      </c>
      <c r="L12" s="24"/>
      <c r="M12" s="22"/>
      <c r="N12" s="22"/>
      <c r="O12" s="22"/>
      <c r="P12" s="22"/>
      <c r="Q12" s="22"/>
      <c r="R12" s="23"/>
      <c r="S12" s="22"/>
      <c r="T12" s="22"/>
      <c r="U12" s="32" t="s">
        <v>24</v>
      </c>
    </row>
    <row r="13" spans="1:23" ht="17.5" customHeight="1" x14ac:dyDescent="0.35">
      <c r="A13" s="19">
        <v>1</v>
      </c>
      <c r="B13" s="20">
        <v>2</v>
      </c>
      <c r="C13" s="20">
        <v>3</v>
      </c>
      <c r="D13" s="19">
        <v>4</v>
      </c>
      <c r="E13" s="20">
        <v>5</v>
      </c>
      <c r="F13" s="20">
        <v>6</v>
      </c>
      <c r="G13" s="20">
        <v>7</v>
      </c>
      <c r="H13" s="20">
        <v>8</v>
      </c>
      <c r="I13" s="20">
        <v>9</v>
      </c>
      <c r="J13" s="20">
        <v>10</v>
      </c>
      <c r="K13" s="20">
        <v>11</v>
      </c>
      <c r="L13" s="20">
        <v>12</v>
      </c>
      <c r="M13" s="20">
        <v>13</v>
      </c>
      <c r="N13" s="20">
        <v>14</v>
      </c>
      <c r="O13" s="20">
        <v>15</v>
      </c>
      <c r="P13" s="20">
        <v>16</v>
      </c>
      <c r="Q13" s="20">
        <v>17</v>
      </c>
      <c r="R13" s="21">
        <v>18</v>
      </c>
      <c r="S13" s="20">
        <v>19</v>
      </c>
      <c r="T13" s="20">
        <v>20</v>
      </c>
      <c r="U13" s="20">
        <v>21</v>
      </c>
      <c r="W13" s="35"/>
    </row>
  </sheetData>
  <mergeCells count="19">
    <mergeCell ref="L11:L12"/>
    <mergeCell ref="A2:U3"/>
    <mergeCell ref="A4:U4"/>
    <mergeCell ref="A6:U6"/>
    <mergeCell ref="A8:U8"/>
    <mergeCell ref="A9:U9"/>
    <mergeCell ref="A11:A12"/>
    <mergeCell ref="B11:B12"/>
    <mergeCell ref="H11:H12"/>
    <mergeCell ref="I11:I12"/>
    <mergeCell ref="J11:K11"/>
    <mergeCell ref="S11:S12"/>
    <mergeCell ref="T11:T12"/>
    <mergeCell ref="M11:M12"/>
    <mergeCell ref="N11:N12"/>
    <mergeCell ref="O11:O12"/>
    <mergeCell ref="P11:P12"/>
    <mergeCell ref="Q11:Q12"/>
    <mergeCell ref="R11:R12"/>
  </mergeCells>
  <dataValidations count="1">
    <dataValidation type="list" allowBlank="1" showInputMessage="1" showErrorMessage="1" sqref="E11:E12">
      <formula1>$E$11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G77"/>
  <sheetViews>
    <sheetView tabSelected="1" zoomScale="70" zoomScaleNormal="70" workbookViewId="0">
      <selection activeCell="A14" sqref="A14"/>
    </sheetView>
  </sheetViews>
  <sheetFormatPr defaultRowHeight="14.5" x14ac:dyDescent="0.35"/>
  <cols>
    <col min="1" max="1" width="149" customWidth="1"/>
    <col min="2" max="2" width="22.1796875" customWidth="1"/>
    <col min="3" max="3" width="23.1796875" customWidth="1"/>
    <col min="4" max="4" width="19.26953125" customWidth="1"/>
    <col min="5" max="5" width="20" customWidth="1"/>
    <col min="6" max="6" width="30.54296875" customWidth="1"/>
    <col min="7" max="7" width="28" customWidth="1"/>
  </cols>
  <sheetData>
    <row r="1" spans="1:7" x14ac:dyDescent="0.35">
      <c r="A1" t="s">
        <v>102</v>
      </c>
      <c r="B1" t="s">
        <v>125</v>
      </c>
      <c r="C1" t="s">
        <v>152</v>
      </c>
      <c r="D1" t="s">
        <v>153</v>
      </c>
      <c r="E1" t="s">
        <v>154</v>
      </c>
      <c r="F1" t="s">
        <v>155</v>
      </c>
      <c r="G1" t="s">
        <v>156</v>
      </c>
    </row>
    <row r="2" spans="1:7" x14ac:dyDescent="0.35">
      <c r="A2" t="s">
        <v>27</v>
      </c>
      <c r="B2" t="s">
        <v>126</v>
      </c>
      <c r="C2">
        <v>673201001</v>
      </c>
      <c r="D2">
        <v>6731002766</v>
      </c>
      <c r="E2" t="s">
        <v>127</v>
      </c>
      <c r="F2" t="s">
        <v>128</v>
      </c>
      <c r="G2">
        <v>2</v>
      </c>
    </row>
    <row r="3" spans="1:7" x14ac:dyDescent="0.35">
      <c r="A3" t="s">
        <v>28</v>
      </c>
      <c r="B3" t="s">
        <v>126</v>
      </c>
      <c r="C3">
        <v>673201001</v>
      </c>
      <c r="D3">
        <v>6731002766</v>
      </c>
      <c r="E3" t="s">
        <v>127</v>
      </c>
      <c r="F3" t="s">
        <v>128</v>
      </c>
      <c r="G3">
        <v>2</v>
      </c>
    </row>
    <row r="4" spans="1:7" x14ac:dyDescent="0.35">
      <c r="A4" t="s">
        <v>29</v>
      </c>
      <c r="B4" t="s">
        <v>126</v>
      </c>
      <c r="C4">
        <v>673201001</v>
      </c>
      <c r="D4">
        <v>6731002766</v>
      </c>
      <c r="E4" t="s">
        <v>127</v>
      </c>
      <c r="F4" t="s">
        <v>128</v>
      </c>
      <c r="G4">
        <v>2</v>
      </c>
    </row>
    <row r="5" spans="1:7" x14ac:dyDescent="0.35">
      <c r="A5" t="s">
        <v>30</v>
      </c>
      <c r="B5" t="s">
        <v>126</v>
      </c>
      <c r="C5">
        <v>673201001</v>
      </c>
      <c r="D5">
        <v>6731002766</v>
      </c>
      <c r="E5" t="s">
        <v>127</v>
      </c>
      <c r="F5" t="s">
        <v>128</v>
      </c>
      <c r="G5">
        <v>2</v>
      </c>
    </row>
    <row r="6" spans="1:7" x14ac:dyDescent="0.35">
      <c r="A6" t="s">
        <v>31</v>
      </c>
      <c r="B6" t="s">
        <v>129</v>
      </c>
      <c r="C6">
        <v>780601001</v>
      </c>
      <c r="D6">
        <v>7806155468</v>
      </c>
      <c r="E6" t="s">
        <v>130</v>
      </c>
      <c r="F6" t="s">
        <v>131</v>
      </c>
      <c r="G6">
        <v>1</v>
      </c>
    </row>
    <row r="7" spans="1:7" x14ac:dyDescent="0.35">
      <c r="A7" t="s">
        <v>32</v>
      </c>
      <c r="B7" t="s">
        <v>129</v>
      </c>
      <c r="C7">
        <v>780601001</v>
      </c>
      <c r="D7">
        <v>7806155468</v>
      </c>
      <c r="E7" t="s">
        <v>130</v>
      </c>
      <c r="F7" t="s">
        <v>131</v>
      </c>
      <c r="G7">
        <v>1</v>
      </c>
    </row>
    <row r="8" spans="1:7" x14ac:dyDescent="0.35">
      <c r="A8" t="s">
        <v>33</v>
      </c>
      <c r="B8" t="s">
        <v>129</v>
      </c>
      <c r="C8">
        <v>780601001</v>
      </c>
      <c r="D8">
        <v>7806155468</v>
      </c>
      <c r="E8" t="s">
        <v>130</v>
      </c>
      <c r="F8" t="s">
        <v>131</v>
      </c>
      <c r="G8">
        <v>1</v>
      </c>
    </row>
    <row r="9" spans="1:7" x14ac:dyDescent="0.35">
      <c r="A9" t="s">
        <v>34</v>
      </c>
      <c r="B9" t="s">
        <v>132</v>
      </c>
      <c r="C9">
        <v>783901001</v>
      </c>
      <c r="D9">
        <v>7839109650</v>
      </c>
      <c r="E9" t="s">
        <v>133</v>
      </c>
      <c r="F9" t="s">
        <v>131</v>
      </c>
      <c r="G9">
        <v>2</v>
      </c>
    </row>
    <row r="10" spans="1:7" x14ac:dyDescent="0.35">
      <c r="A10" t="s">
        <v>35</v>
      </c>
      <c r="B10" t="s">
        <v>132</v>
      </c>
      <c r="C10">
        <v>783901001</v>
      </c>
      <c r="D10">
        <v>7839109650</v>
      </c>
      <c r="E10" t="s">
        <v>133</v>
      </c>
      <c r="F10" t="s">
        <v>131</v>
      </c>
      <c r="G10">
        <v>2</v>
      </c>
    </row>
    <row r="11" spans="1:7" x14ac:dyDescent="0.35">
      <c r="A11" t="s">
        <v>36</v>
      </c>
      <c r="B11" t="s">
        <v>132</v>
      </c>
      <c r="C11">
        <v>783901001</v>
      </c>
      <c r="D11">
        <v>7839109650</v>
      </c>
      <c r="E11" t="s">
        <v>133</v>
      </c>
      <c r="F11" t="s">
        <v>131</v>
      </c>
      <c r="G11">
        <v>2</v>
      </c>
    </row>
    <row r="12" spans="1:7" x14ac:dyDescent="0.35">
      <c r="A12" t="s">
        <v>37</v>
      </c>
      <c r="B12" t="s">
        <v>132</v>
      </c>
      <c r="C12">
        <v>783901001</v>
      </c>
      <c r="D12">
        <v>7839109650</v>
      </c>
      <c r="E12" t="s">
        <v>133</v>
      </c>
      <c r="F12" t="s">
        <v>131</v>
      </c>
      <c r="G12">
        <v>2</v>
      </c>
    </row>
    <row r="13" spans="1:7" x14ac:dyDescent="0.35">
      <c r="A13" t="s">
        <v>38</v>
      </c>
      <c r="B13" t="s">
        <v>126</v>
      </c>
      <c r="C13">
        <v>673201001</v>
      </c>
      <c r="D13">
        <v>6731002766</v>
      </c>
      <c r="E13" t="s">
        <v>127</v>
      </c>
      <c r="F13" t="s">
        <v>128</v>
      </c>
      <c r="G13">
        <v>2</v>
      </c>
    </row>
    <row r="14" spans="1:7" x14ac:dyDescent="0.35">
      <c r="A14" t="s">
        <v>39</v>
      </c>
      <c r="B14" t="s">
        <v>126</v>
      </c>
      <c r="C14">
        <v>673201001</v>
      </c>
      <c r="D14">
        <v>6731002766</v>
      </c>
      <c r="E14" t="s">
        <v>127</v>
      </c>
      <c r="F14" t="s">
        <v>128</v>
      </c>
      <c r="G14">
        <v>2</v>
      </c>
    </row>
    <row r="15" spans="1:7" x14ac:dyDescent="0.35">
      <c r="A15" t="s">
        <v>40</v>
      </c>
      <c r="B15" t="s">
        <v>126</v>
      </c>
      <c r="C15">
        <v>673201001</v>
      </c>
      <c r="D15">
        <v>6731002766</v>
      </c>
      <c r="E15" t="s">
        <v>127</v>
      </c>
      <c r="F15" t="s">
        <v>128</v>
      </c>
      <c r="G15">
        <v>2</v>
      </c>
    </row>
    <row r="16" spans="1:7" x14ac:dyDescent="0.35">
      <c r="A16" t="s">
        <v>41</v>
      </c>
      <c r="B16" t="s">
        <v>126</v>
      </c>
      <c r="C16">
        <v>673201001</v>
      </c>
      <c r="D16">
        <v>6731002766</v>
      </c>
      <c r="E16" t="s">
        <v>127</v>
      </c>
      <c r="F16" t="s">
        <v>128</v>
      </c>
      <c r="G16">
        <v>2</v>
      </c>
    </row>
    <row r="17" spans="1:7" x14ac:dyDescent="0.35">
      <c r="A17" t="s">
        <v>42</v>
      </c>
      <c r="B17" t="s">
        <v>132</v>
      </c>
      <c r="C17">
        <v>783901001</v>
      </c>
      <c r="D17">
        <v>7839109650</v>
      </c>
      <c r="E17" t="s">
        <v>133</v>
      </c>
      <c r="F17" t="s">
        <v>131</v>
      </c>
      <c r="G17">
        <v>2</v>
      </c>
    </row>
    <row r="18" spans="1:7" x14ac:dyDescent="0.35">
      <c r="A18" t="s">
        <v>42</v>
      </c>
      <c r="B18" t="s">
        <v>132</v>
      </c>
      <c r="C18">
        <v>783901001</v>
      </c>
      <c r="D18">
        <v>7839109650</v>
      </c>
      <c r="E18" t="s">
        <v>133</v>
      </c>
      <c r="F18" t="s">
        <v>131</v>
      </c>
      <c r="G18">
        <v>2</v>
      </c>
    </row>
    <row r="19" spans="1:7" x14ac:dyDescent="0.35">
      <c r="A19" t="s">
        <v>43</v>
      </c>
      <c r="B19" t="s">
        <v>132</v>
      </c>
      <c r="C19">
        <v>783901001</v>
      </c>
      <c r="D19">
        <v>7839109650</v>
      </c>
      <c r="E19" t="s">
        <v>133</v>
      </c>
      <c r="F19" t="s">
        <v>131</v>
      </c>
      <c r="G19">
        <v>2</v>
      </c>
    </row>
    <row r="20" spans="1:7" x14ac:dyDescent="0.35">
      <c r="A20" t="s">
        <v>44</v>
      </c>
      <c r="B20" t="s">
        <v>134</v>
      </c>
      <c r="C20">
        <v>7810216924</v>
      </c>
      <c r="D20">
        <v>7814455001</v>
      </c>
      <c r="E20" t="s">
        <v>135</v>
      </c>
      <c r="F20" t="s">
        <v>131</v>
      </c>
      <c r="G20">
        <v>2</v>
      </c>
    </row>
    <row r="21" spans="1:7" x14ac:dyDescent="0.35">
      <c r="A21" t="s">
        <v>45</v>
      </c>
      <c r="B21" t="s">
        <v>134</v>
      </c>
      <c r="C21">
        <v>7810216924</v>
      </c>
      <c r="D21">
        <v>7814455001</v>
      </c>
      <c r="E21" t="s">
        <v>135</v>
      </c>
      <c r="F21" t="s">
        <v>131</v>
      </c>
      <c r="G21">
        <v>2</v>
      </c>
    </row>
    <row r="22" spans="1:7" x14ac:dyDescent="0.35">
      <c r="A22" t="s">
        <v>46</v>
      </c>
      <c r="B22" t="s">
        <v>134</v>
      </c>
      <c r="C22">
        <v>7810216924</v>
      </c>
      <c r="D22">
        <v>7814455001</v>
      </c>
      <c r="E22" t="s">
        <v>135</v>
      </c>
      <c r="F22" t="s">
        <v>131</v>
      </c>
      <c r="G22">
        <v>2</v>
      </c>
    </row>
    <row r="23" spans="1:7" x14ac:dyDescent="0.35">
      <c r="A23" t="s">
        <v>47</v>
      </c>
      <c r="B23" t="s">
        <v>134</v>
      </c>
      <c r="C23">
        <v>7810216924</v>
      </c>
      <c r="D23">
        <v>7814455001</v>
      </c>
      <c r="E23" t="s">
        <v>135</v>
      </c>
      <c r="F23" t="s">
        <v>131</v>
      </c>
      <c r="G23">
        <v>2</v>
      </c>
    </row>
    <row r="24" spans="1:7" x14ac:dyDescent="0.35">
      <c r="A24" t="s">
        <v>48</v>
      </c>
      <c r="B24" t="s">
        <v>136</v>
      </c>
      <c r="C24">
        <v>7804526950</v>
      </c>
      <c r="D24">
        <v>784201001</v>
      </c>
      <c r="E24" t="s">
        <v>137</v>
      </c>
      <c r="F24" t="s">
        <v>131</v>
      </c>
      <c r="G24">
        <v>2</v>
      </c>
    </row>
    <row r="25" spans="1:7" x14ac:dyDescent="0.35">
      <c r="A25" t="s">
        <v>49</v>
      </c>
      <c r="B25" t="s">
        <v>134</v>
      </c>
      <c r="C25">
        <v>7810216924</v>
      </c>
      <c r="D25">
        <v>7814455001</v>
      </c>
      <c r="E25" t="s">
        <v>135</v>
      </c>
      <c r="F25" t="s">
        <v>131</v>
      </c>
      <c r="G25">
        <v>2</v>
      </c>
    </row>
    <row r="26" spans="1:7" x14ac:dyDescent="0.35">
      <c r="A26" t="s">
        <v>50</v>
      </c>
      <c r="B26" t="s">
        <v>136</v>
      </c>
      <c r="C26">
        <v>7804526950</v>
      </c>
      <c r="D26">
        <v>784201001</v>
      </c>
      <c r="E26" t="s">
        <v>137</v>
      </c>
      <c r="F26" t="s">
        <v>131</v>
      </c>
      <c r="G26">
        <v>2</v>
      </c>
    </row>
    <row r="27" spans="1:7" x14ac:dyDescent="0.35">
      <c r="A27" t="s">
        <v>51</v>
      </c>
      <c r="B27" t="s">
        <v>134</v>
      </c>
      <c r="C27">
        <v>7810216924</v>
      </c>
      <c r="D27">
        <v>7814455001</v>
      </c>
      <c r="E27" t="s">
        <v>135</v>
      </c>
      <c r="F27" t="s">
        <v>131</v>
      </c>
      <c r="G27">
        <v>2</v>
      </c>
    </row>
    <row r="28" spans="1:7" x14ac:dyDescent="0.35">
      <c r="A28" t="s">
        <v>52</v>
      </c>
      <c r="B28" t="s">
        <v>134</v>
      </c>
      <c r="C28">
        <v>7810216924</v>
      </c>
      <c r="D28">
        <v>7814455001</v>
      </c>
      <c r="E28" t="s">
        <v>135</v>
      </c>
      <c r="F28" t="s">
        <v>131</v>
      </c>
      <c r="G28">
        <v>2</v>
      </c>
    </row>
    <row r="29" spans="1:7" x14ac:dyDescent="0.35">
      <c r="A29" t="s">
        <v>53</v>
      </c>
      <c r="B29" t="s">
        <v>134</v>
      </c>
      <c r="C29">
        <v>7810216924</v>
      </c>
      <c r="D29">
        <v>7814455001</v>
      </c>
      <c r="E29" t="s">
        <v>135</v>
      </c>
      <c r="F29" t="s">
        <v>131</v>
      </c>
      <c r="G29">
        <v>2</v>
      </c>
    </row>
    <row r="30" spans="1:7" x14ac:dyDescent="0.35">
      <c r="A30" t="s">
        <v>54</v>
      </c>
      <c r="B30" t="s">
        <v>126</v>
      </c>
      <c r="C30">
        <v>673201001</v>
      </c>
      <c r="D30">
        <v>6731002766</v>
      </c>
      <c r="E30" t="s">
        <v>127</v>
      </c>
      <c r="F30" t="s">
        <v>128</v>
      </c>
      <c r="G30">
        <v>2</v>
      </c>
    </row>
    <row r="31" spans="1:7" x14ac:dyDescent="0.35">
      <c r="A31" t="s">
        <v>55</v>
      </c>
      <c r="B31" t="s">
        <v>126</v>
      </c>
      <c r="C31">
        <v>673201001</v>
      </c>
      <c r="D31">
        <v>6731002766</v>
      </c>
      <c r="E31" t="s">
        <v>127</v>
      </c>
      <c r="F31" t="s">
        <v>128</v>
      </c>
      <c r="G31">
        <v>2</v>
      </c>
    </row>
    <row r="32" spans="1:7" x14ac:dyDescent="0.35">
      <c r="A32" t="s">
        <v>56</v>
      </c>
      <c r="B32" t="s">
        <v>126</v>
      </c>
      <c r="C32">
        <v>673201001</v>
      </c>
      <c r="D32">
        <v>6731002766</v>
      </c>
      <c r="E32" t="s">
        <v>127</v>
      </c>
      <c r="F32" t="s">
        <v>128</v>
      </c>
      <c r="G32">
        <v>2</v>
      </c>
    </row>
    <row r="33" spans="1:7" x14ac:dyDescent="0.35">
      <c r="A33" t="s">
        <v>57</v>
      </c>
      <c r="B33" t="s">
        <v>138</v>
      </c>
      <c r="C33">
        <v>509950001</v>
      </c>
      <c r="D33">
        <v>5036002480</v>
      </c>
      <c r="E33" t="s">
        <v>139</v>
      </c>
      <c r="F33" t="s">
        <v>140</v>
      </c>
      <c r="G33">
        <v>2</v>
      </c>
    </row>
    <row r="34" spans="1:7" x14ac:dyDescent="0.35">
      <c r="A34" t="s">
        <v>58</v>
      </c>
      <c r="B34" t="s">
        <v>138</v>
      </c>
      <c r="C34">
        <v>509950001</v>
      </c>
      <c r="D34">
        <v>5036002480</v>
      </c>
      <c r="E34" t="s">
        <v>139</v>
      </c>
      <c r="F34" t="s">
        <v>140</v>
      </c>
      <c r="G34">
        <v>2</v>
      </c>
    </row>
    <row r="35" spans="1:7" x14ac:dyDescent="0.35">
      <c r="A35" t="s">
        <v>59</v>
      </c>
      <c r="B35" t="s">
        <v>138</v>
      </c>
      <c r="C35">
        <v>509950001</v>
      </c>
      <c r="D35">
        <v>5036002480</v>
      </c>
      <c r="E35" t="s">
        <v>139</v>
      </c>
      <c r="F35" t="s">
        <v>140</v>
      </c>
      <c r="G35">
        <v>2</v>
      </c>
    </row>
    <row r="36" spans="1:7" x14ac:dyDescent="0.35">
      <c r="A36" t="s">
        <v>60</v>
      </c>
      <c r="B36" t="s">
        <v>138</v>
      </c>
      <c r="C36">
        <v>509950001</v>
      </c>
      <c r="D36">
        <v>5036002480</v>
      </c>
      <c r="E36" t="s">
        <v>139</v>
      </c>
      <c r="F36" t="s">
        <v>140</v>
      </c>
      <c r="G36">
        <v>2</v>
      </c>
    </row>
    <row r="37" spans="1:7" x14ac:dyDescent="0.35">
      <c r="A37" t="s">
        <v>61</v>
      </c>
      <c r="B37" t="s">
        <v>138</v>
      </c>
      <c r="C37">
        <v>509950001</v>
      </c>
      <c r="D37">
        <v>5036002480</v>
      </c>
      <c r="E37" t="s">
        <v>139</v>
      </c>
      <c r="F37" t="s">
        <v>140</v>
      </c>
      <c r="G37">
        <v>2</v>
      </c>
    </row>
    <row r="38" spans="1:7" x14ac:dyDescent="0.35">
      <c r="A38" t="s">
        <v>62</v>
      </c>
      <c r="B38" t="s">
        <v>138</v>
      </c>
      <c r="C38">
        <v>509950001</v>
      </c>
      <c r="D38">
        <v>5036002480</v>
      </c>
      <c r="E38" t="s">
        <v>139</v>
      </c>
      <c r="F38" t="s">
        <v>140</v>
      </c>
      <c r="G38">
        <v>2</v>
      </c>
    </row>
    <row r="39" spans="1:7" x14ac:dyDescent="0.35">
      <c r="A39" t="s">
        <v>63</v>
      </c>
      <c r="B39" t="s">
        <v>141</v>
      </c>
      <c r="C39">
        <v>997350001</v>
      </c>
      <c r="D39">
        <v>7802348846</v>
      </c>
      <c r="E39" t="s">
        <v>142</v>
      </c>
      <c r="F39" t="s">
        <v>131</v>
      </c>
      <c r="G39">
        <v>2</v>
      </c>
    </row>
    <row r="40" spans="1:7" x14ac:dyDescent="0.35">
      <c r="A40" t="s">
        <v>64</v>
      </c>
      <c r="B40" t="s">
        <v>141</v>
      </c>
      <c r="C40">
        <v>997350001</v>
      </c>
      <c r="D40">
        <v>7802348846</v>
      </c>
      <c r="E40" t="s">
        <v>142</v>
      </c>
      <c r="F40" t="s">
        <v>131</v>
      </c>
      <c r="G40">
        <v>2</v>
      </c>
    </row>
    <row r="41" spans="1:7" x14ac:dyDescent="0.35">
      <c r="A41" t="s">
        <v>65</v>
      </c>
      <c r="B41" t="s">
        <v>136</v>
      </c>
      <c r="C41">
        <v>784201001</v>
      </c>
      <c r="D41">
        <v>7804526950</v>
      </c>
      <c r="E41" t="s">
        <v>137</v>
      </c>
      <c r="F41" t="s">
        <v>131</v>
      </c>
      <c r="G41">
        <v>2</v>
      </c>
    </row>
    <row r="42" spans="1:7" x14ac:dyDescent="0.35">
      <c r="A42" t="s">
        <v>66</v>
      </c>
      <c r="B42" t="s">
        <v>132</v>
      </c>
      <c r="C42">
        <v>783901001</v>
      </c>
      <c r="D42">
        <v>7839109650</v>
      </c>
      <c r="E42" t="s">
        <v>133</v>
      </c>
      <c r="F42" t="s">
        <v>131</v>
      </c>
      <c r="G42">
        <v>2</v>
      </c>
    </row>
    <row r="43" spans="1:7" x14ac:dyDescent="0.35">
      <c r="A43" t="s">
        <v>67</v>
      </c>
      <c r="B43" t="s">
        <v>132</v>
      </c>
      <c r="C43">
        <v>783901001</v>
      </c>
      <c r="D43">
        <v>7839109650</v>
      </c>
      <c r="E43" t="s">
        <v>133</v>
      </c>
      <c r="F43" t="s">
        <v>131</v>
      </c>
      <c r="G43">
        <v>2</v>
      </c>
    </row>
    <row r="44" spans="1:7" x14ac:dyDescent="0.35">
      <c r="A44" t="s">
        <v>68</v>
      </c>
      <c r="B44" t="s">
        <v>136</v>
      </c>
      <c r="C44">
        <v>784201001</v>
      </c>
      <c r="D44">
        <v>7804526950</v>
      </c>
      <c r="E44" t="s">
        <v>137</v>
      </c>
      <c r="F44" t="s">
        <v>131</v>
      </c>
      <c r="G44">
        <v>2</v>
      </c>
    </row>
    <row r="45" spans="1:7" x14ac:dyDescent="0.35">
      <c r="A45" t="s">
        <v>69</v>
      </c>
      <c r="B45" t="s">
        <v>141</v>
      </c>
      <c r="C45">
        <v>997350001</v>
      </c>
      <c r="D45">
        <v>7802348846</v>
      </c>
      <c r="E45" t="s">
        <v>142</v>
      </c>
      <c r="F45" t="s">
        <v>131</v>
      </c>
      <c r="G45">
        <v>2</v>
      </c>
    </row>
    <row r="46" spans="1:7" x14ac:dyDescent="0.35">
      <c r="A46" t="s">
        <v>70</v>
      </c>
      <c r="B46" t="s">
        <v>143</v>
      </c>
      <c r="C46">
        <v>543301001</v>
      </c>
      <c r="D46">
        <v>5433191298</v>
      </c>
      <c r="E46" t="s">
        <v>144</v>
      </c>
      <c r="F46" t="s">
        <v>131</v>
      </c>
      <c r="G46">
        <v>2</v>
      </c>
    </row>
    <row r="47" spans="1:7" x14ac:dyDescent="0.35">
      <c r="A47" t="s">
        <v>71</v>
      </c>
      <c r="B47" t="s">
        <v>141</v>
      </c>
      <c r="C47">
        <v>997350001</v>
      </c>
      <c r="D47">
        <v>7802348846</v>
      </c>
      <c r="E47" t="s">
        <v>142</v>
      </c>
      <c r="F47" t="s">
        <v>131</v>
      </c>
      <c r="G47">
        <v>2</v>
      </c>
    </row>
    <row r="48" spans="1:7" x14ac:dyDescent="0.35">
      <c r="A48" t="s">
        <v>72</v>
      </c>
      <c r="B48" t="s">
        <v>143</v>
      </c>
      <c r="C48">
        <v>543301001</v>
      </c>
      <c r="D48">
        <v>5433191298</v>
      </c>
      <c r="E48" t="s">
        <v>144</v>
      </c>
      <c r="F48" t="s">
        <v>131</v>
      </c>
      <c r="G48">
        <v>2</v>
      </c>
    </row>
    <row r="49" spans="1:7" x14ac:dyDescent="0.35">
      <c r="A49" t="s">
        <v>73</v>
      </c>
      <c r="B49" t="s">
        <v>143</v>
      </c>
      <c r="C49">
        <v>543301001</v>
      </c>
      <c r="D49">
        <v>5433191298</v>
      </c>
      <c r="E49" t="s">
        <v>144</v>
      </c>
      <c r="F49" t="s">
        <v>131</v>
      </c>
      <c r="G49">
        <v>2</v>
      </c>
    </row>
    <row r="50" spans="1:7" x14ac:dyDescent="0.35">
      <c r="A50" t="s">
        <v>74</v>
      </c>
      <c r="B50" t="s">
        <v>141</v>
      </c>
      <c r="C50">
        <v>997350001</v>
      </c>
      <c r="D50">
        <v>7802348846</v>
      </c>
      <c r="E50" t="s">
        <v>142</v>
      </c>
      <c r="F50" t="s">
        <v>131</v>
      </c>
      <c r="G50">
        <v>2</v>
      </c>
    </row>
    <row r="51" spans="1:7" x14ac:dyDescent="0.35">
      <c r="A51" t="s">
        <v>75</v>
      </c>
      <c r="B51" t="s">
        <v>141</v>
      </c>
      <c r="C51">
        <v>997350001</v>
      </c>
      <c r="D51">
        <v>7802348846</v>
      </c>
      <c r="E51" t="s">
        <v>142</v>
      </c>
      <c r="F51" t="s">
        <v>131</v>
      </c>
      <c r="G51">
        <v>2</v>
      </c>
    </row>
    <row r="52" spans="1:7" x14ac:dyDescent="0.35">
      <c r="A52" t="s">
        <v>76</v>
      </c>
      <c r="B52" t="s">
        <v>141</v>
      </c>
      <c r="C52">
        <v>997350001</v>
      </c>
      <c r="D52">
        <v>7802348846</v>
      </c>
      <c r="E52" t="s">
        <v>142</v>
      </c>
      <c r="F52" t="s">
        <v>131</v>
      </c>
      <c r="G52">
        <v>2</v>
      </c>
    </row>
    <row r="53" spans="1:7" x14ac:dyDescent="0.35">
      <c r="A53" t="s">
        <v>77</v>
      </c>
      <c r="B53" t="s">
        <v>145</v>
      </c>
      <c r="C53">
        <v>470301001</v>
      </c>
      <c r="D53">
        <v>4703126149</v>
      </c>
      <c r="E53" t="s">
        <v>146</v>
      </c>
      <c r="F53" t="s">
        <v>131</v>
      </c>
      <c r="G53">
        <v>2</v>
      </c>
    </row>
    <row r="54" spans="1:7" x14ac:dyDescent="0.35">
      <c r="A54" t="s">
        <v>78</v>
      </c>
      <c r="B54" t="s">
        <v>145</v>
      </c>
      <c r="C54">
        <v>470301001</v>
      </c>
      <c r="D54">
        <v>4703126149</v>
      </c>
      <c r="E54" t="s">
        <v>146</v>
      </c>
      <c r="F54" t="s">
        <v>147</v>
      </c>
      <c r="G54">
        <v>2</v>
      </c>
    </row>
    <row r="55" spans="1:7" x14ac:dyDescent="0.35">
      <c r="A55" t="s">
        <v>79</v>
      </c>
      <c r="B55" t="s">
        <v>145</v>
      </c>
      <c r="C55">
        <v>470301001</v>
      </c>
      <c r="D55">
        <v>4703126149</v>
      </c>
      <c r="E55" t="s">
        <v>146</v>
      </c>
      <c r="F55" t="s">
        <v>147</v>
      </c>
      <c r="G55">
        <v>2</v>
      </c>
    </row>
    <row r="56" spans="1:7" x14ac:dyDescent="0.35">
      <c r="A56" t="s">
        <v>80</v>
      </c>
      <c r="B56" t="s">
        <v>148</v>
      </c>
      <c r="C56">
        <v>774301001</v>
      </c>
      <c r="D56">
        <v>7715777616</v>
      </c>
      <c r="E56" t="s">
        <v>149</v>
      </c>
      <c r="F56" t="s">
        <v>147</v>
      </c>
      <c r="G56">
        <v>2</v>
      </c>
    </row>
    <row r="57" spans="1:7" x14ac:dyDescent="0.35">
      <c r="A57" t="s">
        <v>81</v>
      </c>
      <c r="B57" t="s">
        <v>141</v>
      </c>
      <c r="C57">
        <v>997350001</v>
      </c>
      <c r="D57">
        <v>7802348846</v>
      </c>
      <c r="E57" t="s">
        <v>142</v>
      </c>
      <c r="F57" t="s">
        <v>147</v>
      </c>
      <c r="G57">
        <v>2</v>
      </c>
    </row>
    <row r="58" spans="1:7" x14ac:dyDescent="0.35">
      <c r="A58" t="s">
        <v>82</v>
      </c>
      <c r="B58" t="s">
        <v>141</v>
      </c>
      <c r="C58">
        <v>997350001</v>
      </c>
      <c r="D58">
        <v>7802348846</v>
      </c>
      <c r="E58" t="s">
        <v>142</v>
      </c>
      <c r="F58" t="s">
        <v>147</v>
      </c>
      <c r="G58">
        <v>2</v>
      </c>
    </row>
    <row r="59" spans="1:7" x14ac:dyDescent="0.35">
      <c r="A59" t="s">
        <v>83</v>
      </c>
      <c r="B59" t="s">
        <v>145</v>
      </c>
      <c r="C59">
        <v>470301001</v>
      </c>
      <c r="D59">
        <v>4703126149</v>
      </c>
      <c r="E59" t="s">
        <v>146</v>
      </c>
      <c r="F59" t="s">
        <v>131</v>
      </c>
      <c r="G59">
        <v>2</v>
      </c>
    </row>
    <row r="60" spans="1:7" x14ac:dyDescent="0.35">
      <c r="A60" t="s">
        <v>84</v>
      </c>
      <c r="B60" t="s">
        <v>145</v>
      </c>
      <c r="C60">
        <v>470301001</v>
      </c>
      <c r="D60">
        <v>4703126149</v>
      </c>
      <c r="E60" t="s">
        <v>146</v>
      </c>
      <c r="F60" t="s">
        <v>131</v>
      </c>
      <c r="G60">
        <v>2</v>
      </c>
    </row>
    <row r="61" spans="1:7" x14ac:dyDescent="0.35">
      <c r="A61" t="s">
        <v>85</v>
      </c>
      <c r="B61" t="s">
        <v>145</v>
      </c>
      <c r="C61">
        <v>470301001</v>
      </c>
      <c r="D61">
        <v>4703126149</v>
      </c>
      <c r="E61" t="s">
        <v>146</v>
      </c>
      <c r="F61" t="s">
        <v>131</v>
      </c>
      <c r="G61">
        <v>2</v>
      </c>
    </row>
    <row r="62" spans="1:7" x14ac:dyDescent="0.35">
      <c r="A62" t="s">
        <v>86</v>
      </c>
      <c r="B62" t="s">
        <v>145</v>
      </c>
      <c r="C62">
        <v>470301001</v>
      </c>
      <c r="D62">
        <v>4703126149</v>
      </c>
      <c r="E62" t="s">
        <v>146</v>
      </c>
      <c r="F62" t="s">
        <v>131</v>
      </c>
      <c r="G62">
        <v>2</v>
      </c>
    </row>
    <row r="63" spans="1:7" x14ac:dyDescent="0.35">
      <c r="A63" t="s">
        <v>87</v>
      </c>
      <c r="B63" t="s">
        <v>145</v>
      </c>
      <c r="C63">
        <v>470301001</v>
      </c>
      <c r="D63">
        <v>4703126149</v>
      </c>
      <c r="E63" t="s">
        <v>146</v>
      </c>
      <c r="F63" t="s">
        <v>131</v>
      </c>
      <c r="G63">
        <v>2</v>
      </c>
    </row>
    <row r="64" spans="1:7" x14ac:dyDescent="0.35">
      <c r="A64" t="s">
        <v>88</v>
      </c>
      <c r="B64" t="s">
        <v>145</v>
      </c>
      <c r="C64">
        <v>470301001</v>
      </c>
      <c r="D64">
        <v>4703126149</v>
      </c>
      <c r="E64" t="s">
        <v>146</v>
      </c>
      <c r="F64" t="s">
        <v>131</v>
      </c>
      <c r="G64">
        <v>2</v>
      </c>
    </row>
    <row r="65" spans="1:7" x14ac:dyDescent="0.35">
      <c r="A65" t="s">
        <v>89</v>
      </c>
      <c r="B65" t="s">
        <v>145</v>
      </c>
      <c r="C65">
        <v>470301001</v>
      </c>
      <c r="D65">
        <v>4703126149</v>
      </c>
      <c r="E65" t="s">
        <v>146</v>
      </c>
      <c r="F65" t="s">
        <v>131</v>
      </c>
      <c r="G65">
        <v>2</v>
      </c>
    </row>
    <row r="66" spans="1:7" x14ac:dyDescent="0.35">
      <c r="A66" t="s">
        <v>90</v>
      </c>
      <c r="B66" t="s">
        <v>145</v>
      </c>
      <c r="C66">
        <v>470301001</v>
      </c>
      <c r="D66">
        <v>4703126149</v>
      </c>
      <c r="E66" t="s">
        <v>146</v>
      </c>
      <c r="F66" t="s">
        <v>131</v>
      </c>
      <c r="G66">
        <v>2</v>
      </c>
    </row>
    <row r="67" spans="1:7" x14ac:dyDescent="0.35">
      <c r="A67" t="s">
        <v>91</v>
      </c>
      <c r="B67" t="s">
        <v>145</v>
      </c>
      <c r="C67">
        <v>470301001</v>
      </c>
      <c r="D67">
        <v>4703126149</v>
      </c>
      <c r="E67" t="s">
        <v>146</v>
      </c>
      <c r="F67" t="s">
        <v>131</v>
      </c>
      <c r="G67">
        <v>2</v>
      </c>
    </row>
    <row r="68" spans="1:7" x14ac:dyDescent="0.35">
      <c r="A68" t="s">
        <v>92</v>
      </c>
      <c r="B68" t="s">
        <v>145</v>
      </c>
      <c r="C68">
        <v>470301001</v>
      </c>
      <c r="D68">
        <v>4703126149</v>
      </c>
      <c r="E68" t="s">
        <v>146</v>
      </c>
      <c r="F68" t="s">
        <v>131</v>
      </c>
      <c r="G68">
        <v>2</v>
      </c>
    </row>
    <row r="69" spans="1:7" x14ac:dyDescent="0.35">
      <c r="A69" t="s">
        <v>93</v>
      </c>
      <c r="B69" t="s">
        <v>141</v>
      </c>
      <c r="C69">
        <v>997350001</v>
      </c>
      <c r="D69">
        <v>7802348846</v>
      </c>
      <c r="E69" t="s">
        <v>142</v>
      </c>
      <c r="F69" t="s">
        <v>131</v>
      </c>
      <c r="G69">
        <v>2</v>
      </c>
    </row>
    <row r="70" spans="1:7" x14ac:dyDescent="0.35">
      <c r="A70" t="s">
        <v>94</v>
      </c>
      <c r="B70" t="s">
        <v>150</v>
      </c>
      <c r="C70">
        <v>772001001</v>
      </c>
      <c r="D70">
        <v>7721285490</v>
      </c>
      <c r="E70" t="s">
        <v>151</v>
      </c>
      <c r="F70" t="s">
        <v>131</v>
      </c>
      <c r="G70">
        <v>2</v>
      </c>
    </row>
    <row r="71" spans="1:7" x14ac:dyDescent="0.35">
      <c r="A71" t="s">
        <v>95</v>
      </c>
      <c r="B71" t="s">
        <v>141</v>
      </c>
      <c r="C71">
        <v>997350001</v>
      </c>
      <c r="D71">
        <v>7802348846</v>
      </c>
      <c r="E71" t="s">
        <v>142</v>
      </c>
      <c r="F71" t="s">
        <v>131</v>
      </c>
      <c r="G71">
        <v>2</v>
      </c>
    </row>
    <row r="72" spans="1:7" x14ac:dyDescent="0.35">
      <c r="A72" t="s">
        <v>96</v>
      </c>
      <c r="B72" t="s">
        <v>141</v>
      </c>
      <c r="C72">
        <v>997350001</v>
      </c>
      <c r="D72">
        <v>7802348846</v>
      </c>
      <c r="E72" t="s">
        <v>142</v>
      </c>
      <c r="F72" t="s">
        <v>131</v>
      </c>
      <c r="G72">
        <v>2</v>
      </c>
    </row>
    <row r="73" spans="1:7" x14ac:dyDescent="0.35">
      <c r="A73" t="s">
        <v>97</v>
      </c>
      <c r="B73" t="s">
        <v>134</v>
      </c>
      <c r="C73">
        <v>781001001</v>
      </c>
      <c r="D73">
        <v>7810216924</v>
      </c>
      <c r="E73" t="s">
        <v>135</v>
      </c>
      <c r="F73" t="s">
        <v>131</v>
      </c>
      <c r="G73">
        <v>2</v>
      </c>
    </row>
    <row r="74" spans="1:7" x14ac:dyDescent="0.35">
      <c r="A74" t="s">
        <v>98</v>
      </c>
      <c r="B74" t="s">
        <v>136</v>
      </c>
      <c r="C74">
        <v>784201001</v>
      </c>
      <c r="D74">
        <v>7804526950</v>
      </c>
      <c r="E74" t="s">
        <v>137</v>
      </c>
      <c r="F74" t="s">
        <v>131</v>
      </c>
      <c r="G74">
        <v>2</v>
      </c>
    </row>
    <row r="75" spans="1:7" x14ac:dyDescent="0.35">
      <c r="A75" t="s">
        <v>99</v>
      </c>
      <c r="B75" t="s">
        <v>136</v>
      </c>
      <c r="C75">
        <v>784201001</v>
      </c>
      <c r="D75">
        <v>7804526950</v>
      </c>
      <c r="E75" t="s">
        <v>137</v>
      </c>
      <c r="F75" t="s">
        <v>131</v>
      </c>
      <c r="G75">
        <v>2</v>
      </c>
    </row>
    <row r="76" spans="1:7" x14ac:dyDescent="0.35">
      <c r="A76" t="s">
        <v>100</v>
      </c>
      <c r="B76" t="s">
        <v>129</v>
      </c>
      <c r="C76">
        <v>780601001</v>
      </c>
      <c r="D76">
        <v>7806155468</v>
      </c>
      <c r="E76" t="s">
        <v>130</v>
      </c>
      <c r="F76" t="s">
        <v>128</v>
      </c>
      <c r="G76">
        <v>2</v>
      </c>
    </row>
    <row r="77" spans="1:7" x14ac:dyDescent="0.35">
      <c r="A77" t="s">
        <v>101</v>
      </c>
      <c r="B77" t="s">
        <v>141</v>
      </c>
      <c r="C77">
        <v>997350001</v>
      </c>
      <c r="D77">
        <v>7802348846</v>
      </c>
      <c r="E77" t="s">
        <v>142</v>
      </c>
      <c r="F77" t="s">
        <v>147</v>
      </c>
      <c r="G77">
        <v>2</v>
      </c>
    </row>
  </sheetData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C8"/>
  <sheetViews>
    <sheetView workbookViewId="0">
      <selection activeCell="F7" sqref="F7"/>
    </sheetView>
  </sheetViews>
  <sheetFormatPr defaultRowHeight="14.5" x14ac:dyDescent="0.35"/>
  <cols>
    <col min="1" max="1" width="22.08984375" customWidth="1"/>
  </cols>
  <sheetData>
    <row r="1" spans="1:3" x14ac:dyDescent="0.35">
      <c r="A1" t="s">
        <v>102</v>
      </c>
    </row>
    <row r="2" spans="1:3" x14ac:dyDescent="0.35">
      <c r="A2" t="s">
        <v>103</v>
      </c>
      <c r="C2" s="36"/>
    </row>
    <row r="3" spans="1:3" x14ac:dyDescent="0.35">
      <c r="A3" t="s">
        <v>105</v>
      </c>
    </row>
    <row r="4" spans="1:3" x14ac:dyDescent="0.35">
      <c r="A4" t="s">
        <v>104</v>
      </c>
    </row>
    <row r="5" spans="1:3" x14ac:dyDescent="0.35">
      <c r="A5" t="s">
        <v>106</v>
      </c>
    </row>
    <row r="6" spans="1:3" x14ac:dyDescent="0.35">
      <c r="A6" t="s">
        <v>107</v>
      </c>
    </row>
    <row r="7" spans="1:3" x14ac:dyDescent="0.35">
      <c r="A7" t="s">
        <v>108</v>
      </c>
    </row>
    <row r="8" spans="1:3" x14ac:dyDescent="0.35">
      <c r="A8" t="s">
        <v>109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Лист1</vt:lpstr>
      <vt:lpstr>Шапка</vt:lpstr>
      <vt:lpstr>ComboboxProducts</vt:lpstr>
      <vt:lpstr>ComboboxMeasure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Nikita Putintsev</dc:creator>
  <cp:lastModifiedBy>Nikita Putintsev</cp:lastModifiedBy>
  <dcterms:created xsi:type="dcterms:W3CDTF">2024-03-12T12:49:33Z</dcterms:created>
  <dcterms:modified xsi:type="dcterms:W3CDTF">2024-03-13T11:29:56Z</dcterms:modified>
</cp:coreProperties>
</file>