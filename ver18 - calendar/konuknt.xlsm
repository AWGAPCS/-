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activeTab="1"/>
  </bookViews>
  <sheets>
    <sheet name="Шапка" sheetId="1" r:id="rId1"/>
    <sheet name="Анализ" sheetId="65" r:id="rId2"/>
    <sheet name="Анализ без формул" sheetId="62" state="hidden" r:id="rId3"/>
    <sheet name="Лист2" sheetId="63" state="hidden" r:id="rId4"/>
    <sheet name="Запас" sheetId="45" state="hidden" r:id="rId5"/>
    <sheet name="Countries" sheetId="57" state="hidden" r:id="rId6"/>
    <sheet name="Заметки" sheetId="31" r:id="rId7"/>
    <sheet name="Companies" sheetId="48" r:id="rId8"/>
    <sheet name="Классификатор" sheetId="29" state="hidden" r:id="rId9"/>
    <sheet name="ComboboxProducts" sheetId="3" r:id="rId10"/>
    <sheet name="ComboboxMeasure" sheetId="4"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6" i="65" l="1"/>
  <c r="L56" i="65" s="1"/>
  <c r="W56" i="65"/>
  <c r="V56" i="65"/>
  <c r="B58" i="65"/>
  <c r="B57" i="65"/>
  <c r="B56" i="65"/>
  <c r="H53" i="65"/>
  <c r="L53" i="65" s="1"/>
  <c r="W53" i="65"/>
  <c r="V53" i="65"/>
  <c r="B55" i="65"/>
  <c r="B54" i="65"/>
  <c r="B53" i="65"/>
  <c r="H50" i="65"/>
  <c r="L50" i="65" s="1"/>
  <c r="W50" i="65"/>
  <c r="V50" i="65"/>
  <c r="B52" i="65"/>
  <c r="B51" i="65"/>
  <c r="B50" i="65"/>
  <c r="H47" i="65"/>
  <c r="L47" i="65" s="1"/>
  <c r="W47" i="65"/>
  <c r="V47" i="65"/>
  <c r="B49" i="65"/>
  <c r="B48" i="65"/>
  <c r="B47" i="65"/>
  <c r="H44" i="65"/>
  <c r="L44" i="65" s="1"/>
  <c r="W44" i="65"/>
  <c r="V44" i="65"/>
  <c r="B46" i="65"/>
  <c r="B45" i="65"/>
  <c r="B44" i="65"/>
  <c r="H41" i="65"/>
  <c r="L41" i="65" s="1"/>
  <c r="W41" i="65"/>
  <c r="V41" i="65"/>
  <c r="B43" i="65"/>
  <c r="B42" i="65"/>
  <c r="B41" i="65"/>
  <c r="H38" i="65"/>
  <c r="L38" i="65" s="1"/>
  <c r="W38" i="65"/>
  <c r="V38" i="65"/>
  <c r="B40" i="65"/>
  <c r="B39" i="65"/>
  <c r="B38" i="65"/>
  <c r="H35" i="65"/>
  <c r="L35" i="65" s="1"/>
  <c r="W35" i="65"/>
  <c r="H37" i="65" s="1"/>
  <c r="L37" i="65" s="1"/>
  <c r="V35" i="65"/>
  <c r="B37" i="65"/>
  <c r="B36" i="65"/>
  <c r="B35" i="65"/>
  <c r="H32" i="65"/>
  <c r="L32" i="65" s="1"/>
  <c r="W32" i="65"/>
  <c r="V32" i="65"/>
  <c r="B34" i="65"/>
  <c r="B33" i="65"/>
  <c r="B32" i="65"/>
  <c r="H58" i="65" l="1"/>
  <c r="L58" i="65" s="1"/>
  <c r="H57" i="65"/>
  <c r="L57" i="65" s="1"/>
  <c r="H55" i="65"/>
  <c r="L55" i="65" s="1"/>
  <c r="H54" i="65"/>
  <c r="L54" i="65" s="1"/>
  <c r="H52" i="65"/>
  <c r="L52" i="65" s="1"/>
  <c r="H51" i="65"/>
  <c r="L51" i="65" s="1"/>
  <c r="H49" i="65"/>
  <c r="L49" i="65" s="1"/>
  <c r="H48" i="65"/>
  <c r="L48" i="65" s="1"/>
  <c r="H46" i="65"/>
  <c r="L46" i="65" s="1"/>
  <c r="H45" i="65"/>
  <c r="L45" i="65" s="1"/>
  <c r="H43" i="65"/>
  <c r="L43" i="65" s="1"/>
  <c r="H42" i="65"/>
  <c r="L42" i="65" s="1"/>
  <c r="H40" i="65"/>
  <c r="L40" i="65" s="1"/>
  <c r="H39" i="65"/>
  <c r="L39" i="65" s="1"/>
  <c r="H36" i="65"/>
  <c r="L36" i="65" s="1"/>
  <c r="H34" i="65"/>
  <c r="L34" i="65" s="1"/>
  <c r="H33" i="65"/>
  <c r="L33" i="65" s="1"/>
  <c r="H29" i="65" l="1"/>
  <c r="L29" i="65" s="1"/>
  <c r="W29" i="65"/>
  <c r="V29" i="65"/>
  <c r="B31" i="65"/>
  <c r="B30" i="65"/>
  <c r="B29" i="65"/>
  <c r="H26" i="65"/>
  <c r="L26" i="65" s="1"/>
  <c r="W26" i="65"/>
  <c r="V26" i="65"/>
  <c r="B28" i="65"/>
  <c r="B27" i="65"/>
  <c r="B26" i="65"/>
  <c r="H23" i="65"/>
  <c r="L23" i="65" s="1"/>
  <c r="W23" i="65"/>
  <c r="V23" i="65"/>
  <c r="B25" i="65"/>
  <c r="B24" i="65"/>
  <c r="B23" i="65"/>
  <c r="H20" i="65"/>
  <c r="L20" i="65" s="1"/>
  <c r="W20" i="65"/>
  <c r="V20" i="65"/>
  <c r="B22" i="65"/>
  <c r="B21" i="65"/>
  <c r="B20" i="65"/>
  <c r="H19" i="65"/>
  <c r="L19" i="65" s="1"/>
  <c r="B19" i="65"/>
  <c r="H18" i="65"/>
  <c r="L18" i="65" s="1"/>
  <c r="B18" i="65"/>
  <c r="H17" i="65"/>
  <c r="L17" i="65" s="1"/>
  <c r="B17" i="65"/>
  <c r="H16" i="65"/>
  <c r="L16" i="65" s="1"/>
  <c r="B16" i="65"/>
  <c r="H15" i="65"/>
  <c r="L15" i="65" s="1"/>
  <c r="B15" i="65"/>
  <c r="H14" i="65"/>
  <c r="L14" i="65" s="1"/>
  <c r="B14" i="65"/>
  <c r="H31" i="65" l="1"/>
  <c r="L31" i="65" s="1"/>
  <c r="H30" i="65"/>
  <c r="L30" i="65" s="1"/>
  <c r="H28" i="65"/>
  <c r="L28" i="65" s="1"/>
  <c r="H27" i="65"/>
  <c r="L27" i="65" s="1"/>
  <c r="H25" i="65"/>
  <c r="L25" i="65" s="1"/>
  <c r="H24" i="65"/>
  <c r="L24" i="65" s="1"/>
  <c r="H22" i="65"/>
  <c r="L22" i="65" s="1"/>
  <c r="H21" i="65"/>
  <c r="L21" i="65"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<sst xmlns="http://schemas.openxmlformats.org/spreadsheetml/2006/main" count="4688" uniqueCount="3767">
  <si>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</si>
  <si>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</si>
  <si>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</si>
  <si>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</si>
  <si>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</si>
  <si>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</si>
  <si>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</si>
  <si>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</si>
  <si>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</si>
  <si>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</si>
  <si>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</si>
  <si>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</si>
  <si>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</si>
  <si>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</si>
  <si>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</si>
  <si>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</si>
  <si>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</si>
  <si>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</si>
  <si>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</si>
  <si>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</si>
  <si>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</si>
  <si>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</si>
  <si>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</si>
  <si>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</si>
  <si>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</si>
  <si>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</si>
  <si>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</si>
  <si>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</si>
  <si>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</si>
  <si>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</si>
  <si>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</si>
  <si>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</si>
  <si>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</si>
  <si>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</si>
  <si>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</si>
  <si>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</si>
  <si>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</si>
  <si>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</si>
  <si>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</si>
  <si>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</si>
  <si>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</si>
  <si>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</si>
  <si>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</si>
  <si>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</si>
  <si>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</si>
  <si>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</si>
  <si>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</si>
  <si>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</si>
  <si>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</si>
  <si>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</si>
  <si>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</si>
  <si>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</si>
  <si>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</si>
  <si>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</si>
  <si>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</si>
  <si>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</si>
  <si>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</si>
  <si>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</si>
  <si>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</si>
  <si>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</si>
  <si>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</si>
  <si>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</si>
  <si>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</si>
  <si>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</si>
  <si>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</si>
  <si>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</si>
  <si>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</si>
  <si>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</si>
  <si>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</si>
  <si>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</si>
  <si>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</si>
  <si>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</si>
  <si>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</si>
  <si>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</si>
  <si>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</si>
  <si>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</si>
  <si>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</si>
  <si>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</si>
  <si>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</si>
  <si>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</si>
  <si>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</si>
  <si>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</si>
  <si>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</si>
  <si>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</si>
  <si>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</si>
  <si>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</si>
  <si>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</si>
  <si>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</si>
  <si>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</si>
  <si>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</si>
  <si>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</si>
  <si>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</si>
  <si>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</si>
  <si>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</si>
  <si>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</si>
  <si>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</si>
  <si>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</si>
  <si>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</si>
  <si>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</si>
  <si>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</si>
  <si>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</si>
  <si>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</si>
  <si>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</si>
  <si>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</si>
  <si>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</si>
  <si>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</si>
  <si>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</si>
  <si>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</si>
  <si>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</si>
  <si>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</si>
  <si>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</si>
  <si>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</si>
  <si>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</si>
  <si>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</si>
  <si>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</si>
  <si>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</si>
  <si>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</si>
  <si>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</si>
  <si>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</si>
  <si>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</si>
  <si>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</si>
  <si>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</si>
  <si>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</si>
  <si>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</si>
  <si>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</si>
  <si>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</si>
  <si>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</si>
  <si>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</si>
  <si>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</si>
  <si>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</si>
  <si>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</si>
  <si>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</si>
  <si>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</si>
  <si>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</si>
  <si>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</si>
  <si>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</si>
  <si>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</si>
  <si>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</si>
  <si>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</si>
  <si>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</si>
  <si>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</si>
  <si>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</si>
  <si>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</si>
  <si>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</si>
  <si>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</si>
  <si>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</si>
  <si>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</si>
  <si>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</si>
  <si>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</si>
  <si>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</si>
  <si>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</si>
  <si>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</si>
  <si>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</si>
  <si>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</si>
  <si>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</si>
  <si>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</si>
  <si>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</si>
  <si>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</si>
  <si>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</si>
  <si>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</si>
  <si>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</si>
  <si>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</si>
  <si>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</si>
  <si>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</si>
  <si>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</si>
  <si>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</si>
  <si>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</si>
  <si>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</si>
  <si>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</si>
  <si>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</si>
  <si>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</si>
  <si>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</si>
  <si>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</si>
  <si>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</si>
  <si>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</si>
  <si>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</si>
  <si>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</si>
  <si>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</si>
  <si>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</si>
  <si>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</si>
  <si>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</si>
  <si>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</si>
  <si>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</si>
  <si>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</si>
  <si>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</si>
  <si>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</si>
  <si>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</si>
  <si>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</si>
  <si>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</si>
  <si>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</si>
  <si>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</si>
  <si>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</si>
  <si>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</si>
  <si>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</si>
  <si>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</si>
  <si>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</si>
  <si>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</si>
  <si>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</si>
  <si>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</si>
  <si>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</si>
  <si>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</si>
  <si>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</si>
  <si>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</si>
  <si>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</si>
  <si>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</si>
  <si>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</si>
  <si>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</si>
  <si>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</si>
  <si>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</si>
  <si>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</si>
  <si>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</si>
  <si>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</si>
  <si>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</si>
  <si>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</si>
  <si>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</si>
  <si>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</si>
  <si>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</si>
  <si>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</si>
  <si>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</si>
  <si>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</si>
  <si>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</si>
  <si>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</si>
  <si>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</si>
  <si>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</si>
  <si>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</si>
  <si>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</si>
  <si>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</si>
  <si>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</si>
  <si>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</si>
  <si>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</si>
  <si>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</si>
  <si>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</si>
  <si>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</si>
  <si>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</si>
  <si>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</si>
  <si>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</si>
  <si>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</si>
  <si>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</si>
  <si>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</si>
  <si>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</si>
  <si>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</si>
  <si>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</si>
  <si>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</si>
  <si>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</si>
  <si>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</si>
  <si>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</si>
  <si>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</si>
  <si>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</si>
  <si>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</si>
  <si>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</si>
  <si>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</si>
  <si>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</si>
  <si>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</si>
  <si>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</si>
  <si>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</si>
  <si>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</si>
  <si>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</si>
  <si>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</si>
  <si>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</si>
  <si>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</si>
  <si>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</si>
  <si>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</si>
  <si>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</si>
  <si>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</si>
  <si>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</si>
  <si>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</si>
  <si>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</si>
  <si>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</si>
  <si>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</si>
  <si>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</si>
  <si>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</si>
  <si>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</si>
  <si>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</si>
  <si>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</si>
  <si>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</si>
  <si>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</si>
  <si>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</si>
  <si>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</si>
  <si>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</si>
  <si>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</si>
  <si>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</si>
  <si>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</si>
  <si>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</si>
  <si>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</si>
  <si>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</si>
  <si>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</si>
  <si>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</si>
  <si>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</si>
  <si>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</si>
  <si>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</si>
  <si>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</si>
  <si>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</si>
  <si>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</si>
  <si>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</si>
  <si>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</si>
  <si>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</si>
  <si>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</si>
  <si>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</si>
  <si>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</si>
  <si>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</si>
  <si>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</si>
  <si>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</si>
  <si>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</si>
  <si>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</si>
  <si>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</si>
  <si>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</si>
  <si>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</si>
  <si>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</si>
  <si>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</si>
  <si>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</si>
  <si>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</si>
  <si>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</si>
  <si>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</si>
  <si>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</si>
  <si>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</si>
  <si>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</si>
  <si>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</si>
  <si>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</si>
  <si>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</si>
  <si>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</si>
  <si>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</si>
  <si>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</si>
  <si>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</si>
  <si>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</si>
  <si>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</si>
  <si>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</si>
  <si>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</si>
  <si>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</si>
  <si>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</si>
  <si>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</si>
  <si>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</si>
  <si>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</si>
  <si>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</si>
  <si>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</si>
  <si>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</si>
  <si>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</si>
  <si>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</si>
  <si>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</si>
  <si>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</si>
  <si>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</si>
  <si>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</si>
  <si>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</si>
  <si>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</si>
  <si>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</si>
  <si>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</si>
  <si>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</si>
  <si>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</si>
  <si>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</si>
  <si>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</si>
  <si>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</si>
  <si>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</si>
  <si>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</si>
  <si>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</si>
  <si>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</si>
  <si>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</si>
  <si>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</si>
  <si>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</si>
  <si>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</si>
  <si>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</si>
  <si>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</si>
  <si>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</si>
  <si>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</si>
  <si>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</si>
  <si>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</si>
  <si>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</si>
  <si>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</si>
  <si>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</si>
  <si>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</si>
  <si>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</si>
  <si>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</si>
  <si>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</si>
  <si>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</si>
  <si>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</si>
  <si>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</si>
  <si>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</si>
  <si>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</si>
  <si>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</si>
  <si>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</si>
  <si>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</si>
  <si>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</si>
  <si>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</si>
  <si>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</si>
  <si>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</si>
  <si>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</si>
  <si>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</si>
  <si>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</si>
  <si>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</si>
  <si>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</si>
  <si>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</si>
  <si>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</si>
  <si>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</si>
  <si>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</si>
  <si>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</si>
  <si>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</si>
  <si>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</si>
  <si>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</si>
  <si>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</si>
  <si>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</si>
  <si>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</si>
  <si>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</si>
  <si>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</si>
  <si>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</si>
  <si>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</si>
  <si>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</si>
  <si>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</si>
  <si>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</si>
  <si>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</si>
  <si>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</si>
  <si>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</si>
  <si>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</si>
  <si>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</si>
  <si>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</si>
  <si>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</si>
  <si>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</si>
  <si>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</si>
  <si>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</si>
  <si>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</si>
  <si>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</si>
  <si>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</si>
  <si>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</si>
  <si>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</si>
  <si>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</si>
  <si>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</si>
  <si>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</si>
  <si>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</si>
  <si>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</si>
  <si>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</si>
  <si>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</si>
  <si>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</si>
  <si>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</si>
  <si>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</si>
  <si>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</si>
  <si>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</si>
  <si>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</si>
  <si>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</si>
  <si>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</si>
  <si>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</si>
  <si>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</si>
  <si>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</si>
  <si>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</si>
  <si>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</si>
  <si>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</si>
  <si>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</si>
  <si>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</si>
  <si>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</si>
  <si>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</si>
  <si>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</si>
  <si>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</si>
  <si>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</si>
  <si>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</si>
  <si>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</si>
  <si>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</si>
  <si>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</si>
  <si>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</si>
  <si>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</si>
  <si>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</si>
  <si>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</si>
  <si>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</si>
  <si>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</si>
  <si>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</si>
  <si>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</si>
  <si>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</si>
  <si>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</si>
  <si>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</si>
  <si>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</si>
  <si>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</si>
  <si>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</si>
  <si>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</si>
  <si>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</si>
  <si>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</si>
  <si>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</si>
  <si>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</si>
  <si>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</si>
  <si>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</si>
  <si>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</si>
  <si>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</si>
  <si>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</si>
  <si>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</si>
  <si>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</si>
  <si>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</si>
  <si>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</si>
  <si>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</si>
  <si>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</si>
  <si>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</si>
  <si>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</si>
  <si>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</si>
  <si>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</si>
  <si>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</si>
  <si>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</si>
  <si>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</si>
  <si>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</si>
  <si>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</si>
  <si>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</si>
  <si>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</si>
  <si>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</si>
  <si>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</si>
  <si>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</si>
  <si>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</si>
  <si>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</si>
  <si>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</si>
  <si>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</si>
  <si>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</si>
  <si>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</si>
  <si>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</si>
  <si>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</si>
  <si>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</si>
  <si>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</si>
  <si>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</si>
  <si>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</si>
  <si>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</si>
  <si>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</si>
  <si>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</si>
  <si>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</si>
  <si>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</si>
  <si>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</si>
  <si>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</si>
  <si>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</si>
  <si>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</si>
  <si>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</si>
  <si>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</si>
  <si>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</si>
  <si>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</si>
  <si>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</si>
  <si>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</si>
  <si>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</si>
  <si>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</si>
  <si>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</si>
  <si>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</si>
  <si>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</si>
  <si>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</si>
  <si>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</si>
  <si>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</si>
  <si>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</si>
  <si>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</si>
  <si>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</si>
  <si>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</si>
  <si>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</si>
  <si>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</si>
  <si>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</si>
  <si>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</si>
  <si>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</si>
  <si>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</si>
  <si>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</si>
  <si>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</si>
  <si>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</si>
  <si>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</si>
  <si>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</si>
  <si>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</si>
  <si>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</si>
  <si>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</si>
  <si>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</si>
  <si>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</si>
  <si>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</si>
  <si>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</si>
  <si>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</si>
  <si>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</si>
  <si>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</si>
  <si>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</si>
  <si>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</si>
  <si>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</si>
  <si>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</si>
  <si>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</si>
  <si>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</si>
  <si>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</si>
  <si>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</si>
  <si>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</si>
  <si>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</si>
  <si>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</si>
  <si>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</si>
  <si>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</si>
  <si>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</si>
  <si>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</si>
  <si>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</si>
  <si>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</si>
  <si>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</si>
  <si>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</si>
  <si>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</si>
  <si>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</si>
  <si>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</si>
  <si>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</si>
  <si>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</si>
  <si>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</si>
  <si>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</si>
  <si>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</si>
  <si>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</si>
  <si>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</si>
  <si>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</si>
  <si>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</si>
  <si>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</si>
  <si>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</si>
  <si>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</si>
  <si>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</si>
  <si>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</si>
  <si>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</si>
  <si>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</si>
  <si>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</si>
  <si>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</si>
  <si>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</si>
  <si>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</si>
  <si>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</si>
  <si>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</si>
  <si>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</si>
  <si>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</si>
  <si>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</si>
  <si>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</si>
  <si>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</si>
  <si>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</si>
  <si>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</si>
  <si>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</si>
  <si>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</si>
  <si>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</si>
  <si>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</si>
  <si>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</si>
  <si>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</si>
  <si>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</si>
  <si>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</si>
  <si>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</si>
  <si>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</si>
  <si>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</si>
  <si>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</si>
  <si>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</si>
  <si>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</si>
  <si>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</si>
  <si>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</si>
  <si>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</si>
  <si>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</si>
  <si>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</si>
  <si>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</si>
  <si>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</si>
  <si>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</si>
  <si>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</si>
  <si>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</si>
  <si>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</si>
  <si>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</si>
  <si>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</si>
  <si>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</si>
  <si>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</si>
  <si>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</si>
  <si>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</si>
  <si>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</si>
  <si>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</si>
  <si>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</si>
  <si>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</si>
  <si>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</si>
  <si>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</si>
  <si>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</si>
  <si>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</si>
  <si>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</si>
  <si>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</si>
  <si>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</si>
  <si>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</si>
  <si>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</si>
  <si>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</si>
  <si>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</si>
  <si>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</si>
  <si>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</si>
  <si>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</si>
  <si>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</si>
  <si>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</si>
  <si>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</si>
  <si>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</si>
  <si>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</si>
  <si>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</si>
  <si>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</si>
  <si>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</si>
  <si>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</si>
  <si>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</si>
  <si>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</si>
  <si>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</si>
  <si>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</si>
  <si>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</si>
  <si>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</si>
  <si>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</si>
  <si>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</si>
  <si>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</si>
  <si>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</si>
  <si>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</si>
  <si>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</si>
  <si>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</si>
  <si>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</si>
  <si>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</si>
  <si>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</si>
  <si>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</si>
  <si>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</si>
  <si>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</si>
  <si>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</si>
  <si>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</si>
  <si>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</si>
  <si>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</si>
  <si>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</si>
  <si>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</si>
  <si>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</si>
  <si>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</si>
  <si>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</si>
  <si>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</si>
  <si>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</si>
  <si>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</si>
  <si>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</si>
  <si>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</si>
  <si>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</si>
  <si>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</si>
  <si>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</si>
  <si>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</si>
  <si>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</si>
  <si>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</si>
  <si>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</si>
  <si>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</si>
  <si>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</si>
  <si>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</si>
  <si>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</si>
  <si>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</si>
  <si>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</si>
  <si>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</si>
  <si>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</si>
  <si>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</si>
  <si>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</si>
  <si>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</si>
  <si>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</si>
  <si>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</si>
  <si>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</si>
  <si>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</si>
  <si>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</si>
  <si>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</si>
  <si>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</si>
  <si>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</si>
  <si>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</si>
  <si>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</si>
  <si>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</si>
  <si>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</si>
  <si>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</si>
  <si>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</si>
  <si>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</si>
  <si>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</si>
  <si>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</si>
  <si>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</si>
  <si>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</si>
  <si>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</si>
  <si>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</si>
  <si>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</si>
  <si>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</si>
  <si>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</si>
  <si>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</si>
  <si>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</si>
  <si>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</si>
  <si>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</si>
  <si>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</si>
  <si>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</si>
  <si>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</si>
  <si>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</si>
  <si>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</si>
  <si>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</si>
  <si>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</si>
  <si>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</si>
  <si>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</si>
  <si>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</si>
  <si>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</si>
  <si>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</si>
  <si>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</si>
  <si>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</si>
  <si>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</si>
  <si>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</si>
  <si>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</si>
  <si>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</si>
  <si>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</si>
  <si>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</si>
  <si>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</si>
  <si>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</si>
  <si>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</si>
  <si>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</si>
  <si>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</si>
  <si>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</si>
  <si>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</si>
  <si>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</si>
  <si>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</si>
  <si>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</si>
  <si>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</si>
  <si>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</si>
  <si>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</si>
  <si>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</si>
  <si>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</si>
  <si>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</si>
  <si>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</si>
  <si>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</si>
  <si>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</si>
  <si>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</si>
  <si>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</si>
  <si>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</si>
  <si>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</si>
  <si>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</si>
  <si>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</si>
  <si>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</si>
  <si>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</si>
  <si>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</si>
  <si>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</si>
  <si>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</si>
  <si>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</si>
  <si>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</si>
  <si>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</si>
  <si>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</si>
  <si>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</si>
  <si>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</si>
  <si>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</si>
  <si>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</si>
  <si>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</si>
  <si>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</si>
  <si>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</si>
  <si>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</si>
  <si>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</si>
  <si>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</si>
  <si>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</si>
  <si>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</si>
  <si>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</si>
  <si>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</si>
  <si>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</si>
  <si>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</si>
  <si>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</si>
  <si>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</si>
  <si>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</si>
  <si>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</si>
  <si>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</si>
  <si>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</si>
  <si>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</si>
  <si>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</si>
  <si>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</si>
  <si>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</si>
  <si>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</si>
  <si>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</si>
  <si>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</si>
  <si>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</si>
  <si>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</si>
  <si>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</si>
  <si>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</si>
  <si>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</si>
  <si>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</si>
  <si>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</si>
  <si>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</si>
  <si>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</si>
  <si>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</si>
  <si>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</si>
  <si>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</si>
  <si>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</si>
  <si>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</si>
  <si>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</si>
  <si>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</si>
  <si>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</si>
  <si>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</si>
  <si>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</si>
  <si>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</si>
  <si>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</si>
  <si>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</si>
  <si>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</si>
  <si>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</si>
  <si>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</si>
  <si>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</si>
  <si>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</si>
  <si>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</si>
  <si>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</si>
  <si>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</si>
  <si>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</si>
  <si>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</si>
  <si>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</si>
  <si>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</si>
  <si>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</si>
  <si>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</si>
  <si>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</si>
  <si>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</si>
  <si>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</si>
  <si>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</si>
  <si>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</si>
  <si>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</si>
  <si>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</si>
  <si>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</si>
  <si>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</si>
  <si>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</si>
  <si>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</si>
  <si>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</si>
  <si>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</si>
  <si>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</si>
  <si>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</si>
  <si>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</si>
  <si>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</si>
  <si>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</si>
  <si>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</si>
  <si>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</si>
  <si>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</si>
  <si>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</si>
  <si>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</si>
  <si>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</si>
  <si>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</si>
  <si>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</si>
  <si>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</si>
  <si>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</si>
  <si>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</si>
  <si>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</si>
  <si>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</si>
  <si>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</si>
  <si>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</si>
  <si>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</si>
  <si>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</si>
  <si>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</si>
  <si>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</si>
  <si>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</si>
  <si>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</si>
  <si>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</si>
  <si>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</si>
  <si>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</si>
  <si>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</si>
  <si>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</si>
  <si>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</si>
  <si>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</si>
  <si>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</si>
  <si>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</si>
  <si>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</si>
  <si>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</si>
  <si>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</si>
  <si>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</si>
  <si>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</si>
  <si>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</si>
  <si>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</si>
  <si>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</si>
  <si>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</si>
  <si>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</si>
  <si>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</si>
  <si>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</si>
  <si>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</si>
  <si>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</si>
  <si>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</si>
  <si>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</si>
  <si>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</si>
  <si>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</si>
  <si>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</si>
  <si>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</si>
  <si>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</si>
  <si>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</si>
  <si>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</si>
  <si>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</si>
  <si>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</si>
  <si>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</si>
  <si>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</si>
  <si>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</si>
  <si>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</si>
  <si>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</si>
  <si>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</si>
  <si>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</si>
  <si>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</si>
  <si>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</si>
  <si>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</si>
  <si>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</si>
  <si>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</si>
  <si>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</si>
  <si>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</si>
  <si>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</si>
  <si>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</si>
  <si>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</si>
  <si>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</si>
  <si>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</si>
  <si>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</si>
  <si>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</si>
  <si>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</si>
  <si>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</si>
  <si>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</si>
  <si>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</si>
  <si>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</si>
  <si>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</si>
  <si>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</si>
  <si>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</si>
  <si>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</si>
  <si>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</si>
  <si>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</si>
  <si>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</si>
  <si>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</si>
  <si>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</si>
  <si>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</si>
  <si>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</si>
  <si>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</si>
  <si>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</si>
  <si>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</si>
  <si>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</si>
  <si>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</si>
  <si>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</si>
  <si>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</si>
  <si>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</si>
  <si>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</si>
  <si>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</si>
  <si>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</si>
  <si>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</si>
  <si>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</si>
  <si>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</si>
  <si>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</si>
  <si>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</si>
  <si>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</si>
  <si>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</si>
  <si>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</si>
  <si>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</si>
  <si>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</si>
  <si>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</si>
  <si>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</si>
  <si>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</si>
  <si>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</si>
  <si>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</si>
  <si>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</si>
  <si>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</si>
  <si>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</si>
  <si>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</si>
  <si>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</si>
  <si>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</si>
  <si>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</si>
  <si>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</si>
  <si>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</si>
  <si>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</si>
  <si>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</si>
  <si>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</si>
  <si>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</si>
  <si>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</si>
  <si>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</si>
  <si>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</si>
  <si>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</si>
  <si>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</si>
  <si>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</si>
  <si>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</si>
  <si>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</si>
  <si>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</si>
  <si>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</si>
  <si>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</si>
  <si>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</si>
  <si>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</si>
  <si>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</si>
  <si>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</si>
  <si>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</si>
  <si>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</si>
  <si>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</si>
  <si>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</si>
  <si>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</si>
  <si>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</si>
  <si>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</si>
  <si>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</si>
  <si>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</si>
  <si>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</si>
  <si>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</si>
  <si>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</si>
  <si>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</si>
  <si>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</si>
  <si>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</si>
  <si>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</si>
  <si>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</si>
  <si>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</si>
  <si>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</si>
  <si>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</si>
  <si>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</si>
  <si>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</si>
  <si>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</si>
  <si>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</si>
  <si>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</si>
  <si>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</si>
  <si>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</si>
  <si>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</si>
  <si>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</si>
  <si>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</si>
  <si>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</si>
  <si>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</si>
  <si>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</si>
  <si>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</si>
  <si>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</si>
  <si>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</si>
  <si>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</si>
  <si>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</si>
  <si>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</si>
  <si>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</si>
  <si>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</si>
  <si>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</si>
  <si>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</si>
  <si>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</si>
  <si>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</si>
  <si>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</si>
  <si>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</si>
  <si>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</si>
  <si>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</si>
  <si>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</si>
  <si>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</si>
  <si>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</si>
  <si>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</si>
  <si>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</si>
  <si>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</si>
  <si>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</si>
  <si>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</si>
  <si>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</si>
  <si>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</si>
  <si>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</si>
  <si>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</si>
  <si>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</si>
  <si>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</si>
  <si>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</si>
  <si>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</si>
  <si>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</si>
  <si>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</si>
  <si>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</si>
  <si>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</si>
  <si>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</si>
  <si>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</si>
  <si>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</si>
  <si>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</si>
  <si>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</si>
  <si>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</si>
  <si>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</si>
  <si>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</si>
  <si>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</si>
  <si>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</si>
  <si>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</si>
  <si>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</si>
  <si>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</si>
  <si>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</si>
  <si>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</si>
  <si>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</si>
  <si>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</si>
  <si>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</si>
  <si>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</si>
  <si>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</si>
  <si>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</si>
  <si>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</si>
  <si>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</si>
  <si>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</si>
  <si>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</si>
  <si>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</si>
  <si>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</si>
  <si>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</si>
  <si>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</si>
  <si>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</si>
  <si>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</si>
  <si>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</si>
  <si>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</si>
  <si>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</si>
  <si>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</si>
  <si>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</si>
  <si>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</si>
  <si>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</si>
  <si>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</si>
  <si>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</si>
  <si>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</si>
  <si>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</si>
  <si>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</si>
  <si>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</si>
  <si>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</si>
  <si>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</si>
  <si>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</si>
  <si>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</si>
  <si>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</si>
  <si>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</si>
  <si>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</si>
  <si>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</si>
  <si>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</si>
  <si>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</si>
  <si>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</si>
  <si>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</si>
  <si>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</si>
  <si>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</si>
  <si>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</si>
  <si>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</si>
  <si>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</si>
  <si>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</si>
  <si>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</si>
  <si>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</si>
  <si>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</si>
  <si>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</si>
  <si>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</si>
  <si>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</si>
  <si>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</si>
  <si>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</si>
  <si>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</si>
  <si>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</si>
  <si>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</si>
  <si>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</si>
  <si>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</si>
  <si>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</si>
  <si>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</si>
  <si>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</si>
  <si>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</si>
  <si>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</si>
  <si>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</si>
  <si>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</si>
  <si>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</si>
  <si>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</si>
  <si>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</si>
  <si>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</si>
  <si>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</si>
  <si>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</si>
  <si>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</si>
  <si>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</si>
  <si>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</si>
  <si>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</si>
  <si>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</si>
  <si>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</si>
  <si>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</si>
  <si>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</si>
  <si>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</si>
  <si>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</si>
  <si>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</si>
  <si>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</si>
  <si>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</si>
  <si>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</si>
  <si>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</si>
  <si>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</si>
  <si>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</si>
  <si>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</si>
  <si>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</si>
  <si>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</si>
  <si>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</si>
  <si>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</si>
  <si>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</si>
  <si>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</si>
  <si>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</si>
  <si>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</si>
  <si>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</si>
  <si>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</si>
  <si>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</si>
  <si>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</si>
  <si>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</si>
  <si>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</si>
  <si>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</si>
  <si>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</si>
  <si>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</si>
  <si>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</si>
  <si>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</si>
  <si>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</si>
  <si>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</si>
  <si>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</si>
  <si>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</si>
  <si>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</si>
  <si>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</si>
  <si>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</si>
  <si>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</si>
  <si>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</si>
  <si>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</si>
  <si>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</si>
  <si>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</si>
  <si>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</si>
  <si>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</si>
  <si>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</si>
  <si>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</si>
  <si>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</si>
  <si>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</si>
  <si>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</si>
  <si>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</si>
  <si>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</si>
  <si>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</si>
  <si>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</si>
  <si>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</si>
  <si>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</si>
  <si>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</si>
  <si>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</si>
  <si>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</si>
  <si>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</si>
  <si>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</si>
  <si>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</si>
  <si>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</si>
  <si>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</si>
  <si>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</si>
  <si>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</si>
  <si>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</si>
  <si>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</si>
  <si>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</si>
  <si>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</si>
  <si>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</si>
  <si>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</si>
  <si>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</si>
  <si>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</si>
  <si>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</si>
  <si>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</si>
  <si>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</si>
  <si>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</si>
  <si>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</si>
  <si>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</si>
  <si>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</si>
  <si>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</si>
  <si>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</si>
  <si>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</si>
  <si>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</si>
  <si>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</si>
  <si>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</si>
  <si>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</si>
  <si>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</si>
  <si>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</si>
  <si>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</si>
  <si>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</si>
  <si>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</si>
  <si>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</si>
  <si>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</si>
  <si>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</si>
  <si>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</si>
  <si>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</si>
  <si>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</si>
  <si>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</si>
  <si>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</si>
  <si>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</si>
  <si>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</si>
  <si>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</si>
  <si>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</si>
  <si>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</si>
  <si>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</si>
  <si>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</si>
  <si>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</si>
  <si>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</si>
  <si>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</si>
  <si>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</si>
  <si>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</si>
  <si>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</si>
  <si>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</si>
  <si>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</si>
  <si>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</si>
  <si>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</si>
  <si>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</si>
  <si>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</si>
  <si>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</si>
  <si>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</si>
  <si>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</si>
  <si>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</si>
  <si>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</si>
  <si>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</si>
  <si>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</si>
  <si>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</si>
  <si>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</si>
  <si>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</si>
  <si>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</si>
  <si>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</si>
  <si>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</si>
  <si>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</si>
  <si>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</si>
  <si>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</si>
  <si>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</si>
  <si>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</si>
  <si>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</si>
  <si>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</si>
  <si>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</si>
  <si>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</si>
  <si>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</si>
  <si>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</si>
  <si>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</si>
  <si>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</si>
  <si>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</si>
  <si>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</si>
  <si>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</si>
  <si>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</si>
  <si>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</si>
  <si>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</si>
  <si>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</si>
  <si>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</si>
  <si>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</si>
  <si>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</si>
  <si>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</si>
  <si>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</si>
  <si>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</si>
  <si>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</si>
  <si>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</si>
  <si>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</si>
  <si>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</si>
  <si>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</si>
  <si>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</si>
  <si>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</si>
  <si>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</si>
  <si>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</si>
  <si>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</si>
  <si>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</si>
  <si>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</si>
  <si>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</si>
  <si>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</si>
  <si>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</si>
  <si>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</si>
  <si>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</si>
  <si>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</si>
  <si>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</si>
  <si>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</si>
  <si>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</si>
  <si>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</si>
  <si>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</si>
  <si>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</si>
  <si>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</si>
  <si>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</si>
  <si>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</si>
  <si>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</si>
  <si>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</si>
  <si>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</si>
  <si>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</si>
  <si>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</si>
  <si>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</si>
  <si>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</si>
  <si>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</si>
  <si>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</si>
  <si>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</si>
  <si>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</si>
  <si>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</si>
  <si>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</si>
  <si>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</si>
  <si>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</si>
  <si>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</si>
  <si>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</si>
  <si>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</si>
  <si>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</si>
  <si>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</si>
  <si>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</si>
  <si>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</si>
  <si>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</si>
  <si>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</si>
  <si>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</si>
  <si>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</si>
  <si>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</si>
  <si>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</si>
  <si>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</si>
  <si>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</si>
  <si>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</si>
  <si>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</si>
  <si>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</si>
  <si>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</si>
  <si>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</si>
  <si>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</si>
  <si>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</si>
  <si>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</si>
  <si>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</si>
  <si>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</si>
  <si>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</si>
  <si>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</si>
  <si>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</si>
  <si>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</si>
  <si>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</si>
  <si>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</si>
  <si>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</si>
  <si>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</si>
  <si>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</si>
  <si>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</si>
  <si>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</si>
  <si>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</si>
  <si>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</si>
  <si>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</si>
  <si>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</si>
  <si>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</si>
  <si>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</si>
  <si>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</si>
  <si>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</si>
  <si>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</si>
  <si>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</si>
  <si>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</si>
  <si>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</si>
  <si>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</si>
  <si>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</si>
  <si>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</si>
  <si>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</si>
  <si>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</si>
  <si>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</si>
  <si>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</si>
  <si>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</si>
  <si>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</si>
  <si>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</si>
  <si>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</si>
  <si>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</si>
  <si>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</si>
  <si>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</si>
  <si>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</si>
  <si>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</si>
  <si>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</si>
  <si>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</si>
  <si>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</si>
  <si>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</si>
  <si>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</si>
  <si>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</si>
  <si>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</si>
  <si>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</si>
  <si>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</si>
  <si>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</si>
  <si>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</si>
  <si>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</si>
  <si>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</si>
  <si>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</si>
  <si>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</si>
  <si>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</si>
  <si>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</si>
  <si>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</si>
  <si>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</si>
  <si>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</si>
  <si>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</si>
  <si>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</si>
  <si>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</si>
  <si>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</si>
  <si>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</si>
  <si>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</si>
  <si>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</si>
  <si>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</si>
  <si>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</si>
  <si>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</si>
  <si>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</si>
  <si>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</si>
  <si>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</si>
  <si>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</si>
  <si>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</si>
  <si>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</si>
  <si>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</si>
  <si>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</si>
  <si>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</si>
  <si>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</si>
  <si>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</si>
  <si>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</si>
  <si>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</si>
  <si>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</si>
  <si>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</si>
  <si>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</si>
  <si>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</si>
  <si>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</si>
  <si>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</si>
  <si>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</si>
  <si>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</si>
  <si>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</si>
  <si>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</si>
  <si>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</si>
  <si>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</si>
  <si>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</si>
  <si>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</si>
  <si>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</si>
  <si>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</si>
  <si>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</si>
  <si>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</si>
  <si>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</si>
  <si>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</si>
  <si>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</si>
  <si>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</si>
  <si>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</si>
  <si>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</si>
  <si>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</si>
  <si>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</si>
  <si>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</si>
  <si>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</si>
  <si>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</si>
  <si>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</si>
  <si>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</si>
  <si>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</si>
  <si>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</si>
  <si>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</si>
  <si>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</si>
  <si>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</si>
  <si>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</si>
  <si>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</si>
  <si>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</si>
  <si>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</si>
  <si>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</si>
  <si>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</si>
  <si>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</si>
  <si>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</si>
  <si>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</si>
  <si>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</si>
  <si>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</si>
  <si>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</si>
  <si>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</si>
  <si>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</si>
  <si>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</si>
  <si>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</si>
  <si>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</si>
  <si>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</si>
  <si>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</si>
  <si>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</si>
  <si>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</si>
  <si>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</si>
  <si>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</si>
  <si>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</si>
  <si>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</si>
  <si>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</si>
  <si>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</si>
  <si>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</si>
  <si>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</si>
  <si>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</si>
  <si>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</si>
  <si>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</si>
  <si>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</si>
  <si>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</si>
  <si>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</si>
  <si>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</si>
  <si>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</si>
  <si>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</si>
  <si>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</si>
  <si>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</si>
  <si>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</si>
  <si>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</si>
  <si>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</si>
  <si>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</si>
  <si>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</si>
  <si>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</si>
  <si>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</si>
  <si>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</si>
  <si>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</si>
  <si>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</si>
  <si>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</si>
  <si>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</si>
  <si>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</si>
  <si>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</si>
  <si>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</si>
  <si>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</si>
  <si>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</si>
  <si>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</si>
  <si>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</si>
  <si>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</si>
  <si>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</si>
  <si>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</si>
  <si>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</si>
  <si>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</si>
  <si>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</si>
  <si>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</si>
  <si>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</si>
  <si>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</si>
  <si>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</si>
  <si>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</si>
  <si>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</si>
  <si>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</si>
  <si>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</si>
  <si>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</si>
  <si>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</si>
  <si>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</si>
  <si>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</si>
  <si>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</si>
  <si>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</si>
  <si>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</si>
  <si>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</si>
  <si>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</si>
  <si>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</si>
  <si>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</si>
  <si>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</si>
  <si>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</si>
  <si>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</si>
  <si>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</si>
  <si>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</si>
  <si>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</si>
  <si>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</si>
  <si>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</si>
  <si>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</si>
  <si>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</si>
  <si>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</si>
  <si>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</si>
  <si>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</si>
  <si>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</si>
  <si>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</si>
  <si>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</si>
  <si>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</si>
  <si>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</si>
  <si>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</si>
  <si>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</si>
  <si>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</si>
  <si>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</si>
  <si>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</si>
  <si>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</si>
  <si>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</si>
  <si>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</si>
  <si>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</si>
  <si>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</si>
  <si>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</si>
  <si>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</si>
  <si>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</si>
  <si>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</si>
  <si>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</si>
  <si>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</si>
  <si>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</si>
  <si>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</si>
  <si>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</si>
  <si>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</si>
  <si>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</si>
  <si>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</si>
  <si>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</si>
  <si>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</si>
  <si>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</si>
  <si>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</si>
  <si>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</si>
  <si>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</si>
  <si>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</si>
  <si>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</si>
  <si>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</si>
  <si>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</si>
  <si>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</si>
  <si>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</si>
  <si>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</si>
  <si>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</si>
  <si>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</si>
  <si>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</si>
  <si>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</si>
  <si>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</si>
  <si>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</si>
  <si>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</si>
  <si>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</si>
  <si>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</si>
  <si>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</si>
  <si>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</si>
  <si>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</si>
  <si>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</si>
  <si>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</si>
  <si>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</si>
  <si>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</si>
  <si>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</si>
  <si>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</si>
  <si>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</si>
  <si>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</si>
  <si>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</si>
  <si>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</si>
  <si>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</si>
  <si>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</si>
  <si>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</si>
  <si>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</si>
  <si>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</si>
  <si>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</si>
  <si>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</si>
  <si>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</si>
  <si>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</si>
  <si>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</si>
  <si>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</si>
  <si>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</si>
  <si>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</si>
  <si>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</si>
  <si>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</si>
  <si>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</si>
  <si>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</si>
  <si>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</si>
  <si>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</si>
  <si>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</si>
  <si>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</si>
  <si>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</si>
  <si>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</si>
  <si>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</si>
  <si>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</si>
  <si>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</si>
  <si>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</si>
  <si>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</si>
  <si>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</si>
  <si>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</si>
  <si>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</si>
  <si>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</si>
  <si>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</si>
  <si>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</si>
  <si>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</si>
  <si>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</si>
  <si>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</si>
  <si>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</si>
  <si>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</si>
  <si>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</si>
  <si>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</si>
  <si>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</si>
  <si>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</si>
  <si>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</si>
  <si>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</si>
  <si>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</si>
  <si>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</si>
  <si>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</si>
  <si>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</si>
  <si>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</si>
  <si>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</si>
  <si>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</si>
  <si>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</si>
  <si>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</si>
  <si>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</si>
  <si>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</si>
  <si>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</si>
  <si>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</si>
  <si>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</si>
  <si>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</si>
  <si>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</si>
  <si>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</si>
  <si>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</si>
  <si>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</si>
  <si>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</si>
  <si>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</si>
  <si>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</si>
  <si>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</si>
  <si>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</si>
  <si>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</si>
  <si>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</si>
  <si>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</si>
  <si>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</si>
  <si>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</si>
  <si>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</si>
  <si>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</si>
  <si>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</si>
  <si>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</si>
  <si>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</si>
  <si>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</si>
  <si>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</si>
  <si>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</si>
  <si>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</si>
  <si>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</si>
  <si>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</si>
  <si>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</si>
  <si>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</si>
  <si>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</si>
  <si>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</si>
  <si>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</si>
  <si>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</si>
  <si>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</si>
  <si>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</si>
  <si>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</si>
  <si>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</si>
  <si>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</si>
  <si>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</si>
  <si>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</si>
  <si>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</si>
  <si>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</si>
  <si>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</si>
  <si>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</si>
  <si>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</si>
  <si>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</si>
  <si>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</si>
  <si>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</si>
  <si>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</si>
  <si>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</si>
  <si>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</si>
  <si>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</si>
  <si>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</si>
  <si>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</si>
  <si>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</si>
  <si>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</si>
  <si>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</si>
  <si>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</si>
  <si>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</si>
  <si>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</si>
  <si>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</si>
  <si>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</si>
  <si>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</si>
  <si>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</si>
  <si>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</si>
  <si>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</si>
  <si>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</si>
  <si>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</si>
  <si>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</si>
  <si>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</si>
  <si>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</si>
  <si>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</si>
  <si>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</si>
  <si>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</si>
  <si>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</si>
  <si>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</si>
  <si>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</si>
  <si>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</si>
  <si>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</si>
  <si>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</si>
  <si>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</si>
  <si>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</si>
  <si>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</si>
  <si>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</si>
  <si>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</si>
  <si>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</si>
  <si>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</si>
  <si>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</si>
  <si>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</si>
  <si>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</si>
  <si>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</si>
  <si>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</si>
  <si>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</si>
  <si>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</si>
  <si>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</si>
  <si>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</si>
  <si>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</si>
  <si>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</si>
  <si>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</si>
  <si>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</si>
  <si>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</si>
  <si>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</si>
  <si>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</si>
  <si>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</si>
  <si>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</si>
  <si>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</si>
  <si>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</si>
  <si>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</si>
  <si>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</si>
  <si>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</si>
  <si>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</si>
  <si>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</si>
  <si>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</si>
  <si>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</si>
  <si>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</si>
  <si>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</si>
  <si>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</si>
  <si>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</si>
  <si>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</si>
  <si>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</si>
  <si>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</si>
  <si>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</si>
  <si>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</si>
  <si>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</si>
  <si>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</si>
  <si>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</si>
  <si>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</si>
  <si>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</si>
  <si>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</si>
  <si>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</si>
  <si>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</si>
  <si>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</si>
  <si>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</si>
  <si>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</si>
  <si>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</si>
  <si>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</si>
  <si>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</si>
  <si>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</si>
  <si>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</si>
  <si>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</si>
  <si>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</si>
  <si>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</si>
  <si>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</si>
  <si>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</si>
  <si>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</si>
  <si>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</si>
  <si>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</si>
  <si>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</si>
  <si>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</si>
  <si>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</si>
  <si>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</si>
  <si>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</si>
  <si>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</si>
  <si>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</si>
  <si>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</si>
  <si>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</si>
  <si>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</si>
  <si>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</si>
  <si>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</si>
  <si>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</si>
  <si>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</si>
  <si>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</si>
  <si>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</si>
  <si>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</si>
  <si>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</si>
  <si>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</si>
  <si>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</si>
  <si>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</si>
  <si>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</si>
  <si>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</si>
  <si>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</si>
  <si>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</si>
  <si>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</si>
  <si>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</si>
  <si>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</si>
  <si>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</si>
  <si>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</si>
  <si>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</si>
  <si>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</si>
  <si>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</si>
  <si>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</si>
  <si>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</si>
  <si>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</si>
  <si>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</si>
  <si>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</si>
  <si>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</si>
  <si>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</si>
  <si>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</si>
  <si>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</si>
  <si>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</si>
  <si>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</si>
  <si>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</si>
  <si>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</si>
  <si>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</si>
  <si>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</si>
  <si>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</si>
  <si>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</si>
  <si>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</si>
  <si>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</si>
  <si>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</si>
  <si>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</si>
  <si>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</si>
  <si>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</si>
  <si>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</si>
  <si>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</si>
  <si>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</si>
  <si>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</si>
  <si>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</si>
  <si>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</si>
  <si>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</si>
  <si>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</si>
  <si>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</si>
  <si>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</si>
  <si>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</si>
  <si>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</si>
  <si>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</si>
  <si>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</si>
  <si>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</si>
  <si>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</si>
  <si>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</si>
  <si>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</si>
  <si>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</si>
  <si>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</si>
  <si>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</si>
  <si>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</si>
  <si>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</si>
  <si>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</si>
  <si>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</si>
  <si>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</si>
  <si>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</si>
  <si>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</si>
  <si>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</si>
  <si>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</si>
  <si>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</si>
  <si>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</si>
  <si>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</si>
  <si>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</si>
  <si>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</si>
  <si>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</si>
  <si>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</si>
  <si>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</si>
  <si>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</si>
  <si>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</si>
  <si>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</si>
  <si>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</si>
  <si>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</si>
  <si>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</si>
  <si>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</si>
  <si>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</si>
  <si>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</si>
  <si>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</si>
  <si>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</si>
  <si>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</si>
  <si>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</si>
  <si>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</si>
  <si>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</si>
  <si>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</si>
  <si>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</si>
  <si>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</si>
  <si>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</si>
  <si>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</si>
  <si>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</si>
  <si>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</si>
  <si>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</si>
  <si>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</si>
  <si>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</si>
  <si>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</si>
  <si>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</si>
  <si>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</si>
  <si>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</si>
  <si>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</si>
  <si>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</si>
  <si>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</si>
  <si>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</si>
  <si>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</si>
  <si>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</si>
  <si>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</si>
  <si>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</si>
  <si>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</si>
  <si>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</si>
  <si>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</si>
  <si>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</si>
  <si>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</si>
  <si>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</si>
  <si>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</si>
  <si>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</si>
  <si>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</si>
  <si>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</si>
  <si>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</si>
  <si>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</si>
  <si>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</si>
  <si>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</si>
  <si>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</si>
  <si>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</si>
  <si>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</si>
  <si>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</si>
  <si>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</si>
  <si>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</si>
  <si>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</si>
  <si>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</si>
  <si>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</si>
  <si>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</si>
  <si>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</si>
  <si>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</si>
  <si>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</si>
  <si>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</si>
  <si>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</si>
  <si>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</si>
  <si>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</si>
  <si>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</si>
  <si>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</si>
  <si>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</si>
  <si>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</si>
  <si>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</si>
  <si>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</si>
  <si>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</si>
  <si>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</si>
  <si>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</si>
  <si>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</si>
  <si>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</si>
  <si>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</si>
  <si>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</si>
  <si>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</si>
  <si>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</si>
  <si>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</si>
  <si>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</si>
  <si>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</si>
  <si>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</si>
  <si>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</si>
  <si>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</si>
  <si>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</si>
  <si>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</si>
  <si>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</si>
  <si>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</si>
  <si>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</si>
  <si>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</si>
  <si>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</si>
  <si>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</si>
  <si>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</si>
  <si>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</si>
  <si>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</si>
  <si>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</si>
  <si>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</si>
  <si>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</si>
  <si>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</si>
  <si>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</si>
  <si>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</si>
  <si>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</si>
  <si>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</si>
  <si>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</si>
  <si>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</si>
  <si>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</si>
  <si>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</si>
  <si>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</si>
  <si>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</si>
  <si>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</si>
  <si>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</si>
  <si>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</si>
  <si>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</si>
  <si>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</si>
  <si>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</si>
  <si>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</si>
  <si>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</si>
  <si>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</si>
  <si>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</si>
  <si>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</si>
  <si>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</si>
  <si>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</si>
  <si>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</si>
  <si>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</si>
  <si>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</si>
  <si>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</si>
  <si>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</si>
  <si>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</si>
  <si>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</si>
  <si>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</si>
  <si>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</si>
  <si>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</si>
  <si>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</si>
  <si>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</si>
  <si>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</si>
  <si>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</si>
  <si>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</si>
  <si>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</si>
  <si>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</si>
  <si>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</si>
  <si>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</si>
  <si>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</si>
  <si>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</si>
  <si>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</si>
  <si>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</si>
  <si>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</si>
  <si>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</si>
  <si>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</si>
  <si>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</si>
  <si>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</si>
  <si>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</si>
  <si>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</si>
  <si>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</si>
  <si>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</si>
  <si>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</si>
  <si>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</si>
  <si>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</si>
  <si>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</si>
  <si>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</si>
  <si>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</si>
  <si>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</si>
  <si>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</si>
  <si>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</si>
  <si>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</si>
  <si>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</si>
  <si>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</si>
  <si>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</si>
  <si>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</si>
  <si>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</si>
  <si>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</si>
  <si>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</si>
  <si>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</si>
  <si>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</si>
  <si>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</si>
  <si>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</si>
  <si>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</si>
  <si>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</si>
  <si>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</si>
  <si>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</si>
  <si>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</si>
  <si>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</si>
  <si>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</si>
  <si>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</si>
  <si>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</si>
  <si>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</si>
  <si>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</si>
  <si>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</si>
  <si>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</si>
  <si>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</si>
  <si>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</si>
  <si>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</si>
  <si>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</si>
  <si>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</si>
  <si>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</si>
  <si>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</si>
  <si>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</si>
  <si>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</si>
  <si>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</si>
  <si>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</si>
  <si>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</si>
  <si>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</si>
  <si>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</si>
  <si>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</si>
  <si>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</si>
  <si>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</si>
  <si>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</si>
  <si>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</si>
  <si>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</si>
  <si>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</si>
  <si>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</si>
  <si>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</si>
  <si>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</si>
  <si>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</si>
  <si>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</si>
  <si>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</si>
  <si>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</si>
  <si>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</si>
  <si>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</si>
  <si>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</si>
  <si>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</si>
  <si>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</si>
  <si>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</si>
  <si>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</si>
  <si>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</si>
  <si>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</si>
  <si>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</si>
  <si>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</si>
  <si>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</si>
  <si>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</si>
  <si>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</si>
  <si>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</si>
  <si>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</si>
  <si>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</si>
  <si>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</si>
  <si>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</si>
  <si>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</si>
  <si>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</si>
  <si>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</si>
  <si>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</si>
  <si>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</si>
  <si>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</si>
  <si>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</si>
  <si>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</si>
  <si>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</si>
  <si>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</si>
  <si>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</si>
  <si>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</si>
  <si>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</si>
  <si>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</si>
  <si>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</si>
  <si>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</si>
  <si>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</si>
  <si>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</si>
  <si>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</si>
  <si>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</si>
  <si>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</si>
  <si>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</si>
  <si>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</si>
  <si>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</si>
  <si>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</si>
  <si>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</si>
  <si>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</si>
  <si>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</si>
  <si>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</si>
  <si>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</si>
  <si>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</si>
  <si>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</si>
  <si>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</si>
  <si>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</si>
  <si>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</si>
  <si>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</si>
  <si>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</si>
  <si>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</si>
  <si>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</si>
  <si>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</si>
  <si>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</si>
  <si>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</si>
  <si>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</si>
  <si>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</si>
  <si>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</si>
  <si>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</si>
  <si>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</si>
  <si>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</si>
  <si>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</si>
  <si>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</si>
  <si>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</si>
  <si>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</si>
  <si>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</si>
  <si>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</si>
  <si>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</si>
  <si>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</si>
  <si>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</si>
  <si>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</si>
  <si>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</si>
  <si>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</si>
  <si>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</si>
  <si>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</si>
  <si>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</si>
  <si>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</si>
  <si>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</si>
  <si>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</si>
  <si>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</si>
  <si>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</si>
  <si>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</si>
  <si>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</si>
  <si>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</si>
  <si>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</si>
  <si>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</si>
  <si>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</si>
  <si>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</si>
  <si>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</si>
  <si>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</si>
  <si>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</si>
  <si>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</si>
  <si>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</si>
  <si>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</si>
  <si>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</si>
  <si>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</si>
  <si>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</si>
  <si>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</si>
  <si>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</si>
  <si>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</si>
  <si>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</si>
  <si>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</si>
  <si>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</si>
  <si>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</si>
  <si>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</si>
  <si>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</si>
  <si>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</si>
  <si>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</si>
  <si>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</si>
  <si>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</si>
  <si>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</si>
  <si>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</si>
  <si>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</si>
  <si>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</si>
  <si>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</si>
  <si>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</si>
  <si>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</si>
  <si>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</si>
  <si>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</si>
  <si>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</si>
  <si>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</si>
  <si>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</si>
  <si>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</si>
  <si>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</si>
  <si>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</si>
  <si>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</si>
  <si>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</si>
  <si>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</si>
  <si>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</si>
  <si>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</si>
  <si>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</si>
  <si>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</si>
  <si>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</si>
  <si>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</si>
  <si>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</si>
  <si>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</si>
  <si>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</si>
  <si>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</si>
  <si>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</si>
  <si>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</si>
  <si>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</si>
  <si>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</si>
  <si>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</si>
  <si>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</si>
  <si>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</si>
  <si>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</si>
  <si>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</si>
  <si>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</si>
  <si>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</si>
  <si>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</si>
  <si>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</si>
  <si>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</si>
  <si>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</si>
  <si>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</si>
  <si>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</si>
  <si>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</si>
  <si>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</si>
  <si>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</si>
  <si>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</si>
  <si>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</si>
  <si>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</si>
  <si>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</si>
  <si>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</si>
  <si>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</si>
  <si>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</si>
  <si>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</si>
  <si>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</si>
  <si>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</si>
  <si>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</si>
  <si>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</si>
  <si>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</si>
  <si>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</si>
  <si>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</si>
  <si>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</si>
  <si>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</si>
  <si>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</si>
  <si>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</si>
  <si>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</si>
  <si>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</si>
  <si>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</si>
  <si>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</si>
  <si>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</si>
  <si>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</si>
  <si>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</si>
  <si>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</si>
  <si>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</si>
  <si>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</si>
  <si>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</si>
  <si>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</si>
  <si>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</si>
  <si>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</si>
  <si>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</si>
  <si>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</si>
  <si>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</si>
  <si>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</si>
  <si>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</si>
  <si>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</si>
  <si>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</si>
  <si>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</si>
  <si>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</si>
  <si>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</si>
  <si>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</si>
  <si>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</si>
  <si>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</si>
  <si>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</si>
  <si>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</si>
  <si>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</si>
  <si>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</si>
  <si>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</si>
  <si>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</si>
  <si>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</si>
  <si>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</si>
  <si>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</si>
  <si>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</si>
  <si>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</si>
  <si>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</si>
  <si>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</si>
  <si>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</si>
  <si>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</si>
  <si>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</si>
  <si>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</si>
  <si>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</si>
  <si>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</si>
  <si>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</si>
  <si>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</si>
  <si>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</si>
  <si>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</si>
  <si>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</si>
  <si>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</si>
  <si>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</si>
  <si>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</si>
  <si>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</si>
  <si>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</si>
  <si>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</si>
  <si>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</si>
  <si>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</si>
  <si>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</si>
  <si>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</si>
  <si>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</si>
  <si>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</si>
  <si>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</si>
  <si>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</si>
  <si>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</si>
  <si>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</si>
  <si>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</si>
  <si>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</si>
  <si>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</si>
  <si>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</si>
  <si>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</si>
  <si>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</si>
  <si>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</si>
  <si>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</si>
  <si>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</si>
  <si>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</si>
  <si>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</si>
  <si>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</si>
  <si>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</si>
  <si>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</si>
  <si>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</si>
  <si>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</si>
  <si>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</si>
  <si>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</si>
  <si>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</si>
  <si>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</si>
  <si>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</si>
  <si>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</si>
  <si>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</si>
  <si>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</si>
  <si>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</si>
  <si>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</si>
  <si>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</si>
  <si>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</si>
  <si>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</si>
  <si>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</si>
  <si>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</si>
  <si>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</si>
  <si>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</si>
  <si>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</si>
  <si>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</si>
  <si>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</si>
  <si>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</si>
  <si>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</si>
  <si>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</si>
  <si>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</si>
  <si>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</si>
  <si>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</si>
  <si>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</si>
  <si>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</si>
  <si>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</si>
  <si>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</si>
  <si>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</si>
  <si>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</si>
  <si>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</si>
  <si>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</si>
  <si>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</si>
  <si>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</si>
  <si>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</si>
  <si>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</si>
  <si>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</si>
  <si>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</si>
  <si>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</si>
  <si>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</si>
  <si>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</si>
  <si>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</si>
  <si>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</si>
  <si>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</si>
  <si>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</si>
  <si>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</si>
  <si>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</si>
  <si>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</si>
  <si>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</si>
  <si>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</si>
  <si>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</si>
  <si>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</si>
  <si>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</si>
  <si>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</si>
  <si>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</si>
  <si>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</si>
  <si>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</si>
  <si>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</si>
  <si>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</si>
  <si>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</si>
  <si>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</si>
  <si>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</si>
  <si>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</si>
  <si>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</si>
  <si>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</si>
  <si>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</si>
  <si>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</si>
  <si>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</si>
  <si>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</si>
  <si>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</si>
  <si>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</si>
  <si>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</si>
  <si>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</si>
  <si>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</si>
  <si>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</si>
  <si>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</si>
  <si>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</si>
  <si>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</si>
  <si>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</si>
  <si>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</si>
  <si>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</si>
  <si>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</si>
  <si>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</si>
  <si>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</si>
  <si>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</si>
  <si>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</si>
  <si>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</si>
  <si>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</si>
  <si>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</si>
  <si>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</si>
  <si>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</si>
  <si>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</si>
  <si>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</si>
  <si>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</si>
  <si>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</si>
  <si>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</si>
  <si>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</si>
  <si>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</si>
  <si>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</si>
  <si>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</si>
  <si>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</si>
  <si>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</si>
  <si>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</si>
  <si>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</si>
  <si>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</si>
  <si>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</si>
  <si>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</si>
  <si>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</si>
  <si>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</si>
  <si>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</si>
  <si>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</si>
  <si>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</si>
  <si>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</si>
  <si>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</si>
  <si>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</si>
  <si>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</si>
  <si>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</si>
  <si>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</si>
  <si>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</si>
  <si>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</si>
  <si>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</si>
  <si>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</si>
  <si>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</si>
  <si>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</si>
  <si>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</si>
  <si>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</si>
  <si>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</si>
  <si>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</si>
  <si>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</si>
  <si>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</si>
  <si>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</si>
  <si>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</si>
  <si>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</si>
  <si>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</si>
  <si>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</si>
  <si>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</si>
  <si>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</si>
  <si>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</si>
  <si>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</si>
  <si>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</si>
  <si>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</si>
  <si>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</si>
  <si>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</si>
  <si>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</si>
  <si>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</si>
  <si>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</si>
  <si>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</si>
  <si>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</si>
  <si>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</si>
  <si>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</si>
  <si>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</si>
  <si>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</si>
  <si>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</si>
  <si>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</si>
  <si>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</si>
  <si>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</si>
  <si>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</si>
  <si>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</si>
  <si>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</si>
  <si>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</si>
  <si>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</si>
  <si>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</si>
  <si>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</si>
  <si>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</si>
  <si>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</si>
  <si>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</si>
  <si>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</si>
  <si>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</si>
  <si>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</si>
  <si>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</si>
  <si>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</si>
  <si>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</si>
  <si>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</si>
  <si>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</si>
  <si>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</si>
  <si>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</si>
  <si>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</si>
  <si>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</si>
  <si>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</si>
  <si>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</si>
  <si>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</si>
  <si>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</si>
  <si>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</si>
  <si>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</si>
  <si>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</si>
  <si>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</si>
  <si>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</si>
  <si>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</si>
  <si>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</si>
  <si>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</si>
  <si>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</si>
  <si>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</si>
  <si>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</si>
  <si>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</si>
  <si>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</si>
  <si>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</si>
  <si>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</si>
  <si>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</si>
  <si>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</si>
  <si>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</si>
  <si>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</si>
  <si>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</si>
  <si>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</si>
  <si>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</si>
  <si>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</si>
  <si>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</si>
  <si>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</si>
  <si>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</si>
  <si>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</si>
  <si>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</si>
  <si>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</si>
  <si>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</si>
  <si>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</si>
  <si>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</si>
  <si>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</si>
  <si>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</si>
  <si>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</si>
  <si>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</si>
  <si>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</si>
  <si>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</si>
  <si>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</si>
  <si>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</si>
  <si>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</si>
  <si>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</si>
  <si>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</si>
  <si>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</si>
  <si>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</si>
  <si>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</si>
  <si>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</si>
  <si>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</si>
  <si>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</si>
  <si>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</si>
  <si>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</si>
  <si>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</si>
  <si>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</si>
  <si>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</si>
  <si>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</si>
  <si>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</si>
  <si>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</si>
  <si>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</si>
  <si>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</si>
  <si>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</si>
  <si>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</si>
  <si>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</si>
  <si>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</si>
  <si>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</si>
  <si>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</si>
  <si>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</si>
  <si>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</si>
  <si>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</si>
  <si>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</si>
  <si>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</si>
  <si>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</si>
  <si>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</si>
  <si>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</si>
  <si>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</si>
  <si>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</si>
  <si>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</si>
  <si>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</si>
  <si>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</si>
  <si>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</si>
  <si>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</si>
  <si>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</si>
  <si>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</si>
  <si>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</si>
  <si>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</si>
  <si>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</si>
  <si>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</si>
  <si>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</si>
  <si>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</si>
  <si>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</si>
  <si>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</si>
  <si>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</si>
  <si>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</si>
  <si>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</si>
  <si>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</si>
  <si>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</si>
  <si>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</si>
  <si>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</si>
  <si>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</si>
  <si>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</si>
  <si>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</si>
  <si>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</si>
  <si>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</si>
  <si>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</si>
  <si>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</si>
  <si>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</si>
  <si>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</si>
  <si>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</si>
  <si>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</si>
  <si>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</si>
  <si>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</si>
  <si>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</si>
  <si>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</si>
  <si>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</si>
  <si>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</si>
  <si>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</si>
  <si>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</si>
  <si>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</si>
  <si>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</si>
  <si>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</si>
  <si>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</si>
  <si>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</si>
  <si>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</si>
  <si>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</si>
  <si>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</si>
  <si>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</si>
  <si>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</si>
  <si>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</si>
  <si>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</si>
  <si>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</si>
  <si>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</si>
  <si>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</si>
  <si>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</si>
  <si>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</si>
  <si>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</si>
  <si>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</si>
  <si>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</si>
  <si>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</si>
  <si>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</si>
  <si>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</si>
  <si>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</si>
  <si>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</si>
  <si>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</si>
  <si>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</si>
  <si>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</si>
  <si>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</si>
  <si>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</si>
  <si>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</si>
  <si>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</si>
  <si>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</si>
  <si>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</si>
  <si>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</si>
  <si>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</si>
  <si>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</si>
  <si>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</si>
  <si>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</si>
  <si>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</si>
  <si>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</si>
  <si>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</si>
  <si>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</si>
  <si>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</si>
  <si>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</si>
  <si>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</si>
  <si>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</si>
  <si>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</si>
  <si>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</si>
  <si>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</si>
  <si>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</si>
  <si>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</si>
  <si>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</si>
  <si>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</si>
  <si>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</si>
  <si>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</si>
  <si>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</si>
  <si>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</si>
  <si>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</si>
  <si>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</si>
  <si>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</si>
  <si>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</si>
  <si>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</si>
  <si>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</si>
  <si>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</si>
  <si>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</si>
  <si>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</si>
  <si>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</si>
  <si>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</si>
  <si>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</si>
  <si>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</si>
  <si>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</si>
  <si>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</si>
  <si>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</si>
  <si>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</si>
  <si>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</si>
  <si>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</si>
  <si>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</si>
  <si>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</si>
  <si>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</si>
  <si>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</si>
  <si>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</si>
  <si>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</si>
  <si>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</si>
  <si>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</si>
  <si>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</si>
  <si>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</si>
  <si>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</si>
  <si>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</si>
  <si>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</si>
  <si>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</si>
  <si>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</si>
  <si>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</si>
  <si>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</si>
  <si>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</si>
  <si>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</si>
  <si>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</si>
  <si>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</si>
  <si>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</si>
  <si>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</si>
  <si>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</si>
  <si>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</si>
  <si>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</si>
  <si>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</si>
  <si>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</si>
  <si>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</si>
  <si>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</si>
  <si>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</si>
  <si>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</si>
  <si>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</si>
  <si>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</si>
  <si>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</si>
  <si>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</si>
  <si>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</si>
  <si>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</si>
  <si>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</si>
  <si>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</si>
  <si>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</si>
  <si>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</si>
  <si>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</si>
  <si>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</si>
  <si>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</si>
  <si>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</si>
  <si>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</si>
  <si>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</si>
  <si>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</si>
  <si>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</si>
  <si>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</si>
  <si>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</si>
  <si>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</si>
  <si>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</si>
  <si>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</si>
  <si>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</si>
  <si>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</si>
  <si>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</si>
  <si>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</si>
  <si>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</si>
  <si>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</si>
  <si>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</si>
  <si>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</si>
  <si>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</si>
  <si>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</si>
  <si>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</si>
  <si>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</si>
  <si>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</si>
  <si>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</si>
  <si>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</si>
  <si>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</si>
  <si>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</si>
  <si>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</si>
  <si>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</si>
  <si>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</si>
  <si>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</si>
  <si>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</si>
  <si>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</si>
  <si>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</si>
  <si>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</si>
  <si>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</si>
  <si>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</si>
  <si>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</si>
  <si>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</si>
  <si>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</si>
  <si>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</si>
  <si>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</si>
  <si>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</si>
  <si>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</si>
  <si>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</si>
  <si>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</si>
  <si>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</si>
  <si>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</si>
  <si>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</si>
  <si>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</si>
  <si>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</si>
  <si>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</si>
  <si>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</si>
  <si>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</si>
  <si>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</si>
  <si>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</si>
  <si>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</si>
  <si>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</si>
  <si>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</si>
  <si>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</si>
  <si>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</si>
  <si>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</si>
  <si>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</si>
  <si>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</si>
  <si>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</si>
  <si>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</si>
  <si>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</si>
  <si>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</si>
  <si>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</si>
  <si>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</si>
  <si>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</si>
  <si>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</si>
  <si>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</si>
  <si>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</si>
  <si>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</si>
  <si>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</si>
  <si>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</si>
  <si>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</si>
  <si>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</si>
  <si>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</si>
  <si>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</si>
  <si>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</si>
  <si>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</si>
  <si>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</si>
  <si>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</si>
  <si>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</si>
  <si>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</si>
  <si>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</si>
  <si>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</si>
  <si>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</si>
  <si>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</si>
  <si>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</si>
  <si>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</si>
  <si>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</si>
  <si>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</si>
  <si>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</si>
  <si>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</si>
  <si>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</si>
  <si>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</si>
  <si>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</si>
  <si>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</si>
  <si>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</si>
  <si>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</si>
  <si>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</si>
  <si>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</si>
  <si>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</si>
  <si>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</si>
  <si>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</si>
  <si>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</si>
  <si>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</si>
  <si>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</si>
  <si>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</si>
  <si>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</si>
  <si>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</si>
  <si>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</si>
  <si>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</si>
  <si>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</si>
  <si>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</si>
  <si>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</si>
  <si>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</si>
  <si>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</si>
  <si>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</si>
  <si>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</si>
  <si>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</si>
  <si>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</si>
  <si>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</si>
  <si>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</si>
  <si>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</si>
  <si>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</si>
  <si>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</si>
  <si>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</si>
  <si>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</si>
  <si>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</si>
  <si>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</si>
  <si>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</si>
  <si>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</si>
  <si>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</si>
  <si>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</si>
  <si>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</si>
  <si>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</si>
  <si>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</si>
  <si>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</si>
  <si>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</si>
  <si>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</si>
  <si>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</si>
  <si>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</si>
  <si>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</si>
  <si>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</si>
  <si>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</si>
  <si>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</si>
  <si>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</si>
  <si>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</si>
  <si>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</si>
  <si>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</si>
  <si>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</si>
  <si>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</si>
  <si>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</si>
  <si>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</si>
  <si>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</si>
  <si>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</si>
  <si>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</si>
  <si>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</si>
  <si>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</si>
  <si>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</si>
  <si>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</si>
  <si>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</si>
  <si>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</si>
  <si>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</si>
  <si>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</si>
  <si>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</si>
  <si>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</si>
  <si>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</si>
  <si>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</si>
  <si>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</si>
  <si>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</si>
  <si>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</si>
  <si>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</si>
  <si>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</si>
  <si>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</si>
  <si>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</si>
  <si>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</si>
  <si>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</si>
  <si>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</si>
  <si>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</si>
  <si>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</si>
  <si>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</si>
  <si>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</si>
  <si>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</si>
  <si>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</si>
  <si>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</si>
  <si>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</si>
  <si>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</si>
  <si>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</si>
  <si>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</si>
  <si>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</si>
  <si>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</si>
  <si>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</si>
  <si>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</si>
  <si>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</si>
  <si>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</si>
  <si>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</si>
  <si>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</si>
  <si>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</si>
  <si>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</si>
  <si>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</si>
  <si>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</si>
  <si>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</si>
  <si>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</si>
  <si>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</si>
  <si>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</si>
  <si>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</si>
  <si>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</si>
  <si>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</si>
  <si>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</si>
  <si>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</si>
  <si>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</si>
  <si>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</si>
  <si>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</si>
  <si>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</si>
  <si>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</si>
  <si>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</si>
  <si>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</si>
  <si>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</si>
  <si>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</si>
  <si>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</si>
  <si>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</si>
  <si>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</si>
  <si>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</si>
  <si>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</si>
  <si>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</si>
  <si>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</si>
  <si>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</si>
  <si>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</si>
  <si>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</si>
  <si>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</si>
  <si>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</si>
  <si>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</si>
  <si>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</si>
  <si>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</si>
  <si>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</si>
  <si>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</si>
  <si>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</si>
  <si>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</si>
  <si>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</si>
  <si>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</si>
  <si>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</si>
  <si>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</si>
  <si>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</si>
  <si>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</si>
  <si>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</si>
  <si>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</si>
  <si>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</si>
  <si>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</si>
  <si>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</si>
  <si>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</si>
  <si>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</si>
  <si>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</si>
  <si>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</si>
  <si>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</si>
  <si>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</si>
  <si>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</si>
  <si>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</si>
  <si>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</si>
  <si>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</si>
  <si>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</si>
  <si>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</si>
  <si>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</si>
  <si>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</si>
  <si>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</si>
  <si>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</si>
  <si>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</si>
  <si>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</si>
  <si>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</si>
  <si>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</si>
  <si>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</si>
  <si>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</si>
  <si>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</si>
  <si>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</si>
  <si>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</si>
  <si>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</si>
  <si>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</si>
  <si>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</si>
  <si>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</si>
  <si>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</si>
  <si>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</si>
  <si>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</si>
  <si>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</si>
  <si>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</si>
  <si>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</si>
  <si>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</si>
  <si>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</si>
  <si>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</si>
  <si>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</si>
  <si>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</si>
  <si>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</si>
  <si>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</si>
  <si>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</si>
  <si>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</si>
  <si>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</si>
  <si>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</si>
  <si>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</si>
  <si>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</si>
  <si>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</si>
  <si>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</si>
  <si>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</si>
  <si>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</si>
  <si>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</si>
  <si>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</si>
  <si>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</si>
  <si>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</si>
  <si>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</si>
  <si>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</si>
  <si>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</si>
  <si>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</si>
  <si>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</si>
  <si>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</si>
  <si>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</si>
  <si>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</si>
  <si>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</si>
  <si>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</si>
  <si>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</si>
  <si>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</si>
  <si>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</si>
  <si>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</si>
  <si>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</si>
  <si>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</si>
  <si>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</si>
  <si>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</si>
  <si>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</si>
  <si>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</si>
  <si>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</si>
  <si>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</si>
  <si>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</si>
  <si>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</si>
  <si>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</si>
  <si>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</si>
  <si>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</si>
  <si>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</si>
  <si>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</si>
  <si>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</si>
  <si>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</si>
  <si>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</si>
  <si>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</si>
  <si>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</si>
  <si>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</si>
  <si>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</si>
  <si>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</si>
  <si>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</si>
  <si>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</si>
  <si>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</si>
  <si>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</si>
  <si>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</si>
  <si>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</si>
  <si>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</si>
  <si>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</si>
  <si>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</si>
  <si>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</si>
  <si>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</si>
  <si>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</si>
  <si>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</si>
  <si>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</si>
  <si>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</si>
  <si>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</si>
  <si>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</si>
  <si>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</si>
  <si>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</si>
  <si>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</si>
  <si>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</si>
  <si>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</si>
  <si>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</si>
  <si>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</si>
  <si>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</si>
  <si>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</si>
  <si>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</si>
  <si>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</si>
  <si>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</si>
  <si>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</si>
  <si>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</si>
  <si>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</si>
  <si>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</si>
  <si>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</si>
  <si>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</si>
  <si>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</si>
  <si>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</si>
  <si>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</si>
  <si>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</si>
  <si>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</si>
  <si>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</si>
  <si>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</si>
  <si>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</si>
  <si>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</si>
  <si>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</si>
  <si>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</si>
  <si>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</si>
  <si>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</si>
  <si>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</si>
  <si>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</si>
  <si>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</si>
  <si>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</si>
  <si>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</si>
  <si>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</si>
  <si>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</si>
  <si>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</si>
  <si>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</si>
  <si>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</si>
  <si>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</si>
  <si>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</si>
  <si>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</si>
  <si>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</si>
  <si>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</si>
  <si>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</si>
  <si>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</si>
  <si>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</si>
  <si>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</si>
  <si>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</si>
  <si>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</si>
  <si>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</si>
  <si>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</si>
  <si>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</si>
  <si>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</si>
  <si>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</si>
  <si>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</si>
  <si>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</si>
  <si>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</si>
  <si>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</si>
  <si>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</si>
  <si>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</si>
  <si>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</si>
  <si>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</si>
  <si>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</si>
  <si>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</si>
  <si>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</si>
  <si>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</si>
  <si>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</si>
  <si>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</si>
  <si>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</si>
  <si>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</si>
  <si>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</si>
  <si>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</si>
  <si>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</si>
  <si>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</si>
  <si>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</si>
  <si>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</si>
  <si>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</si>
  <si>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</si>
  <si>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</si>
  <si>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</si>
  <si>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</si>
  <si>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</si>
  <si>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</si>
  <si>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</si>
  <si>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</si>
  <si>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</si>
  <si>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</si>
  <si>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</si>
  <si>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</si>
  <si>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</si>
  <si>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</si>
  <si>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</si>
  <si>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</si>
  <si>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</si>
  <si>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</si>
  <si>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</si>
  <si>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</si>
  <si>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</si>
  <si>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</si>
  <si>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</si>
  <si>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</si>
  <si>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</si>
  <si>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</si>
  <si>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</si>
  <si>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</si>
  <si>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</si>
  <si>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</si>
  <si>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</si>
  <si>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</si>
  <si>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</si>
  <si>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</si>
  <si>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</si>
  <si>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</si>
  <si>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</si>
  <si>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</si>
  <si>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</si>
  <si>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</si>
  <si>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</si>
  <si>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</si>
  <si>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</si>
  <si>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</si>
  <si>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</si>
  <si>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</si>
  <si>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</si>
  <si>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</si>
  <si>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</si>
  <si>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</si>
  <si>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</si>
  <si>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</si>
  <si>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</si>
  <si>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</si>
  <si>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</si>
  <si>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</si>
  <si>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</si>
  <si>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</si>
  <si>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</si>
  <si>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</si>
  <si>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</si>
  <si>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</si>
  <si>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</si>
  <si>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</si>
  <si>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</si>
  <si>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</si>
  <si>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</si>
  <si>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</si>
  <si>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</si>
  <si>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</si>
  <si>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</si>
  <si>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</si>
  <si>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</si>
  <si>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</si>
  <si>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</si>
  <si>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</si>
  <si>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</si>
  <si>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</si>
  <si>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</si>
  <si>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</si>
  <si>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</si>
  <si>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</si>
  <si>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</si>
  <si>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</si>
  <si>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</si>
  <si>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</si>
  <si>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</si>
  <si>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</si>
  <si>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</si>
  <si>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</si>
  <si>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</si>
  <si>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</si>
  <si>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</si>
  <si>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</si>
  <si>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</si>
  <si>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</si>
  <si>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</si>
  <si>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</si>
  <si>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</si>
  <si>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</si>
  <si>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</si>
  <si>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</si>
  <si>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</si>
  <si>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</si>
  <si>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</si>
  <si>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</si>
  <si>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</si>
  <si>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</si>
  <si>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</si>
  <si>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</si>
  <si>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</si>
  <si>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</si>
  <si>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</si>
  <si>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</si>
  <si>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</si>
  <si>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</si>
  <si>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</si>
  <si>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</si>
  <si>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</si>
  <si>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</si>
  <si>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</si>
  <si>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</si>
  <si>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</si>
  <si>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</si>
  <si>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</si>
  <si>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</si>
  <si>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</si>
  <si>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</si>
  <si>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</si>
  <si>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</si>
  <si>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</si>
  <si>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</si>
  <si>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</si>
  <si>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</si>
  <si>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</si>
  <si>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</si>
  <si>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</si>
  <si>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</si>
  <si>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</si>
  <si>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</si>
  <si>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</si>
  <si>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</si>
  <si>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</si>
  <si>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</si>
  <si>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</si>
  <si>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</si>
  <si>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</si>
  <si>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</si>
  <si>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</si>
  <si>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</si>
  <si>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</si>
  <si>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</si>
  <si>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</si>
  <si>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</si>
  <si>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</si>
  <si>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</si>
  <si>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</si>
  <si>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</si>
  <si>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</si>
  <si>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</si>
  <si>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</si>
  <si>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</si>
  <si>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</si>
  <si>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</si>
  <si>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</si>
  <si>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</si>
  <si>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</si>
  <si>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</si>
  <si>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</si>
  <si>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</si>
  <si>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</si>
  <si>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</si>
  <si>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</si>
  <si>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</si>
  <si>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</si>
  <si>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</si>
  <si>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</si>
  <si>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</si>
  <si>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</si>
  <si>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</si>
  <si>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</si>
  <si>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</si>
  <si>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</si>
  <si>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</si>
  <si>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</si>
  <si>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</si>
  <si>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</si>
  <si>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</si>
  <si>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</si>
  <si>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</si>
  <si>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</si>
  <si>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</si>
  <si>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</si>
  <si>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</si>
  <si>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</si>
  <si>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</si>
  <si>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</si>
  <si>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</si>
  <si>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</si>
  <si>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</si>
  <si>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</si>
  <si>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</si>
  <si>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</si>
  <si>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</si>
  <si>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</si>
  <si>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</si>
  <si>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</si>
  <si>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</si>
  <si>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</si>
  <si>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</si>
  <si>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 xml:space="preserve">Установка стационарная для верхнего слива </t>
  </si>
  <si>
    <t>Установка стационарная для верхнего слива  1508</t>
  </si>
  <si>
    <t>Штука</t>
  </si>
  <si>
    <t>19.20.2020</t>
  </si>
  <si>
    <t>ТЦ_ 18.4.01.02_67_673201001_19.20.2020_2</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</si>
  <si>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</si>
  <si>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</si>
  <si>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</si>
  <si>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</si>
  <si>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</si>
  <si>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</si>
  <si>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</si>
  <si>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</si>
  <si>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</si>
  <si>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</si>
  <si>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</si>
  <si>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</si>
  <si>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</si>
  <si>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</si>
  <si>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ООО "РН-Северо-Запад"</t>
  </si>
  <si>
    <t>Техническое перевооружение опасного производственного объекта площадка нефтебазы по хранению и перевалке нефти и нефтепродуктов (Северодвинская нефтебаза)</t>
  </si>
  <si>
    <t>Коробка клеммная взрывозащищенная КСРВ</t>
  </si>
  <si>
    <t>8 293</t>
  </si>
  <si>
    <t>22.03.2024</t>
  </si>
  <si>
    <t xml:space="preserve"> 20.5.02.02</t>
  </si>
  <si>
    <t>Шкаф коммутационный ШК1</t>
  </si>
  <si>
    <t>Шкаф коммутационный ШК1, в соответствии с требованиями АВТГ.23-096.АТХ.ОЛ1</t>
  </si>
  <si>
    <t>22.04.2024</t>
  </si>
  <si>
    <t xml:space="preserve"> 20.4.04.02</t>
  </si>
  <si>
    <t>2</t>
  </si>
  <si>
    <t>УВГ1030Р24Ф000631
КСРВ111109(4AVK2,5RD-0)-1КНВМ1M-15HK/Р(А)-
2КНВМ1M-15HK/Р(В) Коробка клеммная
взрывозащищенная 1Ex e IIC T5 Gb IP66</t>
  </si>
  <si>
    <t>Шкаф управления насосами ШУН АВТГ.23-096.АТХ.ОЛ2</t>
  </si>
  <si>
    <t>Шкаф управления насосами ШУН</t>
  </si>
  <si>
    <t>3</t>
  </si>
  <si>
    <t>Шкаф управления задвижками ШУЗ, АВТГ.23-096.АТХ.ОЛ3</t>
  </si>
  <si>
    <t>Шкаф управления задвижками ШУЗ</t>
  </si>
  <si>
    <t>4</t>
  </si>
  <si>
    <t>Панель сигнализации ПС АВТГ.23-096.АТХ.ОЛ4</t>
  </si>
  <si>
    <t>Панель сигнализации ПС</t>
  </si>
  <si>
    <t xml:space="preserve"> 89.1.61.02</t>
  </si>
  <si>
    <t>5</t>
  </si>
  <si>
    <t>SCADA-система (500 точек + OPC-сервер)</t>
  </si>
  <si>
    <t>SCADA-система MasterSCADA</t>
  </si>
  <si>
    <t xml:space="preserve"> 62.7.01.04</t>
  </si>
  <si>
    <t>6</t>
  </si>
  <si>
    <t>ООО Кабель РФ</t>
  </si>
  <si>
    <t>zakaz+90645@cable.ru</t>
  </si>
  <si>
    <t>ООО ЭКС</t>
  </si>
  <si>
    <t>zakaz@e-kc.ru</t>
  </si>
  <si>
    <t>info@elektrolight.ru</t>
  </si>
  <si>
    <t>ООО «Электролайт»</t>
  </si>
  <si>
    <t>Кабель монтажный МКЭШвнг(А)-LS 1х2х0,75</t>
  </si>
  <si>
    <t>Пог.м.</t>
  </si>
  <si>
    <t>43,45</t>
  </si>
  <si>
    <t xml:space="preserve"> 21.1.08.03</t>
  </si>
  <si>
    <t>23.04.2024</t>
  </si>
  <si>
    <t>7.1</t>
  </si>
  <si>
    <t>7.2</t>
  </si>
  <si>
    <t>7.3</t>
  </si>
  <si>
    <t>Кабель контрольный КВВГнг(А)-LS 7х0,75</t>
  </si>
  <si>
    <t>73,25</t>
  </si>
  <si>
    <t>81,04</t>
  </si>
  <si>
    <t>8.1</t>
  </si>
  <si>
    <t>8.2</t>
  </si>
  <si>
    <t>8.3</t>
  </si>
  <si>
    <t>https://www.etm.ru/cat/nn/5682719</t>
  </si>
  <si>
    <t>https://cable.ru/cable/marka-kvvgng_a_ls_7x0_75.php</t>
  </si>
  <si>
    <t>https://e-kc.ru/cena/cable-kvvgng-ls-7-0_75</t>
  </si>
  <si>
    <t>https://cable.ru/cable/marka-mkeshvng_a_ls_1x2x0_75.php</t>
  </si>
  <si>
    <t>https://www.elektrolight.ru/kabel/provod-montazhnyy-mkeshvng-a-ls-1kh2kh0-75/</t>
  </si>
  <si>
    <t>https://e-kc.ru/cena/cable-mkeshvng-ls-1-2-0_75</t>
  </si>
  <si>
    <t>ООО 125 Микрон</t>
  </si>
  <si>
    <t xml:space="preserve">sale@125mkm.ru
</t>
  </si>
  <si>
    <t>ООО «ОптикСтройКомплект»</t>
  </si>
  <si>
    <t>office@optik-sk.ru</t>
  </si>
  <si>
    <t>Кабель оптический многомодовый бронированный СЛ-ОКМБ-03НУ-4М5-4,0</t>
  </si>
  <si>
    <t xml:space="preserve"> 21.1.04.07</t>
  </si>
  <si>
    <t>9.1</t>
  </si>
  <si>
    <t>9.2</t>
  </si>
  <si>
    <t>9.3</t>
  </si>
  <si>
    <t>ООО ТИНКО</t>
  </si>
  <si>
    <t>tinko@tinko.ru</t>
  </si>
  <si>
    <t>info@bkk.su</t>
  </si>
  <si>
    <t>ООО «БКК»</t>
  </si>
  <si>
    <t>Кабель СПЕЦЛАН® F/UTP Cat 5е PVC LS нг(А)-LS 4×2×0,52</t>
  </si>
  <si>
    <t xml:space="preserve"> 21.1.04.01</t>
  </si>
  <si>
    <t>10.1</t>
  </si>
  <si>
    <t>10.2</t>
  </si>
  <si>
    <t>10.3</t>
  </si>
  <si>
    <t>https://www.etm.ru/cat/nn/2282177</t>
  </si>
  <si>
    <t>https://tinko.ru/catalog/product/270683/</t>
  </si>
  <si>
    <t>https://www.bkk.su/catalog/kabelnaya_produktsiya/kabel_informatsionnyy/kabel_spetslan/kabel_spetslan_f_utp_cat_5e_pvc_lsng_a_ls_4x2x0_52/</t>
  </si>
  <si>
    <t>https://e-kc.ru/cena/kabel-opticheskij-okmb-03nga-hf-4m5-40-200-foc5002-u-io04-td-hf-0200-itk-iek-iek</t>
  </si>
  <si>
    <t>https://www.optik-sk.ru/opticheskij-kabel-npp-starlink/opticheskij-kabel-npp/sl-okmb-03</t>
  </si>
  <si>
    <t xml:space="preserve">https://125mkm.ru/catalog/opticheskiy-kabel/broinirovannyy-opticheskiy-kabel/kabel-opticheskiy-sl-okmb-03-mnogomodovyy-bronirovannyy/22014/
</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</si>
  <si>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</si>
  <si>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</si>
  <si>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</si>
  <si>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</si>
  <si>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</si>
  <si>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</si>
  <si>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</si>
  <si>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21.04.2024</t>
  </si>
  <si>
    <t xml:space="preserve"> 18.1.09.11</t>
  </si>
  <si>
    <t>11.1</t>
  </si>
  <si>
    <t>11.2</t>
  </si>
  <si>
    <t>11.3</t>
  </si>
  <si>
    <t>https://www.optgaz.ru/11s69p-du100-ru1-6-mpa.html</t>
  </si>
  <si>
    <t>https://www.td-velvis.ru/goods/28909886-kran_sharovoy_stalnoy_flantsevy_11s69p_du100_80_gaz_t_200_c</t>
  </si>
  <si>
    <t>https://dn.ru/sharovyi-kran/teplosnabzhenie/flantcevyi-kran/standartnyi/gess/11s69p/dn100</t>
  </si>
  <si>
    <t>Кран шаровый фланцевый для установки в качестве 11с69п Ду80 Ру1,6</t>
  </si>
  <si>
    <t>12.1</t>
  </si>
  <si>
    <t>12.2</t>
  </si>
  <si>
    <t>12.3</t>
  </si>
  <si>
    <t>https://www.optgaz.ru/duplicate-of-11s69p-du80-ru1-6-mpa.html</t>
  </si>
  <si>
    <t>https://www.td-velvis.ru/goods/28909843-kran_sharovoy_stalnoy_flantsevy_11s69p_du80</t>
  </si>
  <si>
    <t>https://dn.ru/sharovyi-kran/teplosnabzhenie/flantcevyi-kran/standartnyi/gess/11s69p/dn80</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</si>
  <si>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</si>
  <si>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</si>
  <si>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</si>
  <si>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</si>
  <si>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</si>
  <si>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</si>
  <si>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</si>
  <si>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t>13.1</t>
  </si>
  <si>
    <t>13.2</t>
  </si>
  <si>
    <t>13.3</t>
  </si>
  <si>
    <t>https://www.alsoural.ru/catalog/krany-sharovye-muftovye/kran-sharovyj-muftovyj-ksh-m-015-40-01-du15-ru40</t>
  </si>
  <si>
    <t>https://dslprof.ru/catalog/komplektuyushhie-dlya-sistem-otopleniya/zapornaya-armatura/krany-sharovye-ld/krany-sharovye-stalnye-ld/kran-sharovoj-stalnoj-flantsevyj-du15-ru40-ld-polnoprohodnoj-ksh-ts-p-f-015-040-02/</t>
  </si>
  <si>
    <t>https://www.chelarm.ru/catalog/krany/sharovye-flantsevye-kshtsf/flantsevyy-du-15-ru40/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</si>
  <si>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</si>
  <si>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</si>
  <si>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</si>
  <si>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</si>
  <si>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</si>
  <si>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 xml:space="preserve"> 18.1.04.02</t>
  </si>
  <si>
    <t>ООО «Лунда» </t>
  </si>
  <si>
    <t>4076,40</t>
  </si>
  <si>
    <t>14.1</t>
  </si>
  <si>
    <t>14.2</t>
  </si>
  <si>
    <t>14.3</t>
  </si>
  <si>
    <t>https://dn.ru/klapan/klapan-obratnyi/mezhflantcevyi/dvukhstvorchatyi/kvant/epdm/dn40</t>
  </si>
  <si>
    <t>https://lunda.ru/catalog/category/c13176/product/klapan-rushwork_31032.html</t>
  </si>
  <si>
    <t>https://www.buildeng.ru/catalog/tecofi_kalapany_obratnye/klapan_obratnyy_dvukhstvorchatyy_cb3448n_mezhflantsevyy_stvorki_iz_kovkogo_chuguna/</t>
  </si>
  <si>
    <t>zakaz@santech.ru</t>
  </si>
  <si>
    <t>ООО «САНТЕХКОМПЛЕКТ</t>
  </si>
  <si>
    <t>ГК «РосАрмаТорг»</t>
  </si>
  <si>
    <t> sales@rosarmatorg.ru</t>
  </si>
  <si>
    <t>Фланец ст. плоский LD Ду40 Ру16 тип 01 ряд 1 исп.В ГОСТ 33259-2015</t>
  </si>
  <si>
    <t>406,10</t>
  </si>
  <si>
    <t xml:space="preserve"> 18.1.08.05</t>
  </si>
  <si>
    <t>15.1</t>
  </si>
  <si>
    <t>15.2</t>
  </si>
  <si>
    <t>15.3</t>
  </si>
  <si>
    <t>https://www.santech.ru/catalog/293/294/i36542/v127856/</t>
  </si>
  <si>
    <t>https://rosarmatorg.ru/flanets-ploskij-ru16-du40-gost-33259-2015-ld</t>
  </si>
  <si>
    <t>https://dn.ru/fiting/flantsy/ploskie/medeks-33259/pn-16-IV-09g2s/dn40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</si>
  <si>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</si>
  <si>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</si>
  <si>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</si>
  <si>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</si>
  <si>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</si>
  <si>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</si>
  <si>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</si>
  <si>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 xml:space="preserve"> 63.4.01.02</t>
  </si>
  <si>
    <t>16.1</t>
  </si>
  <si>
    <t>16.2</t>
  </si>
  <si>
    <t>16.3</t>
  </si>
  <si>
    <t>https://www.tpoavers.ru/catalog/otbornie_ustroystva_szk_14-2-02/zk_14-2-4-02/ustanovka-1g-u.html</t>
  </si>
  <si>
    <t>https://www.pkf-konros.ru/catalog/otbornye-ustroystva-davleniya/po-sborniku-zakladnykh-konstru2/cat-zk14-2-4-02/zk14-2-4-02-ust-1g-u/</t>
  </si>
  <si>
    <t>https://www.npo-manometr.ru/products/otbornye_ustroystva_davleniya_zk14/zk14_2_4_02_16_225_st20_mu_otbornoe_ustroystvo_uglovoe/</t>
  </si>
  <si>
    <t>info@techsteklo.ru</t>
  </si>
  <si>
    <t>ООО «Компания Доминик»</t>
  </si>
  <si>
    <t>ak2248@yandex.ru</t>
  </si>
  <si>
    <t>ООО "ТЕХНИЧЕСКИЕ СРЕДСТВА"</t>
  </si>
  <si>
    <t>ООО «Химмашнефтекомплект»</t>
  </si>
  <si>
    <t>sale@hmnk.ru</t>
  </si>
  <si>
    <t xml:space="preserve"> 59.1.17.04</t>
  </si>
  <si>
    <t>17.1</t>
  </si>
  <si>
    <t>17.2</t>
  </si>
  <si>
    <t>17.3</t>
  </si>
  <si>
    <t>https://www.techsteklo.ru/catalog/rezervuarnoe-oborudovanie/predoxraniteli-ognevyie/ognepregraditel-op-50.html</t>
  </si>
  <si>
    <t>https://hmnk.ru/products/predoxranitel-ognevoj-po-50/</t>
  </si>
  <si>
    <t>https://www.xn--c1adqcdhccdbemwg0c.xn--p1ai/goods/105493710-predokhranitel_ognevoy_zhidkostny_pozh_50</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</si>
  <si>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</si>
  <si>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</si>
  <si>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</si>
  <si>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</si>
  <si>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</si>
  <si>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</si>
  <si>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</si>
  <si>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18.1</t>
  </si>
  <si>
    <t>18.2</t>
  </si>
  <si>
    <t>18.3</t>
  </si>
  <si>
    <t>https://sng2000.ru/katalog/detali-truboprovodov/detali-truboprovodov-gost/flantsy-stalnye/ploskie-privarnye/flantsy-gost-12820-80-iz-stali-09g2s/4457/</t>
  </si>
  <si>
    <t>https://vash-dush.ru/flanec-stalnoj-09g2s-ploskij-du-80-ru16-tip-01-ryad-1-isp.-b-gost-33259-2015</t>
  </si>
  <si>
    <t>https://www.metallsnab-nn.ru/goods/98123185-flanets_stalnoy_du_80_ru_16_stal_09g2s_gost_12820_80_ploski</t>
  </si>
  <si>
    <t>ООО "ГРЕМИР"</t>
  </si>
  <si>
    <t>7729445917 </t>
  </si>
  <si>
    <t>zakaz@gremir.ru</t>
  </si>
  <si>
    <t>info@onyxspb.ru</t>
  </si>
  <si>
    <t>ООО "ОНИКС"</t>
  </si>
  <si>
    <t>Заглушки фланцевые, сталь 20 АТК 24.200.02-90 (Ду=50мм)</t>
  </si>
  <si>
    <t>19.1</t>
  </si>
  <si>
    <t>19.2</t>
  </si>
  <si>
    <t>19.3</t>
  </si>
  <si>
    <t>https://dn.ru/fiting/zaglushki/flanged/medexe/40-20-atk/dn50</t>
  </si>
  <si>
    <t>https://gremir.ru/zaglushki-stalnye/zaglushki-flantsevye/zaglushka-flantsevaya-stalnaya-st-20-ru-16-du-50/</t>
  </si>
  <si>
    <t>https://onyxspb.ru/catalog/zaglushki/zaglushki-flantsevye-stal-20/zaglushka-2-50-4-st20-atk-24-200-02-90/</t>
  </si>
  <si>
    <t>Огнепреградитель ОП-50АА УХЛ1</t>
  </si>
  <si>
    <t>19.04.2024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</si>
</sst>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6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0" fillId="0" borderId="8" xfId="0" applyFont="1" applyBorder="1"/>
    <xf numFmtId="0" fontId="0" fillId="0" borderId="8" xfId="6" applyFont="1" applyBorder="1"/>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1" fontId="0" fillId="0" borderId="3" xfId="0" applyNumberFormat="1" applyBorder="1" applyAlignment="1">
      <alignment horizontal="center"/>
    </xf>
    <xf numFmtId="0" fontId="0" fillId="4" borderId="3" xfId="0" applyFill="1" applyBorder="1"/>
    <xf numFmtId="0" fontId="0" fillId="4" borderId="3" xfId="0" applyFill="1" applyBorder="1" applyAlignment="1">
      <alignment wrapText="1"/>
    </xf>
    <xf numFmtId="49" fontId="0" fillId="0" borderId="3" xfId="0" applyNumberFormat="1" applyBorder="1" applyAlignment="1">
      <alignment horizontal="center"/>
    </xf>
    <xf numFmtId="0" fontId="15" fillId="4" borderId="3" xfId="6" applyFill="1" applyBorder="1"/>
    <xf numFmtId="0" fontId="0" fillId="0" borderId="3" xfId="0" applyBorder="1"/>
    <xf numFmtId="0" fontId="15" fillId="0" borderId="3" xfId="6" applyBorder="1"/>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46" totalsRowShown="0" headerRowDxfId="24" dataDxfId="22" headerRowBorderDxfId="23" tableBorderDxfId="21" totalsRowBorderDxfId="20">
  <autoFilter ref="A1:F46"/>
  <tableColumns count="6">
    <tableColumn id="1" name="Наименование" dataDxfId="19"/>
    <tableColumn id="2" name="ИНН" dataDxfId="18"/>
    <tableColumn id="3" name="КПП" dataDxfId="17"/>
    <tableColumn id="4" name="URL" dataDxfId="16"/>
    <tableColumn id="5" name="Город" dataDxfId="15"/>
    <tableColumn id="6" name="П/П" dataDxfId="14"/>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13" headerRowCellStyle="HeadingStyle">
  <sortState ref="A2:A2180">
    <sortCondition ref="A1:A2180"/>
  </sortState>
  <tableColumns count="1">
    <tableColumn id="2" name="Группы" dataDxfId="12"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rosarmatorg.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40" zoomScaleNormal="40" workbookViewId="0">
      <selection sqref="A1:U13"/>
    </sheetView>
  </sheetViews>
  <sheetFormatPr defaultRowHeight="15" x14ac:dyDescent="0.25"/>
  <sheetData>
    <row r="1" spans="1:23" ht="25.5" x14ac:dyDescent="0.25">
      <c r="A1" s="1" t="s">
        <v>3766</v>
      </c>
      <c r="B1" s="2"/>
      <c r="C1" s="2"/>
      <c r="D1" s="2"/>
      <c r="E1" s="3"/>
      <c r="F1" s="2"/>
      <c r="G1" s="2"/>
      <c r="H1" s="4"/>
      <c r="I1" s="4"/>
      <c r="J1" s="4"/>
      <c r="K1" s="4"/>
      <c r="L1" s="4"/>
      <c r="M1" s="4"/>
      <c r="N1" s="2"/>
      <c r="O1" s="2"/>
      <c r="P1" s="2"/>
      <c r="Q1" s="2"/>
      <c r="R1" s="2"/>
      <c r="S1" s="2"/>
      <c r="T1" s="2"/>
      <c r="U1" s="2"/>
    </row>
    <row r="2" spans="1:23" ht="14.45" customHeight="1" x14ac:dyDescent="0.25">
      <c r="A2" s="53" t="s">
        <v>0</v>
      </c>
      <c r="B2" s="53"/>
      <c r="C2" s="53"/>
      <c r="D2" s="53"/>
      <c r="E2" s="53"/>
      <c r="F2" s="53"/>
      <c r="G2" s="53"/>
      <c r="H2" s="53"/>
      <c r="I2" s="53"/>
      <c r="J2" s="53"/>
      <c r="K2" s="53"/>
      <c r="L2" s="53"/>
      <c r="M2" s="53"/>
      <c r="N2" s="53"/>
      <c r="O2" s="53"/>
      <c r="P2" s="53"/>
      <c r="Q2" s="53"/>
      <c r="R2" s="53"/>
      <c r="S2" s="53"/>
      <c r="T2" s="53"/>
      <c r="U2" s="53"/>
    </row>
    <row r="3" spans="1:23" ht="14.45" customHeight="1" x14ac:dyDescent="0.25">
      <c r="A3" s="54"/>
      <c r="B3" s="54"/>
      <c r="C3" s="54"/>
      <c r="D3" s="54"/>
      <c r="E3" s="54"/>
      <c r="F3" s="54"/>
      <c r="G3" s="54"/>
      <c r="H3" s="54"/>
      <c r="I3" s="54"/>
      <c r="J3" s="54"/>
      <c r="K3" s="54"/>
      <c r="L3" s="54"/>
      <c r="M3" s="54"/>
      <c r="N3" s="54"/>
      <c r="O3" s="54"/>
      <c r="P3" s="54"/>
      <c r="Q3" s="54"/>
      <c r="R3" s="54"/>
      <c r="S3" s="54"/>
      <c r="T3" s="54"/>
      <c r="U3" s="54"/>
    </row>
    <row r="4" spans="1:23" ht="14.45" customHeight="1" x14ac:dyDescent="0.25">
      <c r="A4" s="55" t="s">
        <v>1</v>
      </c>
      <c r="B4" s="55"/>
      <c r="C4" s="55"/>
      <c r="D4" s="55"/>
      <c r="E4" s="55"/>
      <c r="F4" s="55"/>
      <c r="G4" s="55"/>
      <c r="H4" s="55"/>
      <c r="I4" s="55"/>
      <c r="J4" s="55"/>
      <c r="K4" s="55"/>
      <c r="L4" s="55"/>
      <c r="M4" s="55"/>
      <c r="N4" s="55"/>
      <c r="O4" s="55"/>
      <c r="P4" s="55"/>
      <c r="Q4" s="55"/>
      <c r="R4" s="55"/>
      <c r="S4" s="55"/>
      <c r="T4" s="55"/>
      <c r="U4" s="55"/>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6" t="s">
        <v>2</v>
      </c>
      <c r="B6" s="56"/>
      <c r="C6" s="56"/>
      <c r="D6" s="56"/>
      <c r="E6" s="56"/>
      <c r="F6" s="56"/>
      <c r="G6" s="56"/>
      <c r="H6" s="56"/>
      <c r="I6" s="56"/>
      <c r="J6" s="56"/>
      <c r="K6" s="56"/>
      <c r="L6" s="56"/>
      <c r="M6" s="56"/>
      <c r="N6" s="56"/>
      <c r="O6" s="56"/>
      <c r="P6" s="56"/>
      <c r="Q6" s="56"/>
      <c r="R6" s="56"/>
      <c r="S6" s="56"/>
      <c r="T6" s="56"/>
      <c r="U6" s="56"/>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7" t="s">
        <v>3</v>
      </c>
      <c r="B8" s="57"/>
      <c r="C8" s="57"/>
      <c r="D8" s="57"/>
      <c r="E8" s="57"/>
      <c r="F8" s="57"/>
      <c r="G8" s="57"/>
      <c r="H8" s="57"/>
      <c r="I8" s="57"/>
      <c r="J8" s="57"/>
      <c r="K8" s="57"/>
      <c r="L8" s="57"/>
      <c r="M8" s="57"/>
      <c r="N8" s="57"/>
      <c r="O8" s="57"/>
      <c r="P8" s="57"/>
      <c r="Q8" s="57"/>
      <c r="R8" s="57"/>
      <c r="S8" s="57"/>
      <c r="T8" s="57"/>
      <c r="U8" s="57"/>
    </row>
    <row r="9" spans="1:23" ht="14.45" customHeight="1" x14ac:dyDescent="0.25">
      <c r="A9" s="58" t="s">
        <v>4</v>
      </c>
      <c r="B9" s="58"/>
      <c r="C9" s="58"/>
      <c r="D9" s="58"/>
      <c r="E9" s="58"/>
      <c r="F9" s="58"/>
      <c r="G9" s="58"/>
      <c r="H9" s="58"/>
      <c r="I9" s="58"/>
      <c r="J9" s="58"/>
      <c r="K9" s="58"/>
      <c r="L9" s="58"/>
      <c r="M9" s="58"/>
      <c r="N9" s="58"/>
      <c r="O9" s="58"/>
      <c r="P9" s="58"/>
      <c r="Q9" s="58"/>
      <c r="R9" s="58"/>
      <c r="S9" s="58"/>
      <c r="T9" s="58"/>
      <c r="U9" s="58"/>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50" t="s">
        <v>5</v>
      </c>
      <c r="B11" s="49" t="s">
        <v>6</v>
      </c>
      <c r="C11" s="22"/>
      <c r="D11" s="24"/>
      <c r="E11" s="22"/>
      <c r="F11" s="22"/>
      <c r="G11" s="23"/>
      <c r="H11" s="51" t="s">
        <v>12</v>
      </c>
      <c r="I11" s="51" t="s">
        <v>13</v>
      </c>
      <c r="J11" s="51" t="s">
        <v>14</v>
      </c>
      <c r="K11" s="51"/>
      <c r="L11" s="51" t="s">
        <v>15</v>
      </c>
      <c r="M11" s="49" t="s">
        <v>16</v>
      </c>
      <c r="N11" s="49" t="s">
        <v>17</v>
      </c>
      <c r="O11" s="49" t="s">
        <v>18</v>
      </c>
      <c r="P11" s="49" t="s">
        <v>19</v>
      </c>
      <c r="Q11" s="49" t="s">
        <v>20</v>
      </c>
      <c r="R11" s="52" t="s">
        <v>21</v>
      </c>
      <c r="S11" s="49" t="s">
        <v>22</v>
      </c>
      <c r="T11" s="49" t="s">
        <v>23</v>
      </c>
      <c r="U11" s="22"/>
    </row>
    <row r="12" spans="1:23" ht="227.45" customHeight="1" x14ac:dyDescent="0.25">
      <c r="A12" s="50"/>
      <c r="B12" s="49"/>
      <c r="C12" s="22" t="s">
        <v>7</v>
      </c>
      <c r="D12" s="24" t="s">
        <v>8</v>
      </c>
      <c r="E12" s="22" t="s">
        <v>9</v>
      </c>
      <c r="F12" s="22" t="s">
        <v>10</v>
      </c>
      <c r="G12" s="23" t="s">
        <v>11</v>
      </c>
      <c r="H12" s="51"/>
      <c r="I12" s="51"/>
      <c r="J12" s="18" t="s">
        <v>25</v>
      </c>
      <c r="K12" s="18" t="s">
        <v>26</v>
      </c>
      <c r="L12" s="51"/>
      <c r="M12" s="49"/>
      <c r="N12" s="49"/>
      <c r="O12" s="49"/>
      <c r="P12" s="49"/>
      <c r="Q12" s="49"/>
      <c r="R12" s="52"/>
      <c r="S12" s="49"/>
      <c r="T12" s="49"/>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Z58"/>
  <sheetViews>
    <sheetView tabSelected="1" topLeftCell="A16" zoomScale="70" zoomScaleNormal="70" workbookViewId="0">
      <selection activeCell="M18" sqref="M18"/>
    </sheetView>
  </sheetViews>
  <sheetFormatPr defaultRowHeight="15" x14ac:dyDescent="0.25"/>
  <cols>
    <col min="1" max="1" width="10.140625" bestFit="1" customWidth="1"/>
    <col min="2" max="2" width="37.5703125" customWidth="1"/>
    <col min="3" max="3" width="32" customWidth="1"/>
    <col min="4" max="4" width="41.85546875" customWidth="1"/>
    <col min="16" max="16" width="13.140625" customWidth="1"/>
    <col min="17" max="17" width="11.85546875" customWidth="1"/>
    <col min="18" max="18" width="20.140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53" t="s">
        <v>3575</v>
      </c>
      <c r="B2" s="53"/>
      <c r="C2" s="53"/>
      <c r="D2" s="53"/>
      <c r="E2" s="53"/>
      <c r="F2" s="53"/>
      <c r="G2" s="53"/>
      <c r="H2" s="53"/>
      <c r="I2" s="53"/>
      <c r="J2" s="53"/>
      <c r="K2" s="53"/>
      <c r="L2" s="53"/>
      <c r="M2" s="53"/>
      <c r="N2" s="53"/>
      <c r="O2" s="53"/>
      <c r="P2" s="53"/>
      <c r="Q2" s="53"/>
      <c r="R2" s="53"/>
      <c r="S2" s="53"/>
      <c r="T2" s="53"/>
      <c r="U2" s="53"/>
    </row>
    <row r="3" spans="1:25" x14ac:dyDescent="0.25">
      <c r="A3" s="54"/>
      <c r="B3" s="54"/>
      <c r="C3" s="54"/>
      <c r="D3" s="54"/>
      <c r="E3" s="54"/>
      <c r="F3" s="54"/>
      <c r="G3" s="54"/>
      <c r="H3" s="54"/>
      <c r="I3" s="54"/>
      <c r="J3" s="54"/>
      <c r="K3" s="54"/>
      <c r="L3" s="54"/>
      <c r="M3" s="54"/>
      <c r="N3" s="54"/>
      <c r="O3" s="54"/>
      <c r="P3" s="54"/>
      <c r="Q3" s="54"/>
      <c r="R3" s="54"/>
      <c r="S3" s="54"/>
      <c r="T3" s="54"/>
      <c r="U3" s="54"/>
    </row>
    <row r="4" spans="1:25" x14ac:dyDescent="0.25">
      <c r="A4" s="55" t="s">
        <v>1</v>
      </c>
      <c r="B4" s="55"/>
      <c r="C4" s="55"/>
      <c r="D4" s="55"/>
      <c r="E4" s="55"/>
      <c r="F4" s="55"/>
      <c r="G4" s="55"/>
      <c r="H4" s="55"/>
      <c r="I4" s="55"/>
      <c r="J4" s="55"/>
      <c r="K4" s="55"/>
      <c r="L4" s="55"/>
      <c r="M4" s="55"/>
      <c r="N4" s="55"/>
      <c r="O4" s="55"/>
      <c r="P4" s="55"/>
      <c r="Q4" s="55"/>
      <c r="R4" s="55"/>
      <c r="S4" s="55"/>
      <c r="T4" s="55"/>
      <c r="U4" s="55"/>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56" t="s">
        <v>2</v>
      </c>
      <c r="B6" s="56"/>
      <c r="C6" s="56"/>
      <c r="D6" s="56"/>
      <c r="E6" s="56"/>
      <c r="F6" s="56"/>
      <c r="G6" s="56"/>
      <c r="H6" s="56"/>
      <c r="I6" s="56"/>
      <c r="J6" s="56"/>
      <c r="K6" s="56"/>
      <c r="L6" s="56"/>
      <c r="M6" s="56"/>
      <c r="N6" s="56"/>
      <c r="O6" s="56"/>
      <c r="P6" s="56"/>
      <c r="Q6" s="56"/>
      <c r="R6" s="56"/>
      <c r="S6" s="56"/>
      <c r="T6" s="56"/>
      <c r="U6" s="56"/>
    </row>
    <row r="7" spans="1:25" ht="18.75" x14ac:dyDescent="0.25">
      <c r="A7" s="9"/>
      <c r="B7" s="45"/>
      <c r="C7" s="45"/>
      <c r="D7" s="45"/>
      <c r="E7" s="11"/>
      <c r="F7" s="45"/>
      <c r="G7" s="45"/>
      <c r="H7" s="12"/>
      <c r="I7" s="12"/>
      <c r="J7" s="12"/>
      <c r="K7" s="12"/>
      <c r="L7" s="12"/>
      <c r="M7" s="12"/>
      <c r="N7" s="45"/>
      <c r="O7" s="45"/>
      <c r="P7" s="45"/>
      <c r="Q7" s="45"/>
      <c r="R7" s="45"/>
      <c r="S7" s="13"/>
      <c r="T7" s="45"/>
      <c r="U7" s="45"/>
    </row>
    <row r="8" spans="1:25" ht="15.75" x14ac:dyDescent="0.25">
      <c r="A8" s="57" t="s">
        <v>3576</v>
      </c>
      <c r="B8" s="57"/>
      <c r="C8" s="57"/>
      <c r="D8" s="57"/>
      <c r="E8" s="57"/>
      <c r="F8" s="57"/>
      <c r="G8" s="57"/>
      <c r="H8" s="57"/>
      <c r="I8" s="57"/>
      <c r="J8" s="57"/>
      <c r="K8" s="57"/>
      <c r="L8" s="57"/>
      <c r="M8" s="57"/>
      <c r="N8" s="57"/>
      <c r="O8" s="57"/>
      <c r="P8" s="57"/>
      <c r="Q8" s="57"/>
      <c r="R8" s="57"/>
      <c r="S8" s="57"/>
      <c r="T8" s="57"/>
      <c r="U8" s="57"/>
    </row>
    <row r="9" spans="1:25" x14ac:dyDescent="0.25">
      <c r="A9" s="58" t="s">
        <v>4</v>
      </c>
      <c r="B9" s="58"/>
      <c r="C9" s="58"/>
      <c r="D9" s="58"/>
      <c r="E9" s="58"/>
      <c r="F9" s="58"/>
      <c r="G9" s="58"/>
      <c r="H9" s="58"/>
      <c r="I9" s="58"/>
      <c r="J9" s="58"/>
      <c r="K9" s="58"/>
      <c r="L9" s="58"/>
      <c r="M9" s="58"/>
      <c r="N9" s="58"/>
      <c r="O9" s="58"/>
      <c r="P9" s="58"/>
      <c r="Q9" s="58"/>
      <c r="R9" s="58"/>
      <c r="S9" s="58"/>
      <c r="T9" s="58"/>
      <c r="U9" s="58"/>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80.25" customHeight="1" x14ac:dyDescent="0.25">
      <c r="A11" s="50" t="s">
        <v>5</v>
      </c>
      <c r="B11" s="49" t="s">
        <v>6</v>
      </c>
      <c r="C11" s="22"/>
      <c r="D11" s="24"/>
      <c r="E11" s="22"/>
      <c r="F11" s="22"/>
      <c r="G11" s="23"/>
      <c r="H11" s="51" t="s">
        <v>12</v>
      </c>
      <c r="I11" s="51" t="s">
        <v>13</v>
      </c>
      <c r="J11" s="51" t="s">
        <v>14</v>
      </c>
      <c r="K11" s="51"/>
      <c r="L11" s="51" t="s">
        <v>15</v>
      </c>
      <c r="M11" s="49" t="s">
        <v>16</v>
      </c>
      <c r="N11" s="49" t="s">
        <v>17</v>
      </c>
      <c r="O11" s="49" t="s">
        <v>18</v>
      </c>
      <c r="P11" s="49" t="s">
        <v>19</v>
      </c>
      <c r="Q11" s="49" t="s">
        <v>20</v>
      </c>
      <c r="R11" s="52" t="s">
        <v>21</v>
      </c>
      <c r="S11" s="49" t="s">
        <v>22</v>
      </c>
      <c r="T11" s="49" t="s">
        <v>23</v>
      </c>
      <c r="U11" s="22"/>
    </row>
    <row r="12" spans="1:25" ht="230.25" x14ac:dyDescent="0.25">
      <c r="A12" s="50"/>
      <c r="B12" s="49"/>
      <c r="C12" s="22" t="s">
        <v>7</v>
      </c>
      <c r="D12" s="24" t="s">
        <v>8</v>
      </c>
      <c r="E12" s="22" t="s">
        <v>9</v>
      </c>
      <c r="F12" s="22" t="s">
        <v>10</v>
      </c>
      <c r="G12" s="23" t="s">
        <v>11</v>
      </c>
      <c r="H12" s="51"/>
      <c r="I12" s="51"/>
      <c r="J12" s="18" t="s">
        <v>25</v>
      </c>
      <c r="K12" s="18" t="s">
        <v>26</v>
      </c>
      <c r="L12" s="51"/>
      <c r="M12" s="49"/>
      <c r="N12" s="49"/>
      <c r="O12" s="49"/>
      <c r="P12" s="49"/>
      <c r="Q12" s="49"/>
      <c r="R12" s="52"/>
      <c r="S12" s="49"/>
      <c r="T12" s="49"/>
      <c r="U12" s="22" t="s">
        <v>24</v>
      </c>
    </row>
    <row r="13" spans="1:25" x14ac:dyDescent="0.25">
      <c r="A13" s="46">
        <v>1</v>
      </c>
      <c r="B13" s="20">
        <v>2</v>
      </c>
      <c r="C13" s="20">
        <v>3</v>
      </c>
      <c r="D13" s="46">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3574</v>
      </c>
      <c r="Y13" t="s">
        <v>3573</v>
      </c>
    </row>
    <row r="14" spans="1:25" ht="75" x14ac:dyDescent="0.25">
      <c r="A14" s="59">
        <v>1</v>
      </c>
      <c r="B14" s="60" t="str">
        <f t="shared" ref="B14:B20" si="0">"ТЦ"&amp;"_"&amp;X14&amp;"_"&amp;Y14&amp;"_"&amp;Q14&amp;"_"&amp;TEXT(U14,"ДД.ММ.ГГ")&amp;"_"&amp;T14</f>
        <v>ТЦ_ 20.5.02.02_78_780601001_22.03.24_1</v>
      </c>
      <c r="C14" s="60" t="s">
        <v>3577</v>
      </c>
      <c r="D14" s="61" t="s">
        <v>3586</v>
      </c>
      <c r="E14" s="60" t="s">
        <v>3558</v>
      </c>
      <c r="F14" s="60">
        <v>4</v>
      </c>
      <c r="G14" s="60" t="s">
        <v>3578</v>
      </c>
      <c r="H14" s="60">
        <f t="shared" ref="H14:H58" si="1">G14/1.2</f>
        <v>6910.8333333333339</v>
      </c>
      <c r="I14" s="60"/>
      <c r="J14" s="60"/>
      <c r="K14" s="60"/>
      <c r="L14" s="60">
        <f t="shared" ref="L14:L58" si="2">H14+I14+K14</f>
        <v>6910.8333333333339</v>
      </c>
      <c r="M14" s="60"/>
      <c r="N14" s="60"/>
      <c r="O14" s="60" t="s">
        <v>39</v>
      </c>
      <c r="P14" s="60">
        <v>7806155468</v>
      </c>
      <c r="Q14" s="60">
        <v>780601001</v>
      </c>
      <c r="R14" s="60" t="s">
        <v>40</v>
      </c>
      <c r="S14" s="60" t="s">
        <v>41</v>
      </c>
      <c r="T14" s="60">
        <v>1</v>
      </c>
      <c r="U14" s="30" t="s">
        <v>3579</v>
      </c>
      <c r="X14" t="s">
        <v>3580</v>
      </c>
      <c r="Y14">
        <v>78</v>
      </c>
    </row>
    <row r="15" spans="1:25" x14ac:dyDescent="0.25">
      <c r="A15" s="59" t="s">
        <v>3585</v>
      </c>
      <c r="B15" s="60" t="str">
        <f t="shared" si="0"/>
        <v>ТЦ_ 20.4.04.02_78_783901001_22.04.24_2</v>
      </c>
      <c r="C15" s="60" t="s">
        <v>3581</v>
      </c>
      <c r="D15" s="60" t="s">
        <v>3582</v>
      </c>
      <c r="E15" s="60" t="s">
        <v>3558</v>
      </c>
      <c r="F15" s="60">
        <v>1</v>
      </c>
      <c r="G15" s="60">
        <v>90000</v>
      </c>
      <c r="H15" s="60">
        <f t="shared" si="1"/>
        <v>75000</v>
      </c>
      <c r="I15" s="60"/>
      <c r="J15" s="60"/>
      <c r="K15" s="60"/>
      <c r="L15" s="60">
        <f t="shared" si="2"/>
        <v>75000</v>
      </c>
      <c r="M15" s="60"/>
      <c r="N15" s="60"/>
      <c r="O15" s="60" t="s">
        <v>42</v>
      </c>
      <c r="P15" s="60">
        <v>7839109650</v>
      </c>
      <c r="Q15" s="60">
        <v>783901001</v>
      </c>
      <c r="R15" s="60" t="s">
        <v>43</v>
      </c>
      <c r="S15" s="60" t="s">
        <v>41</v>
      </c>
      <c r="T15" s="60">
        <v>2</v>
      </c>
      <c r="U15" s="30" t="s">
        <v>3583</v>
      </c>
      <c r="X15" t="s">
        <v>3584</v>
      </c>
      <c r="Y15">
        <v>78</v>
      </c>
    </row>
    <row r="16" spans="1:25" x14ac:dyDescent="0.25">
      <c r="A16" s="59" t="s">
        <v>3589</v>
      </c>
      <c r="B16" s="60" t="str">
        <f t="shared" si="0"/>
        <v>ТЦ_ 20.4.04.02_78_783901001_22.04.24_2</v>
      </c>
      <c r="C16" s="60" t="s">
        <v>3587</v>
      </c>
      <c r="D16" s="60" t="s">
        <v>3588</v>
      </c>
      <c r="E16" s="60" t="s">
        <v>3558</v>
      </c>
      <c r="F16" s="60">
        <v>1</v>
      </c>
      <c r="G16" s="60">
        <v>540000</v>
      </c>
      <c r="H16" s="60">
        <f t="shared" si="1"/>
        <v>450000</v>
      </c>
      <c r="I16" s="60"/>
      <c r="J16" s="60"/>
      <c r="K16" s="60"/>
      <c r="L16" s="60">
        <f t="shared" si="2"/>
        <v>450000</v>
      </c>
      <c r="M16" s="60"/>
      <c r="N16" s="60"/>
      <c r="O16" s="60" t="s">
        <v>42</v>
      </c>
      <c r="P16" s="60">
        <v>7839109650</v>
      </c>
      <c r="Q16" s="60">
        <v>783901001</v>
      </c>
      <c r="R16" s="60" t="s">
        <v>43</v>
      </c>
      <c r="S16" s="60" t="s">
        <v>41</v>
      </c>
      <c r="T16" s="60">
        <v>2</v>
      </c>
      <c r="U16" s="30" t="s">
        <v>3583</v>
      </c>
      <c r="X16" t="s">
        <v>3584</v>
      </c>
      <c r="Y16">
        <v>78</v>
      </c>
    </row>
    <row r="17" spans="1:26" x14ac:dyDescent="0.25">
      <c r="A17" s="59" t="s">
        <v>3592</v>
      </c>
      <c r="B17" s="60" t="str">
        <f t="shared" si="0"/>
        <v>ТЦ_ 20.4.04.02_78_783901001_22.04.24_2</v>
      </c>
      <c r="C17" s="60" t="s">
        <v>3590</v>
      </c>
      <c r="D17" s="60" t="s">
        <v>3591</v>
      </c>
      <c r="E17" s="60" t="s">
        <v>3558</v>
      </c>
      <c r="F17" s="60">
        <v>1</v>
      </c>
      <c r="G17" s="60">
        <v>396000</v>
      </c>
      <c r="H17" s="60">
        <f t="shared" si="1"/>
        <v>330000</v>
      </c>
      <c r="I17" s="60"/>
      <c r="J17" s="60"/>
      <c r="K17" s="60"/>
      <c r="L17" s="60">
        <f t="shared" si="2"/>
        <v>330000</v>
      </c>
      <c r="M17" s="60"/>
      <c r="N17" s="60"/>
      <c r="O17" s="60" t="s">
        <v>42</v>
      </c>
      <c r="P17" s="60">
        <v>7839109650</v>
      </c>
      <c r="Q17" s="60">
        <v>783901001</v>
      </c>
      <c r="R17" s="60" t="s">
        <v>43</v>
      </c>
      <c r="S17" s="60" t="s">
        <v>41</v>
      </c>
      <c r="T17" s="60">
        <v>2</v>
      </c>
      <c r="U17" s="30" t="s">
        <v>3583</v>
      </c>
      <c r="X17" t="s">
        <v>3584</v>
      </c>
      <c r="Y17">
        <v>78</v>
      </c>
    </row>
    <row r="18" spans="1:26" x14ac:dyDescent="0.25">
      <c r="A18" s="59" t="s">
        <v>3596</v>
      </c>
      <c r="B18" s="60" t="str">
        <f t="shared" si="0"/>
        <v>ТЦ_ 89.1.61.02_78_783901001_22.04.24_2</v>
      </c>
      <c r="C18" s="60" t="s">
        <v>3593</v>
      </c>
      <c r="D18" s="60" t="s">
        <v>3594</v>
      </c>
      <c r="E18" s="60" t="s">
        <v>3558</v>
      </c>
      <c r="F18" s="60">
        <v>1</v>
      </c>
      <c r="G18" s="60">
        <v>27000</v>
      </c>
      <c r="H18" s="60">
        <f t="shared" si="1"/>
        <v>22500</v>
      </c>
      <c r="I18" s="60"/>
      <c r="J18" s="60"/>
      <c r="K18" s="60"/>
      <c r="L18" s="60">
        <f t="shared" si="2"/>
        <v>22500</v>
      </c>
      <c r="M18" s="60"/>
      <c r="N18" s="60"/>
      <c r="O18" s="60" t="s">
        <v>42</v>
      </c>
      <c r="P18" s="60">
        <v>7839109650</v>
      </c>
      <c r="Q18" s="60">
        <v>783901001</v>
      </c>
      <c r="R18" s="60" t="s">
        <v>43</v>
      </c>
      <c r="S18" s="60" t="s">
        <v>41</v>
      </c>
      <c r="T18" s="60">
        <v>2</v>
      </c>
      <c r="U18" s="30" t="s">
        <v>3583</v>
      </c>
      <c r="X18" t="s">
        <v>3595</v>
      </c>
      <c r="Y18">
        <v>78</v>
      </c>
    </row>
    <row r="19" spans="1:26" x14ac:dyDescent="0.25">
      <c r="A19" s="59" t="s">
        <v>3600</v>
      </c>
      <c r="B19" s="60" t="str">
        <f t="shared" si="0"/>
        <v>ТЦ_ 62.7.01.04_78_783901001_22.04.24_2</v>
      </c>
      <c r="C19" s="60" t="s">
        <v>3597</v>
      </c>
      <c r="D19" s="60" t="s">
        <v>3598</v>
      </c>
      <c r="E19" s="60" t="s">
        <v>3558</v>
      </c>
      <c r="F19" s="60">
        <v>1</v>
      </c>
      <c r="G19" s="60">
        <v>540000</v>
      </c>
      <c r="H19" s="60">
        <f t="shared" si="1"/>
        <v>450000</v>
      </c>
      <c r="I19" s="60"/>
      <c r="J19" s="60"/>
      <c r="K19" s="60"/>
      <c r="L19" s="60">
        <f t="shared" si="2"/>
        <v>450000</v>
      </c>
      <c r="M19" s="60"/>
      <c r="N19" s="60"/>
      <c r="O19" s="60" t="s">
        <v>42</v>
      </c>
      <c r="P19" s="60">
        <v>7839109650</v>
      </c>
      <c r="Q19" s="60">
        <v>783901001</v>
      </c>
      <c r="R19" s="60" t="s">
        <v>43</v>
      </c>
      <c r="S19" s="60" t="s">
        <v>41</v>
      </c>
      <c r="T19" s="60">
        <v>2</v>
      </c>
      <c r="U19" s="30" t="s">
        <v>3583</v>
      </c>
      <c r="X19" t="s">
        <v>3599</v>
      </c>
      <c r="Y19">
        <v>78</v>
      </c>
    </row>
    <row r="20" spans="1:26" x14ac:dyDescent="0.25">
      <c r="A20" s="62" t="s">
        <v>3612</v>
      </c>
      <c r="B20" s="60" t="str">
        <f t="shared" si="0"/>
        <v>ТЦ_ 21.1.08.03_78_324501001_22.04.24_2</v>
      </c>
      <c r="C20" s="60" t="s">
        <v>3607</v>
      </c>
      <c r="D20" s="60" t="s">
        <v>3607</v>
      </c>
      <c r="E20" s="60" t="s">
        <v>3608</v>
      </c>
      <c r="F20" s="60">
        <v>969</v>
      </c>
      <c r="G20" s="60" t="s">
        <v>3609</v>
      </c>
      <c r="H20" s="60">
        <f t="shared" si="1"/>
        <v>36.208333333333336</v>
      </c>
      <c r="I20" s="60"/>
      <c r="J20" s="60"/>
      <c r="K20" s="60"/>
      <c r="L20" s="60">
        <f t="shared" si="2"/>
        <v>36.208333333333336</v>
      </c>
      <c r="M20" s="60"/>
      <c r="N20" s="60"/>
      <c r="O20" s="60" t="s">
        <v>3601</v>
      </c>
      <c r="P20" s="60">
        <v>9710008385</v>
      </c>
      <c r="Q20" s="60">
        <v>324501001</v>
      </c>
      <c r="R20" s="63" t="s">
        <v>3624</v>
      </c>
      <c r="S20" s="60" t="s">
        <v>41</v>
      </c>
      <c r="T20" s="60">
        <v>2</v>
      </c>
      <c r="U20" s="30" t="s">
        <v>3583</v>
      </c>
      <c r="V20">
        <f ca="1">G20/100*RANDBETWEEN(3,5)</f>
        <v>1.7380000000000002</v>
      </c>
      <c r="W20">
        <f ca="1">G20/100*RANDBETWEEN(6,8)</f>
        <v>2.6070000000000002</v>
      </c>
      <c r="X20" t="s">
        <v>3610</v>
      </c>
      <c r="Y20">
        <v>78</v>
      </c>
    </row>
    <row r="21" spans="1:26" x14ac:dyDescent="0.25">
      <c r="A21" s="62" t="s">
        <v>3613</v>
      </c>
      <c r="B21" s="64" t="str">
        <f t="shared" ref="B21:B22" si="3">"ТЦ"&amp;"_"&amp;X21&amp;"_"&amp;Y21&amp;"_"&amp;Q21&amp;"_"&amp;TEXT(U21,"ДД.ММ.ГГ")&amp;"_"&amp;T21</f>
        <v>ТЦ_ 21.1.08.03_77_772001001_22.04.24_2</v>
      </c>
      <c r="C21" s="64" t="s">
        <v>3607</v>
      </c>
      <c r="D21" s="64" t="s">
        <v>3607</v>
      </c>
      <c r="E21" s="64" t="s">
        <v>3608</v>
      </c>
      <c r="F21" s="64">
        <v>969</v>
      </c>
      <c r="G21" s="64">
        <v>46.74</v>
      </c>
      <c r="H21" s="64">
        <f t="shared" si="1"/>
        <v>38.950000000000003</v>
      </c>
      <c r="I21" s="64"/>
      <c r="J21" s="64"/>
      <c r="K21" s="64"/>
      <c r="L21" s="64">
        <f t="shared" si="2"/>
        <v>38.950000000000003</v>
      </c>
      <c r="M21" s="64"/>
      <c r="N21" s="64"/>
      <c r="O21" s="64" t="s">
        <v>3603</v>
      </c>
      <c r="P21" s="64">
        <v>7721801761</v>
      </c>
      <c r="Q21" s="64">
        <v>772001001</v>
      </c>
      <c r="R21" s="65" t="s">
        <v>3626</v>
      </c>
      <c r="S21" s="64" t="s">
        <v>2410</v>
      </c>
      <c r="T21" s="64">
        <v>2</v>
      </c>
      <c r="U21" t="s">
        <v>3583</v>
      </c>
      <c r="X21" t="s">
        <v>3610</v>
      </c>
      <c r="Y21">
        <v>77</v>
      </c>
      <c r="Z21">
        <v>2</v>
      </c>
    </row>
    <row r="22" spans="1:26" x14ac:dyDescent="0.25">
      <c r="A22" s="62" t="s">
        <v>3614</v>
      </c>
      <c r="B22" s="64" t="str">
        <f t="shared" si="3"/>
        <v>ТЦ_ 21.1.08.03_77_505001001_23.04.24_2</v>
      </c>
      <c r="C22" s="64" t="s">
        <v>3607</v>
      </c>
      <c r="D22" s="64" t="s">
        <v>3607</v>
      </c>
      <c r="E22" s="64" t="s">
        <v>3608</v>
      </c>
      <c r="F22" s="64">
        <v>969</v>
      </c>
      <c r="G22" s="64">
        <v>96.36</v>
      </c>
      <c r="H22" s="64">
        <f t="shared" si="1"/>
        <v>80.3</v>
      </c>
      <c r="I22" s="64"/>
      <c r="J22" s="64"/>
      <c r="K22" s="64"/>
      <c r="L22" s="64">
        <f t="shared" si="2"/>
        <v>80.3</v>
      </c>
      <c r="M22" s="64"/>
      <c r="N22" s="64"/>
      <c r="O22" s="64" t="s">
        <v>3606</v>
      </c>
      <c r="P22" s="64">
        <v>5050098030</v>
      </c>
      <c r="Q22" s="64">
        <v>505001001</v>
      </c>
      <c r="R22" s="65" t="s">
        <v>3625</v>
      </c>
      <c r="S22" s="64" t="s">
        <v>2410</v>
      </c>
      <c r="T22" s="64">
        <v>2</v>
      </c>
      <c r="U22" t="s">
        <v>3611</v>
      </c>
      <c r="X22" t="s">
        <v>3610</v>
      </c>
      <c r="Y22">
        <v>77</v>
      </c>
      <c r="Z22">
        <v>3</v>
      </c>
    </row>
    <row r="23" spans="1:26" x14ac:dyDescent="0.25">
      <c r="A23" s="62" t="s">
        <v>3618</v>
      </c>
      <c r="B23" s="60" t="str">
        <f>"ТЦ"&amp;"_"&amp;X23&amp;"_"&amp;Y23&amp;"_"&amp;Q23&amp;"_"&amp;TEXT(U23,"ДД.ММ.ГГ")&amp;"_"&amp;T23</f>
        <v>ТЦ_ 21.1.08.03_77_772001001_22.04.24_2</v>
      </c>
      <c r="C23" s="60" t="s">
        <v>3615</v>
      </c>
      <c r="D23" s="60" t="s">
        <v>3615</v>
      </c>
      <c r="E23" s="60" t="s">
        <v>3608</v>
      </c>
      <c r="F23" s="60">
        <v>35</v>
      </c>
      <c r="G23" s="60">
        <v>69.08</v>
      </c>
      <c r="H23" s="60">
        <f t="shared" si="1"/>
        <v>57.56666666666667</v>
      </c>
      <c r="I23" s="60"/>
      <c r="J23" s="60"/>
      <c r="K23" s="60"/>
      <c r="L23" s="60">
        <f t="shared" si="2"/>
        <v>57.56666666666667</v>
      </c>
      <c r="M23" s="60"/>
      <c r="N23" s="60"/>
      <c r="O23" s="60" t="s">
        <v>3603</v>
      </c>
      <c r="P23" s="60">
        <v>7721801761</v>
      </c>
      <c r="Q23" s="60">
        <v>772001001</v>
      </c>
      <c r="R23" s="63" t="s">
        <v>3623</v>
      </c>
      <c r="S23" s="60" t="s">
        <v>2410</v>
      </c>
      <c r="T23" s="60">
        <v>2</v>
      </c>
      <c r="U23" s="30" t="s">
        <v>3583</v>
      </c>
      <c r="V23">
        <f ca="1">G23/100*RANDBETWEEN(3,5)</f>
        <v>2.0724</v>
      </c>
      <c r="W23">
        <f ca="1">G23/100*RANDBETWEEN(6,8)</f>
        <v>4.8355999999999995</v>
      </c>
      <c r="X23" t="s">
        <v>3610</v>
      </c>
      <c r="Y23">
        <v>77</v>
      </c>
    </row>
    <row r="24" spans="1:26" x14ac:dyDescent="0.25">
      <c r="A24" s="62" t="s">
        <v>3619</v>
      </c>
      <c r="B24" s="64" t="str">
        <f t="shared" ref="B24:B25" si="4">"ТЦ"&amp;"_"&amp;X24&amp;"_"&amp;Y24&amp;"_"&amp;Q24&amp;"_"&amp;TEXT(U24,"ДД.ММ.ГГ")&amp;"_"&amp;T24</f>
        <v>ТЦ_ 21.1.08.03_78_324501001_22.04.24_2</v>
      </c>
      <c r="C24" s="64" t="s">
        <v>3615</v>
      </c>
      <c r="D24" s="64" t="s">
        <v>3615</v>
      </c>
      <c r="E24" s="64" t="s">
        <v>3608</v>
      </c>
      <c r="F24" s="64">
        <v>35</v>
      </c>
      <c r="G24" s="64" t="s">
        <v>3616</v>
      </c>
      <c r="H24" s="64">
        <f t="shared" si="1"/>
        <v>61.041666666666671</v>
      </c>
      <c r="I24" s="64"/>
      <c r="J24" s="64"/>
      <c r="K24" s="64"/>
      <c r="L24" s="64">
        <f t="shared" si="2"/>
        <v>61.041666666666671</v>
      </c>
      <c r="M24" s="64"/>
      <c r="N24" s="64"/>
      <c r="O24" s="64" t="s">
        <v>3601</v>
      </c>
      <c r="P24" s="64">
        <v>9710008385</v>
      </c>
      <c r="Q24" s="64">
        <v>324501001</v>
      </c>
      <c r="R24" s="65" t="s">
        <v>3622</v>
      </c>
      <c r="S24" s="64" t="s">
        <v>41</v>
      </c>
      <c r="T24" s="64">
        <v>2</v>
      </c>
      <c r="U24" t="s">
        <v>3583</v>
      </c>
      <c r="X24" t="s">
        <v>3610</v>
      </c>
      <c r="Y24">
        <v>78</v>
      </c>
      <c r="Z24">
        <v>2</v>
      </c>
    </row>
    <row r="25" spans="1:26" x14ac:dyDescent="0.25">
      <c r="A25" s="62" t="s">
        <v>3620</v>
      </c>
      <c r="B25" s="64" t="str">
        <f t="shared" si="4"/>
        <v>ТЦ_ 21.1.08.03_78_780401001_23.04.24_2</v>
      </c>
      <c r="C25" s="64" t="s">
        <v>3615</v>
      </c>
      <c r="D25" s="64" t="s">
        <v>3615</v>
      </c>
      <c r="E25" s="64" t="s">
        <v>3608</v>
      </c>
      <c r="F25" s="64">
        <v>35</v>
      </c>
      <c r="G25" s="64" t="s">
        <v>3617</v>
      </c>
      <c r="H25" s="64">
        <f t="shared" si="1"/>
        <v>67.533333333333346</v>
      </c>
      <c r="I25" s="64"/>
      <c r="J25" s="64"/>
      <c r="K25" s="64"/>
      <c r="L25" s="64">
        <f t="shared" si="2"/>
        <v>67.533333333333346</v>
      </c>
      <c r="M25" s="64"/>
      <c r="N25" s="64"/>
      <c r="O25" s="64" t="s">
        <v>46</v>
      </c>
      <c r="P25" s="64">
        <v>7804274156</v>
      </c>
      <c r="Q25" s="64">
        <v>780401001</v>
      </c>
      <c r="R25" s="65" t="s">
        <v>3621</v>
      </c>
      <c r="S25" s="64" t="s">
        <v>41</v>
      </c>
      <c r="T25" s="64">
        <v>2</v>
      </c>
      <c r="U25" t="s">
        <v>3611</v>
      </c>
      <c r="X25" t="s">
        <v>3610</v>
      </c>
      <c r="Y25">
        <v>78</v>
      </c>
      <c r="Z25">
        <v>3</v>
      </c>
    </row>
    <row r="26" spans="1:26" ht="20.25" customHeight="1" x14ac:dyDescent="0.25">
      <c r="A26" s="62" t="s">
        <v>3633</v>
      </c>
      <c r="B26" s="60" t="str">
        <f>"ТЦ"&amp;"_"&amp;X26&amp;"_"&amp;Y26&amp;"_"&amp;Q26&amp;"_"&amp;TEXT(U26,"ДД.ММ.ГГ")&amp;"_"&amp;T26</f>
        <v>ТЦ_ 21.1.04.07_77_772001001_22.04.24_2</v>
      </c>
      <c r="C26" s="60" t="s">
        <v>3631</v>
      </c>
      <c r="D26" s="60" t="s">
        <v>3631</v>
      </c>
      <c r="E26" s="60" t="s">
        <v>3608</v>
      </c>
      <c r="F26" s="60">
        <v>400</v>
      </c>
      <c r="G26" s="60">
        <v>68.5</v>
      </c>
      <c r="H26" s="60">
        <f t="shared" si="1"/>
        <v>57.083333333333336</v>
      </c>
      <c r="I26" s="60"/>
      <c r="J26" s="60"/>
      <c r="K26" s="60"/>
      <c r="L26" s="60">
        <f t="shared" si="2"/>
        <v>57.083333333333336</v>
      </c>
      <c r="M26" s="60"/>
      <c r="N26" s="60"/>
      <c r="O26" s="60" t="s">
        <v>3627</v>
      </c>
      <c r="P26" s="60">
        <v>7720413452</v>
      </c>
      <c r="Q26" s="60">
        <v>772001001</v>
      </c>
      <c r="R26" s="63" t="s">
        <v>3650</v>
      </c>
      <c r="S26" s="60" t="s">
        <v>2410</v>
      </c>
      <c r="T26" s="60">
        <v>2</v>
      </c>
      <c r="U26" s="30" t="s">
        <v>3583</v>
      </c>
      <c r="V26">
        <f ca="1">G26/100*RANDBETWEEN(3,5)</f>
        <v>3.4250000000000003</v>
      </c>
      <c r="W26">
        <f ca="1">G26/100*RANDBETWEEN(6,8)</f>
        <v>4.1100000000000003</v>
      </c>
      <c r="X26" t="s">
        <v>3632</v>
      </c>
      <c r="Y26">
        <v>77</v>
      </c>
    </row>
    <row r="27" spans="1:26" ht="18.75" customHeight="1" x14ac:dyDescent="0.25">
      <c r="A27" s="62" t="s">
        <v>3634</v>
      </c>
      <c r="B27" s="64" t="str">
        <f t="shared" ref="B27:B28" si="5">"ТЦ"&amp;"_"&amp;X27&amp;"_"&amp;Y27&amp;"_"&amp;Q27&amp;"_"&amp;TEXT(U27,"ДД.ММ.ГГ")&amp;"_"&amp;T27</f>
        <v>ТЦ_ 21.1.04.07_78_780201001_22.04.24_2</v>
      </c>
      <c r="C27" s="64" t="s">
        <v>3631</v>
      </c>
      <c r="D27" s="64" t="s">
        <v>3631</v>
      </c>
      <c r="E27" s="64" t="s">
        <v>3608</v>
      </c>
      <c r="F27" s="64">
        <v>400</v>
      </c>
      <c r="G27" s="64">
        <v>146.37</v>
      </c>
      <c r="H27" s="64">
        <f t="shared" si="1"/>
        <v>121.97500000000001</v>
      </c>
      <c r="I27" s="64"/>
      <c r="J27" s="64"/>
      <c r="K27" s="64"/>
      <c r="L27" s="64">
        <f t="shared" si="2"/>
        <v>121.97500000000001</v>
      </c>
      <c r="M27" s="64"/>
      <c r="N27" s="64"/>
      <c r="O27" s="64" t="s">
        <v>3629</v>
      </c>
      <c r="P27" s="64">
        <v>7804526942</v>
      </c>
      <c r="Q27" s="64">
        <v>780201001</v>
      </c>
      <c r="R27" s="65" t="s">
        <v>3649</v>
      </c>
      <c r="S27" s="64" t="s">
        <v>41</v>
      </c>
      <c r="T27" s="64">
        <v>2</v>
      </c>
      <c r="U27" t="s">
        <v>3583</v>
      </c>
      <c r="X27" t="s">
        <v>3632</v>
      </c>
      <c r="Y27">
        <v>78</v>
      </c>
      <c r="Z27">
        <v>2</v>
      </c>
    </row>
    <row r="28" spans="1:26" ht="14.25" customHeight="1" x14ac:dyDescent="0.25">
      <c r="A28" s="62" t="s">
        <v>3635</v>
      </c>
      <c r="B28" s="64" t="str">
        <f t="shared" si="5"/>
        <v>ТЦ_ 21.1.04.07_77_772001001_23.04.24_2</v>
      </c>
      <c r="C28" s="64" t="s">
        <v>3631</v>
      </c>
      <c r="D28" s="64" t="s">
        <v>3631</v>
      </c>
      <c r="E28" s="64" t="s">
        <v>3608</v>
      </c>
      <c r="F28" s="64">
        <v>400</v>
      </c>
      <c r="G28" s="64">
        <v>225</v>
      </c>
      <c r="H28" s="64">
        <f t="shared" si="1"/>
        <v>187.5</v>
      </c>
      <c r="I28" s="64"/>
      <c r="J28" s="64"/>
      <c r="K28" s="64"/>
      <c r="L28" s="64">
        <f t="shared" si="2"/>
        <v>187.5</v>
      </c>
      <c r="M28" s="64"/>
      <c r="N28" s="64"/>
      <c r="O28" s="64" t="s">
        <v>3603</v>
      </c>
      <c r="P28" s="64">
        <v>7721801761</v>
      </c>
      <c r="Q28" s="64">
        <v>772001001</v>
      </c>
      <c r="R28" s="65" t="s">
        <v>3648</v>
      </c>
      <c r="S28" s="64" t="s">
        <v>2410</v>
      </c>
      <c r="T28" s="64">
        <v>2</v>
      </c>
      <c r="U28" t="s">
        <v>3611</v>
      </c>
      <c r="X28" t="s">
        <v>3632</v>
      </c>
      <c r="Y28">
        <v>77</v>
      </c>
      <c r="Z28">
        <v>3</v>
      </c>
    </row>
    <row r="29" spans="1:26" x14ac:dyDescent="0.25">
      <c r="A29" s="62" t="s">
        <v>3642</v>
      </c>
      <c r="B29" s="60" t="str">
        <f>"ТЦ"&amp;"_"&amp;X29&amp;"_"&amp;Y29&amp;"_"&amp;Q29&amp;"_"&amp;TEXT(U29,"ДД.ММ.ГГ")&amp;"_"&amp;T29</f>
        <v>ТЦ_ 21.1.04.01_78_780401001_22.04.24_2</v>
      </c>
      <c r="C29" s="60" t="s">
        <v>3640</v>
      </c>
      <c r="D29" s="60" t="s">
        <v>3640</v>
      </c>
      <c r="E29" s="60" t="s">
        <v>3608</v>
      </c>
      <c r="F29" s="60">
        <v>60</v>
      </c>
      <c r="G29" s="60">
        <v>109</v>
      </c>
      <c r="H29" s="60">
        <f t="shared" si="1"/>
        <v>90.833333333333343</v>
      </c>
      <c r="I29" s="60"/>
      <c r="J29" s="60"/>
      <c r="K29" s="60"/>
      <c r="L29" s="60">
        <f t="shared" si="2"/>
        <v>90.833333333333343</v>
      </c>
      <c r="M29" s="60"/>
      <c r="N29" s="60"/>
      <c r="O29" s="60" t="s">
        <v>46</v>
      </c>
      <c r="P29" s="60">
        <v>7804274156</v>
      </c>
      <c r="Q29" s="60">
        <v>780401001</v>
      </c>
      <c r="R29" s="63" t="s">
        <v>3645</v>
      </c>
      <c r="S29" s="60" t="s">
        <v>41</v>
      </c>
      <c r="T29" s="60">
        <v>2</v>
      </c>
      <c r="U29" s="30" t="s">
        <v>3583</v>
      </c>
      <c r="V29">
        <f ca="1">G29/100*RANDBETWEEN(3,5)</f>
        <v>4.3600000000000003</v>
      </c>
      <c r="W29">
        <f ca="1">G29/100*RANDBETWEEN(6,8)</f>
        <v>8.7200000000000006</v>
      </c>
      <c r="X29" t="s">
        <v>3641</v>
      </c>
      <c r="Y29">
        <v>78</v>
      </c>
    </row>
    <row r="30" spans="1:26" x14ac:dyDescent="0.25">
      <c r="A30" s="62" t="s">
        <v>3643</v>
      </c>
      <c r="B30" s="64" t="str">
        <f t="shared" ref="B30:B31" si="6">"ТЦ"&amp;"_"&amp;X30&amp;"_"&amp;Y30&amp;"_"&amp;Q30&amp;"_"&amp;TEXT(U30,"ДД.ММ.ГГ")&amp;"_"&amp;T30</f>
        <v>ТЦ_ 21.1.04.01_77_770201001_22.04.24_2</v>
      </c>
      <c r="C30" s="64" t="s">
        <v>3640</v>
      </c>
      <c r="D30" s="64" t="s">
        <v>3640</v>
      </c>
      <c r="E30" s="64" t="s">
        <v>3608</v>
      </c>
      <c r="F30" s="64">
        <v>60</v>
      </c>
      <c r="G30" s="64">
        <v>109.02</v>
      </c>
      <c r="H30" s="64">
        <f t="shared" si="1"/>
        <v>90.85</v>
      </c>
      <c r="I30" s="64"/>
      <c r="J30" s="64"/>
      <c r="K30" s="64"/>
      <c r="L30" s="64">
        <f t="shared" si="2"/>
        <v>90.85</v>
      </c>
      <c r="M30" s="64"/>
      <c r="N30" s="64"/>
      <c r="O30" s="64" t="s">
        <v>3636</v>
      </c>
      <c r="P30" s="64">
        <v>7702680818</v>
      </c>
      <c r="Q30" s="64">
        <v>770201001</v>
      </c>
      <c r="R30" s="65" t="s">
        <v>3646</v>
      </c>
      <c r="S30" s="64" t="s">
        <v>2410</v>
      </c>
      <c r="T30" s="64">
        <v>2</v>
      </c>
      <c r="U30" t="s">
        <v>3583</v>
      </c>
      <c r="X30" t="s">
        <v>3641</v>
      </c>
      <c r="Y30">
        <v>77</v>
      </c>
      <c r="Z30">
        <v>2</v>
      </c>
    </row>
    <row r="31" spans="1:26" x14ac:dyDescent="0.25">
      <c r="A31" s="62" t="s">
        <v>3644</v>
      </c>
      <c r="B31" s="64" t="str">
        <f t="shared" si="6"/>
        <v>ТЦ_ 21.1.04.01_78_781001001_23.04.24_2</v>
      </c>
      <c r="C31" s="64" t="s">
        <v>3640</v>
      </c>
      <c r="D31" s="64" t="s">
        <v>3640</v>
      </c>
      <c r="E31" s="64" t="s">
        <v>3608</v>
      </c>
      <c r="F31" s="64">
        <v>60</v>
      </c>
      <c r="G31" s="64">
        <v>109.02</v>
      </c>
      <c r="H31" s="64">
        <f t="shared" si="1"/>
        <v>90.85</v>
      </c>
      <c r="I31" s="64"/>
      <c r="J31" s="64"/>
      <c r="K31" s="64"/>
      <c r="L31" s="64">
        <f t="shared" si="2"/>
        <v>90.85</v>
      </c>
      <c r="M31" s="64"/>
      <c r="N31" s="64"/>
      <c r="O31" s="64" t="s">
        <v>3639</v>
      </c>
      <c r="P31" s="64">
        <v>7810623359</v>
      </c>
      <c r="Q31" s="64">
        <v>781001001</v>
      </c>
      <c r="R31" s="65" t="s">
        <v>3647</v>
      </c>
      <c r="S31" s="64" t="s">
        <v>41</v>
      </c>
      <c r="T31" s="64">
        <v>2</v>
      </c>
      <c r="U31" t="s">
        <v>3611</v>
      </c>
      <c r="X31" t="s">
        <v>3641</v>
      </c>
      <c r="Y31">
        <v>78</v>
      </c>
      <c r="Z31">
        <v>3</v>
      </c>
    </row>
    <row r="32" spans="1:26" x14ac:dyDescent="0.25">
      <c r="A32" s="62" t="s">
        <v>3660</v>
      </c>
      <c r="B32" s="60" t="str">
        <f>"ТЦ"&amp;"_"&amp;X32&amp;"_"&amp;Y32&amp;"_"&amp;Q32&amp;"_"&amp;TEXT(U32,"ДД.ММ.ГГ")&amp;"_"&amp;T32</f>
        <v>ТЦ_ 18.1.09.11_64_645001001_21.04.24_1</v>
      </c>
      <c r="C32" s="60" t="s">
        <v>3657</v>
      </c>
      <c r="D32" s="60" t="s">
        <v>3657</v>
      </c>
      <c r="E32" s="60" t="s">
        <v>3558</v>
      </c>
      <c r="F32" s="60">
        <v>4</v>
      </c>
      <c r="G32" s="60">
        <v>3685</v>
      </c>
      <c r="H32" s="60">
        <f t="shared" si="1"/>
        <v>3070.8333333333335</v>
      </c>
      <c r="I32" s="60"/>
      <c r="J32" s="60"/>
      <c r="K32" s="60"/>
      <c r="L32" s="60">
        <f t="shared" si="2"/>
        <v>3070.8333333333335</v>
      </c>
      <c r="M32" s="60"/>
      <c r="N32" s="60"/>
      <c r="O32" s="60" t="s">
        <v>3652</v>
      </c>
      <c r="P32" s="60">
        <v>6450078745</v>
      </c>
      <c r="Q32" s="60">
        <v>645001001</v>
      </c>
      <c r="R32" s="63" t="s">
        <v>3663</v>
      </c>
      <c r="S32" s="60" t="s">
        <v>3298</v>
      </c>
      <c r="T32" s="60">
        <v>1</v>
      </c>
      <c r="U32" s="30" t="s">
        <v>3658</v>
      </c>
      <c r="V32">
        <f ca="1">G32/100*RANDBETWEEN(3,5)</f>
        <v>110.55000000000001</v>
      </c>
      <c r="W32">
        <f ca="1">G32/100*RANDBETWEEN(6,8)</f>
        <v>294.8</v>
      </c>
      <c r="X32" t="s">
        <v>3659</v>
      </c>
      <c r="Y32">
        <v>64</v>
      </c>
    </row>
    <row r="33" spans="1:26" x14ac:dyDescent="0.25">
      <c r="A33" s="62" t="s">
        <v>3661</v>
      </c>
      <c r="B33" s="64" t="str">
        <f t="shared" ref="B33:B34" si="7">"ТЦ"&amp;"_"&amp;X33&amp;"_"&amp;Y33&amp;"_"&amp;Q33&amp;"_"&amp;TEXT(U33,"ДД.ММ.ГГ")&amp;"_"&amp;T33</f>
        <v>ТЦ_ 18.1.09.11_78_668501001_22.04.24_1</v>
      </c>
      <c r="C33" s="64" t="s">
        <v>3657</v>
      </c>
      <c r="D33" s="64" t="s">
        <v>3657</v>
      </c>
      <c r="E33" s="64" t="s">
        <v>3558</v>
      </c>
      <c r="F33" s="64">
        <v>4</v>
      </c>
      <c r="G33" s="64">
        <v>4161</v>
      </c>
      <c r="H33" s="64">
        <f t="shared" si="1"/>
        <v>3467.5</v>
      </c>
      <c r="I33" s="64"/>
      <c r="J33" s="64"/>
      <c r="K33" s="64"/>
      <c r="L33" s="64">
        <f t="shared" si="2"/>
        <v>3467.5</v>
      </c>
      <c r="M33" s="64"/>
      <c r="N33" s="64"/>
      <c r="O33" s="64" t="s">
        <v>3654</v>
      </c>
      <c r="P33" s="64">
        <v>6671331139</v>
      </c>
      <c r="Q33" s="64">
        <v>668501001</v>
      </c>
      <c r="R33" s="65" t="s">
        <v>3664</v>
      </c>
      <c r="S33" s="64" t="s">
        <v>41</v>
      </c>
      <c r="T33" s="64">
        <v>1</v>
      </c>
      <c r="U33" t="s">
        <v>3583</v>
      </c>
      <c r="X33" t="s">
        <v>3659</v>
      </c>
      <c r="Y33">
        <v>78</v>
      </c>
      <c r="Z33">
        <v>2</v>
      </c>
    </row>
    <row r="34" spans="1:26" x14ac:dyDescent="0.25">
      <c r="A34" s="62" t="s">
        <v>3662</v>
      </c>
      <c r="B34" s="64" t="str">
        <f t="shared" si="7"/>
        <v>ТЦ_ 18.1.09.11_77_772401001_23.04.24_2</v>
      </c>
      <c r="C34" s="64" t="s">
        <v>3657</v>
      </c>
      <c r="D34" s="64" t="s">
        <v>3657</v>
      </c>
      <c r="E34" s="64" t="s">
        <v>3558</v>
      </c>
      <c r="F34" s="64">
        <v>4</v>
      </c>
      <c r="G34" s="64">
        <v>12002</v>
      </c>
      <c r="H34" s="64">
        <f t="shared" si="1"/>
        <v>10001.666666666668</v>
      </c>
      <c r="I34" s="64"/>
      <c r="J34" s="64"/>
      <c r="K34" s="64"/>
      <c r="L34" s="64">
        <f t="shared" si="2"/>
        <v>10001.666666666668</v>
      </c>
      <c r="M34" s="64"/>
      <c r="N34" s="64"/>
      <c r="O34" s="64" t="s">
        <v>3655</v>
      </c>
      <c r="P34" s="64">
        <v>7724452117</v>
      </c>
      <c r="Q34" s="64">
        <v>772401001</v>
      </c>
      <c r="R34" s="65" t="s">
        <v>3665</v>
      </c>
      <c r="S34" s="64" t="s">
        <v>2410</v>
      </c>
      <c r="T34" s="64">
        <v>2</v>
      </c>
      <c r="U34" t="s">
        <v>3611</v>
      </c>
      <c r="X34" t="s">
        <v>3659</v>
      </c>
      <c r="Y34">
        <v>77</v>
      </c>
      <c r="Z34">
        <v>3</v>
      </c>
    </row>
    <row r="35" spans="1:26" x14ac:dyDescent="0.25">
      <c r="A35" s="62" t="s">
        <v>3667</v>
      </c>
      <c r="B35" s="60" t="str">
        <f>"ТЦ"&amp;"_"&amp;X35&amp;"_"&amp;Y35&amp;"_"&amp;Q35&amp;"_"&amp;TEXT(U35,"ДД.ММ.ГГ")&amp;"_"&amp;T35</f>
        <v>ТЦ_ 18.1.09.11_64_645001001_21.04.24_1</v>
      </c>
      <c r="C35" s="60" t="s">
        <v>3666</v>
      </c>
      <c r="D35" s="60" t="s">
        <v>3666</v>
      </c>
      <c r="E35" s="60" t="s">
        <v>3558</v>
      </c>
      <c r="F35" s="60">
        <v>2</v>
      </c>
      <c r="G35" s="60">
        <v>3036</v>
      </c>
      <c r="H35" s="60">
        <f t="shared" si="1"/>
        <v>2530</v>
      </c>
      <c r="I35" s="60"/>
      <c r="J35" s="60"/>
      <c r="K35" s="60"/>
      <c r="L35" s="60">
        <f t="shared" si="2"/>
        <v>2530</v>
      </c>
      <c r="M35" s="60"/>
      <c r="N35" s="60"/>
      <c r="O35" s="60" t="s">
        <v>3652</v>
      </c>
      <c r="P35" s="60">
        <v>6450078745</v>
      </c>
      <c r="Q35" s="60">
        <v>645001001</v>
      </c>
      <c r="R35" s="63" t="s">
        <v>3670</v>
      </c>
      <c r="S35" s="60" t="s">
        <v>3298</v>
      </c>
      <c r="T35" s="60">
        <v>1</v>
      </c>
      <c r="U35" s="30" t="s">
        <v>3658</v>
      </c>
      <c r="V35">
        <f ca="1">G35/100*RANDBETWEEN(3,5)</f>
        <v>121.44</v>
      </c>
      <c r="W35">
        <f ca="1">G35/100*RANDBETWEEN(6,8)</f>
        <v>182.16</v>
      </c>
      <c r="X35" t="s">
        <v>3659</v>
      </c>
      <c r="Y35">
        <v>64</v>
      </c>
    </row>
    <row r="36" spans="1:26" x14ac:dyDescent="0.25">
      <c r="A36" s="62" t="s">
        <v>3668</v>
      </c>
      <c r="B36" s="64" t="str">
        <f t="shared" ref="B36:B37" si="8">"ТЦ"&amp;"_"&amp;X36&amp;"_"&amp;Y36&amp;"_"&amp;Q36&amp;"_"&amp;TEXT(U36,"ДД.ММ.ГГ")&amp;"_"&amp;T36</f>
        <v>ТЦ_ 18.1.09.11_78_668501001_22.04.24_1</v>
      </c>
      <c r="C36" s="64" t="s">
        <v>3666</v>
      </c>
      <c r="D36" s="64" t="s">
        <v>3666</v>
      </c>
      <c r="E36" s="64" t="s">
        <v>3558</v>
      </c>
      <c r="F36" s="64">
        <v>2</v>
      </c>
      <c r="G36" s="64">
        <v>3373</v>
      </c>
      <c r="H36" s="64">
        <f t="shared" si="1"/>
        <v>2810.8333333333335</v>
      </c>
      <c r="I36" s="64"/>
      <c r="J36" s="64"/>
      <c r="K36" s="64"/>
      <c r="L36" s="64">
        <f t="shared" si="2"/>
        <v>2810.8333333333335</v>
      </c>
      <c r="M36" s="64"/>
      <c r="N36" s="64"/>
      <c r="O36" s="64" t="s">
        <v>3654</v>
      </c>
      <c r="P36" s="64">
        <v>6671331139</v>
      </c>
      <c r="Q36" s="64">
        <v>668501001</v>
      </c>
      <c r="R36" s="65" t="s">
        <v>3671</v>
      </c>
      <c r="S36" s="64" t="s">
        <v>41</v>
      </c>
      <c r="T36" s="64">
        <v>1</v>
      </c>
      <c r="U36" t="s">
        <v>3583</v>
      </c>
      <c r="X36" t="s">
        <v>3659</v>
      </c>
      <c r="Y36">
        <v>78</v>
      </c>
      <c r="Z36">
        <v>2</v>
      </c>
    </row>
    <row r="37" spans="1:26" x14ac:dyDescent="0.25">
      <c r="A37" s="62" t="s">
        <v>3669</v>
      </c>
      <c r="B37" s="64" t="str">
        <f t="shared" si="8"/>
        <v>ТЦ_ 18.1.09.11_77_772401001_23.04.24_2</v>
      </c>
      <c r="C37" s="64" t="s">
        <v>3666</v>
      </c>
      <c r="D37" s="64" t="s">
        <v>3666</v>
      </c>
      <c r="E37" s="64" t="s">
        <v>3558</v>
      </c>
      <c r="F37" s="64">
        <v>2</v>
      </c>
      <c r="G37" s="64">
        <v>8463</v>
      </c>
      <c r="H37" s="64">
        <f t="shared" si="1"/>
        <v>7052.5</v>
      </c>
      <c r="I37" s="64"/>
      <c r="J37" s="64"/>
      <c r="K37" s="64"/>
      <c r="L37" s="64">
        <f t="shared" si="2"/>
        <v>7052.5</v>
      </c>
      <c r="M37" s="64"/>
      <c r="N37" s="64"/>
      <c r="O37" s="64" t="s">
        <v>3655</v>
      </c>
      <c r="P37" s="64">
        <v>7724452117</v>
      </c>
      <c r="Q37" s="64">
        <v>772401001</v>
      </c>
      <c r="R37" s="65" t="s">
        <v>3672</v>
      </c>
      <c r="S37" s="64" t="s">
        <v>2410</v>
      </c>
      <c r="T37" s="64">
        <v>2</v>
      </c>
      <c r="U37" t="s">
        <v>3611</v>
      </c>
      <c r="X37" t="s">
        <v>3659</v>
      </c>
      <c r="Y37">
        <v>77</v>
      </c>
      <c r="Z37">
        <v>3</v>
      </c>
    </row>
    <row r="38" spans="1:26" x14ac:dyDescent="0.25">
      <c r="A38" s="62" t="s">
        <v>3680</v>
      </c>
      <c r="B38" s="60" t="str">
        <f>"ТЦ"&amp;"_"&amp;X38&amp;"_"&amp;Y38&amp;"_"&amp;Q38&amp;"_"&amp;TEXT(U38,"ДД.ММ.ГГ")&amp;"_"&amp;T38</f>
        <v>ТЦ_ 18.1.09.11_74_667001001_21.04.24_2</v>
      </c>
      <c r="C38" s="60" t="s">
        <v>3679</v>
      </c>
      <c r="D38" s="60" t="s">
        <v>3679</v>
      </c>
      <c r="E38" s="60" t="s">
        <v>3558</v>
      </c>
      <c r="F38" s="60">
        <v>1</v>
      </c>
      <c r="G38" s="60">
        <v>1320</v>
      </c>
      <c r="H38" s="60">
        <f t="shared" si="1"/>
        <v>1100</v>
      </c>
      <c r="I38" s="60"/>
      <c r="J38" s="60"/>
      <c r="K38" s="60"/>
      <c r="L38" s="60">
        <f t="shared" si="2"/>
        <v>1100</v>
      </c>
      <c r="M38" s="60"/>
      <c r="N38" s="60"/>
      <c r="O38" s="60" t="s">
        <v>3674</v>
      </c>
      <c r="P38" s="60">
        <v>6679109432</v>
      </c>
      <c r="Q38" s="60">
        <v>667001001</v>
      </c>
      <c r="R38" s="63" t="s">
        <v>3683</v>
      </c>
      <c r="S38" s="60" t="s">
        <v>3472</v>
      </c>
      <c r="T38" s="60">
        <v>2</v>
      </c>
      <c r="U38" s="30" t="s">
        <v>3658</v>
      </c>
      <c r="V38">
        <f ca="1">G38/100*RANDBETWEEN(3,5)</f>
        <v>52.8</v>
      </c>
      <c r="W38">
        <f ca="1">G38/100*RANDBETWEEN(6,8)</f>
        <v>92.399999999999991</v>
      </c>
      <c r="X38" t="s">
        <v>3659</v>
      </c>
      <c r="Y38">
        <v>74</v>
      </c>
    </row>
    <row r="39" spans="1:26" x14ac:dyDescent="0.25">
      <c r="A39" s="62" t="s">
        <v>3681</v>
      </c>
      <c r="B39" s="64" t="str">
        <f t="shared" ref="B39:B40" si="9">"ТЦ"&amp;"_"&amp;X39&amp;"_"&amp;Y39&amp;"_"&amp;Q39&amp;"_"&amp;TEXT(U39,"ДД.ММ.ГГ")&amp;"_"&amp;T39</f>
        <v>ТЦ_ 18.1.09.11_59_590501001_22.04.24_1</v>
      </c>
      <c r="C39" s="64" t="s">
        <v>3679</v>
      </c>
      <c r="D39" s="64" t="s">
        <v>3679</v>
      </c>
      <c r="E39" s="64" t="s">
        <v>3558</v>
      </c>
      <c r="F39" s="64">
        <v>1</v>
      </c>
      <c r="G39" s="64">
        <v>1360</v>
      </c>
      <c r="H39" s="64">
        <f t="shared" si="1"/>
        <v>1133.3333333333335</v>
      </c>
      <c r="I39" s="64"/>
      <c r="J39" s="64"/>
      <c r="K39" s="64"/>
      <c r="L39" s="64">
        <f t="shared" si="2"/>
        <v>1133.3333333333335</v>
      </c>
      <c r="M39" s="64"/>
      <c r="N39" s="64"/>
      <c r="O39" s="64" t="s">
        <v>3676</v>
      </c>
      <c r="P39" s="64">
        <v>5905231483</v>
      </c>
      <c r="Q39" s="64">
        <v>590501001</v>
      </c>
      <c r="R39" s="65" t="s">
        <v>3684</v>
      </c>
      <c r="S39" s="64" t="s">
        <v>3215</v>
      </c>
      <c r="T39" s="64">
        <v>1</v>
      </c>
      <c r="U39" t="s">
        <v>3583</v>
      </c>
      <c r="X39" t="s">
        <v>3659</v>
      </c>
      <c r="Y39">
        <v>59</v>
      </c>
      <c r="Z39">
        <v>2</v>
      </c>
    </row>
    <row r="40" spans="1:26" x14ac:dyDescent="0.25">
      <c r="A40" s="62" t="s">
        <v>3682</v>
      </c>
      <c r="B40" s="64" t="str">
        <f t="shared" si="9"/>
        <v>ТЦ_ 18.1.09.11_74_745101001_23.04.24_1</v>
      </c>
      <c r="C40" s="64" t="s">
        <v>3679</v>
      </c>
      <c r="D40" s="64" t="s">
        <v>3679</v>
      </c>
      <c r="E40" s="64" t="s">
        <v>3558</v>
      </c>
      <c r="F40" s="64">
        <v>1</v>
      </c>
      <c r="G40" s="64">
        <v>1825</v>
      </c>
      <c r="H40" s="64">
        <f t="shared" si="1"/>
        <v>1520.8333333333335</v>
      </c>
      <c r="I40" s="64"/>
      <c r="J40" s="64"/>
      <c r="K40" s="64"/>
      <c r="L40" s="64">
        <f t="shared" si="2"/>
        <v>1520.8333333333335</v>
      </c>
      <c r="M40" s="64"/>
      <c r="N40" s="64"/>
      <c r="O40" s="64" t="s">
        <v>3677</v>
      </c>
      <c r="P40" s="64">
        <v>7451435053</v>
      </c>
      <c r="Q40" s="64">
        <v>745101001</v>
      </c>
      <c r="R40" s="65" t="s">
        <v>3685</v>
      </c>
      <c r="S40" s="64" t="s">
        <v>3472</v>
      </c>
      <c r="T40" s="64">
        <v>1</v>
      </c>
      <c r="U40" t="s">
        <v>3611</v>
      </c>
      <c r="X40" t="s">
        <v>3659</v>
      </c>
      <c r="Y40">
        <v>74</v>
      </c>
      <c r="Z40">
        <v>3</v>
      </c>
    </row>
    <row r="41" spans="1:26" x14ac:dyDescent="0.25">
      <c r="A41" s="62" t="s">
        <v>3694</v>
      </c>
      <c r="B41" s="60" t="str">
        <f>"ТЦ"&amp;"_"&amp;X41&amp;"_"&amp;Y41&amp;"_"&amp;Q41&amp;"_"&amp;TEXT(U41,"ДД.ММ.ГГ")&amp;"_"&amp;T41</f>
        <v>ТЦ_ 18.1.04.02_77_772401001_21.04.24_2</v>
      </c>
      <c r="C41" s="60" t="s">
        <v>3690</v>
      </c>
      <c r="D41" s="60" t="s">
        <v>3690</v>
      </c>
      <c r="E41" s="60" t="s">
        <v>3558</v>
      </c>
      <c r="F41" s="60">
        <v>1</v>
      </c>
      <c r="G41" s="60">
        <v>2700</v>
      </c>
      <c r="H41" s="60">
        <f t="shared" si="1"/>
        <v>2250</v>
      </c>
      <c r="I41" s="60"/>
      <c r="J41" s="60"/>
      <c r="K41" s="60"/>
      <c r="L41" s="60">
        <f t="shared" si="2"/>
        <v>2250</v>
      </c>
      <c r="M41" s="60"/>
      <c r="N41" s="60"/>
      <c r="O41" s="60" t="s">
        <v>3655</v>
      </c>
      <c r="P41" s="60">
        <v>7724452117</v>
      </c>
      <c r="Q41" s="60">
        <v>772401001</v>
      </c>
      <c r="R41" s="63" t="s">
        <v>3697</v>
      </c>
      <c r="S41" s="60" t="s">
        <v>2410</v>
      </c>
      <c r="T41" s="60">
        <v>2</v>
      </c>
      <c r="U41" s="30" t="s">
        <v>3658</v>
      </c>
      <c r="V41">
        <f ca="1">G41/100*RANDBETWEEN(3,5)</f>
        <v>81</v>
      </c>
      <c r="W41">
        <f ca="1">G41/100*RANDBETWEEN(6,8)</f>
        <v>189</v>
      </c>
      <c r="X41" t="s">
        <v>3691</v>
      </c>
      <c r="Y41">
        <v>77</v>
      </c>
    </row>
    <row r="42" spans="1:26" x14ac:dyDescent="0.25">
      <c r="A42" s="62" t="s">
        <v>3695</v>
      </c>
      <c r="B42" s="64" t="str">
        <f t="shared" ref="B42:B43" si="10">"ТЦ"&amp;"_"&amp;X42&amp;"_"&amp;Y42&amp;"_"&amp;Q42&amp;"_"&amp;TEXT(U42,"ДД.ММ.ГГ")&amp;"_"&amp;T42</f>
        <v>ТЦ_ 18.1.04.02_77_770401001_22.04.24_2</v>
      </c>
      <c r="C42" s="64" t="s">
        <v>3690</v>
      </c>
      <c r="D42" s="64" t="s">
        <v>3690</v>
      </c>
      <c r="E42" s="64" t="s">
        <v>3558</v>
      </c>
      <c r="F42" s="64">
        <v>1</v>
      </c>
      <c r="G42" s="64" t="s">
        <v>3693</v>
      </c>
      <c r="H42" s="64">
        <f t="shared" si="1"/>
        <v>3397</v>
      </c>
      <c r="I42" s="64"/>
      <c r="J42" s="64"/>
      <c r="K42" s="64"/>
      <c r="L42" s="64">
        <f t="shared" si="2"/>
        <v>3397</v>
      </c>
      <c r="M42" s="64"/>
      <c r="N42" s="64"/>
      <c r="O42" s="64" t="s">
        <v>3692</v>
      </c>
      <c r="P42" s="64">
        <v>7705674361</v>
      </c>
      <c r="Q42" s="64">
        <v>770401001</v>
      </c>
      <c r="R42" s="65" t="s">
        <v>3698</v>
      </c>
      <c r="S42" s="64" t="s">
        <v>2410</v>
      </c>
      <c r="T42" s="64">
        <v>2</v>
      </c>
      <c r="U42" t="s">
        <v>3583</v>
      </c>
      <c r="X42" t="s">
        <v>3691</v>
      </c>
      <c r="Y42">
        <v>77</v>
      </c>
      <c r="Z42">
        <v>2</v>
      </c>
    </row>
    <row r="43" spans="1:26" x14ac:dyDescent="0.25">
      <c r="A43" s="62" t="s">
        <v>3696</v>
      </c>
      <c r="B43" s="64" t="str">
        <f t="shared" si="10"/>
        <v>ТЦ_ 18.1.04.02_77_772001001_23.04.24_1</v>
      </c>
      <c r="C43" s="64" t="s">
        <v>3690</v>
      </c>
      <c r="D43" s="64" t="s">
        <v>3690</v>
      </c>
      <c r="E43" s="64" t="s">
        <v>3558</v>
      </c>
      <c r="F43" s="64">
        <v>1</v>
      </c>
      <c r="G43" s="64">
        <v>4898.95</v>
      </c>
      <c r="H43" s="64">
        <f t="shared" si="1"/>
        <v>4082.4583333333335</v>
      </c>
      <c r="I43" s="64"/>
      <c r="J43" s="64"/>
      <c r="K43" s="64"/>
      <c r="L43" s="64">
        <f t="shared" si="2"/>
        <v>4082.4583333333335</v>
      </c>
      <c r="M43" s="64"/>
      <c r="N43" s="64"/>
      <c r="O43" s="64" t="s">
        <v>3688</v>
      </c>
      <c r="P43" s="64">
        <v>7720323022</v>
      </c>
      <c r="Q43" s="64">
        <v>772001001</v>
      </c>
      <c r="R43" s="65" t="s">
        <v>3699</v>
      </c>
      <c r="S43" s="64" t="s">
        <v>2410</v>
      </c>
      <c r="T43" s="64">
        <v>1</v>
      </c>
      <c r="U43" t="s">
        <v>3611</v>
      </c>
      <c r="X43" t="s">
        <v>3691</v>
      </c>
      <c r="Y43">
        <v>77</v>
      </c>
      <c r="Z43">
        <v>3</v>
      </c>
    </row>
    <row r="44" spans="1:26" x14ac:dyDescent="0.25">
      <c r="A44" s="62" t="s">
        <v>3707</v>
      </c>
      <c r="B44" s="60" t="str">
        <f>"ТЦ"&amp;"_"&amp;X44&amp;"_"&amp;Y44&amp;"_"&amp;Q44&amp;"_"&amp;TEXT(U44,"ДД.ММ.ГГ")&amp;"_"&amp;T44</f>
        <v>ТЦ_ 18.1.08.05_50_500301001_21.04.24_1</v>
      </c>
      <c r="C44" s="60" t="s">
        <v>3704</v>
      </c>
      <c r="D44" s="60" t="s">
        <v>3704</v>
      </c>
      <c r="E44" s="60" t="s">
        <v>3558</v>
      </c>
      <c r="F44" s="60">
        <v>2</v>
      </c>
      <c r="G44" s="60" t="s">
        <v>3705</v>
      </c>
      <c r="H44" s="60">
        <f t="shared" si="1"/>
        <v>338.41666666666669</v>
      </c>
      <c r="I44" s="60"/>
      <c r="J44" s="60"/>
      <c r="K44" s="60"/>
      <c r="L44" s="60">
        <f t="shared" si="2"/>
        <v>338.41666666666669</v>
      </c>
      <c r="M44" s="60"/>
      <c r="N44" s="60"/>
      <c r="O44" s="60" t="s">
        <v>3701</v>
      </c>
      <c r="P44" s="60">
        <v>7736192449</v>
      </c>
      <c r="Q44" s="60">
        <v>500301001</v>
      </c>
      <c r="R44" s="63" t="s">
        <v>3710</v>
      </c>
      <c r="S44" s="60" t="s">
        <v>3007</v>
      </c>
      <c r="T44" s="60">
        <v>1</v>
      </c>
      <c r="U44" s="30" t="s">
        <v>3658</v>
      </c>
      <c r="V44">
        <f ca="1">G44/100*RANDBETWEEN(3,5)</f>
        <v>20.305</v>
      </c>
      <c r="W44">
        <f ca="1">G44/100*RANDBETWEEN(6,8)</f>
        <v>32.488</v>
      </c>
      <c r="X44" t="s">
        <v>3706</v>
      </c>
      <c r="Y44">
        <v>50</v>
      </c>
    </row>
    <row r="45" spans="1:26" x14ac:dyDescent="0.25">
      <c r="A45" s="62" t="s">
        <v>3708</v>
      </c>
      <c r="B45" s="64" t="str">
        <f t="shared" ref="B45:B46" si="11">"ТЦ"&amp;"_"&amp;X45&amp;"_"&amp;Y45&amp;"_"&amp;Q45&amp;"_"&amp;TEXT(U45,"ДД.ММ.ГГ")&amp;"_"&amp;T45</f>
        <v>ТЦ_ 18.1.08.05_77_772201001_22.04.24_2</v>
      </c>
      <c r="C45" s="64" t="s">
        <v>3704</v>
      </c>
      <c r="D45" s="64" t="s">
        <v>3704</v>
      </c>
      <c r="E45" s="64" t="s">
        <v>3558</v>
      </c>
      <c r="F45" s="64">
        <v>2</v>
      </c>
      <c r="G45" s="64">
        <v>468</v>
      </c>
      <c r="H45" s="64">
        <f t="shared" si="1"/>
        <v>390</v>
      </c>
      <c r="I45" s="64"/>
      <c r="J45" s="64"/>
      <c r="K45" s="64"/>
      <c r="L45" s="64">
        <f t="shared" si="2"/>
        <v>390</v>
      </c>
      <c r="M45" s="64"/>
      <c r="N45" s="64"/>
      <c r="O45" s="64" t="s">
        <v>3702</v>
      </c>
      <c r="P45" s="64">
        <v>7722493380</v>
      </c>
      <c r="Q45" s="64">
        <v>772201001</v>
      </c>
      <c r="R45" s="65" t="s">
        <v>3711</v>
      </c>
      <c r="S45" s="64" t="s">
        <v>2410</v>
      </c>
      <c r="T45" s="64">
        <v>2</v>
      </c>
      <c r="U45" t="s">
        <v>3583</v>
      </c>
      <c r="X45" t="s">
        <v>3706</v>
      </c>
      <c r="Y45">
        <v>77</v>
      </c>
      <c r="Z45">
        <v>2</v>
      </c>
    </row>
    <row r="46" spans="1:26" x14ac:dyDescent="0.25">
      <c r="A46" s="62" t="s">
        <v>3709</v>
      </c>
      <c r="B46" s="64" t="str">
        <f t="shared" si="11"/>
        <v>ТЦ_ 18.1.08.05_77_772401001_23.04.24_2</v>
      </c>
      <c r="C46" s="64" t="s">
        <v>3704</v>
      </c>
      <c r="D46" s="64" t="s">
        <v>3704</v>
      </c>
      <c r="E46" s="64" t="s">
        <v>3558</v>
      </c>
      <c r="F46" s="64">
        <v>2</v>
      </c>
      <c r="G46" s="64">
        <v>639</v>
      </c>
      <c r="H46" s="64">
        <f t="shared" si="1"/>
        <v>532.5</v>
      </c>
      <c r="I46" s="64"/>
      <c r="J46" s="64"/>
      <c r="K46" s="64"/>
      <c r="L46" s="64">
        <f t="shared" si="2"/>
        <v>532.5</v>
      </c>
      <c r="M46" s="64"/>
      <c r="N46" s="64"/>
      <c r="O46" s="64" t="s">
        <v>3655</v>
      </c>
      <c r="P46" s="64">
        <v>7724452117</v>
      </c>
      <c r="Q46" s="64">
        <v>772401001</v>
      </c>
      <c r="R46" s="65" t="s">
        <v>3712</v>
      </c>
      <c r="S46" s="64" t="s">
        <v>2410</v>
      </c>
      <c r="T46" s="64">
        <v>2</v>
      </c>
      <c r="U46" t="s">
        <v>3611</v>
      </c>
      <c r="X46" t="s">
        <v>3706</v>
      </c>
      <c r="Y46">
        <v>77</v>
      </c>
      <c r="Z46">
        <v>3</v>
      </c>
    </row>
    <row r="47" spans="1:26" x14ac:dyDescent="0.25">
      <c r="A47" s="62" t="s">
        <v>3721</v>
      </c>
      <c r="B47" s="60" t="str">
        <f>"ТЦ"&amp;"_"&amp;X47&amp;"_"&amp;Y47&amp;"_"&amp;Q47&amp;"_"&amp;TEXT(U47,"ДД.ММ.ГГ")&amp;"_"&amp;T47</f>
        <v>ТЦ_ 63.4.01.02_78_772201001_21.04.24_1</v>
      </c>
      <c r="C47" s="60" t="s">
        <v>3719</v>
      </c>
      <c r="D47" s="60" t="s">
        <v>3719</v>
      </c>
      <c r="E47" s="60" t="s">
        <v>3558</v>
      </c>
      <c r="F47" s="60">
        <v>2</v>
      </c>
      <c r="G47" s="60">
        <v>680</v>
      </c>
      <c r="H47" s="60">
        <f t="shared" si="1"/>
        <v>566.66666666666674</v>
      </c>
      <c r="I47" s="60"/>
      <c r="J47" s="60"/>
      <c r="K47" s="60"/>
      <c r="L47" s="60">
        <f t="shared" si="2"/>
        <v>566.66666666666674</v>
      </c>
      <c r="M47" s="60"/>
      <c r="N47" s="60"/>
      <c r="O47" s="60" t="s">
        <v>3714</v>
      </c>
      <c r="P47" s="60">
        <v>9722054805</v>
      </c>
      <c r="Q47" s="60">
        <v>772201001</v>
      </c>
      <c r="R47" s="63" t="s">
        <v>3724</v>
      </c>
      <c r="S47" s="60" t="s">
        <v>41</v>
      </c>
      <c r="T47" s="60">
        <v>1</v>
      </c>
      <c r="U47" s="30" t="s">
        <v>3658</v>
      </c>
      <c r="V47">
        <f ca="1">G47/100*RANDBETWEEN(3,5)</f>
        <v>27.2</v>
      </c>
      <c r="W47">
        <f ca="1">G47/100*RANDBETWEEN(6,8)</f>
        <v>54.4</v>
      </c>
      <c r="X47" t="s">
        <v>3720</v>
      </c>
      <c r="Y47">
        <v>78</v>
      </c>
    </row>
    <row r="48" spans="1:26" x14ac:dyDescent="0.25">
      <c r="A48" s="62" t="s">
        <v>3722</v>
      </c>
      <c r="B48" s="64" t="str">
        <f t="shared" ref="B48:B49" si="12">"ТЦ"&amp;"_"&amp;X48&amp;"_"&amp;Y48&amp;"_"&amp;Q48&amp;"_"&amp;TEXT(U48,"ДД.ММ.ГГ")&amp;"_"&amp;T48</f>
        <v>ТЦ_ 63.4.01.02_61_616501001_22.04.24_2</v>
      </c>
      <c r="C48" s="64" t="s">
        <v>3719</v>
      </c>
      <c r="D48" s="64" t="s">
        <v>3719</v>
      </c>
      <c r="E48" s="64" t="s">
        <v>3558</v>
      </c>
      <c r="F48" s="64">
        <v>2</v>
      </c>
      <c r="G48" s="64">
        <v>830</v>
      </c>
      <c r="H48" s="64">
        <f t="shared" si="1"/>
        <v>691.66666666666674</v>
      </c>
      <c r="I48" s="64"/>
      <c r="J48" s="64"/>
      <c r="K48" s="64"/>
      <c r="L48" s="64">
        <f t="shared" si="2"/>
        <v>691.66666666666674</v>
      </c>
      <c r="M48" s="64"/>
      <c r="N48" s="64"/>
      <c r="O48" s="64" t="s">
        <v>3716</v>
      </c>
      <c r="P48" s="64">
        <v>6163103300</v>
      </c>
      <c r="Q48" s="64">
        <v>616501001</v>
      </c>
      <c r="R48" s="65" t="s">
        <v>3725</v>
      </c>
      <c r="S48" s="64" t="s">
        <v>3255</v>
      </c>
      <c r="T48" s="64">
        <v>2</v>
      </c>
      <c r="U48" t="s">
        <v>3583</v>
      </c>
      <c r="X48" t="s">
        <v>3720</v>
      </c>
      <c r="Y48">
        <v>61</v>
      </c>
      <c r="Z48">
        <v>2</v>
      </c>
    </row>
    <row r="49" spans="1:26" x14ac:dyDescent="0.25">
      <c r="A49" s="62" t="s">
        <v>3723</v>
      </c>
      <c r="B49" s="64" t="str">
        <f t="shared" si="12"/>
        <v>ТЦ_ 63.4.01.02_77_772601001_23.04.24_1</v>
      </c>
      <c r="C49" s="64" t="s">
        <v>3719</v>
      </c>
      <c r="D49" s="64" t="s">
        <v>3719</v>
      </c>
      <c r="E49" s="64" t="s">
        <v>3558</v>
      </c>
      <c r="F49" s="64">
        <v>2</v>
      </c>
      <c r="G49" s="64">
        <v>860</v>
      </c>
      <c r="H49" s="64">
        <f t="shared" si="1"/>
        <v>716.66666666666674</v>
      </c>
      <c r="I49" s="64"/>
      <c r="J49" s="64"/>
      <c r="K49" s="64"/>
      <c r="L49" s="64">
        <f t="shared" si="2"/>
        <v>716.66666666666674</v>
      </c>
      <c r="M49" s="64"/>
      <c r="N49" s="64"/>
      <c r="O49" s="64" t="s">
        <v>3717</v>
      </c>
      <c r="P49" s="64">
        <v>7726366135</v>
      </c>
      <c r="Q49" s="64">
        <v>772601001</v>
      </c>
      <c r="R49" s="65" t="s">
        <v>3726</v>
      </c>
      <c r="S49" s="64" t="s">
        <v>2410</v>
      </c>
      <c r="T49" s="64">
        <v>1</v>
      </c>
      <c r="U49" t="s">
        <v>3611</v>
      </c>
      <c r="X49" t="s">
        <v>3720</v>
      </c>
      <c r="Y49">
        <v>77</v>
      </c>
      <c r="Z49">
        <v>3</v>
      </c>
    </row>
    <row r="50" spans="1:26" x14ac:dyDescent="0.25">
      <c r="A50" s="62" t="s">
        <v>3734</v>
      </c>
      <c r="B50" s="60" t="str">
        <f>"ТЦ"&amp;"_"&amp;X50&amp;"_"&amp;Y50&amp;"_"&amp;Q50&amp;"_"&amp;TEXT(U50,"ДД.ММ.ГГ")&amp;"_"&amp;T50</f>
        <v>ТЦ_ 59.1.17.04_77_771501001_21.04.24_2</v>
      </c>
      <c r="C50" s="60" t="s">
        <v>3765</v>
      </c>
      <c r="D50" s="60" t="s">
        <v>3765</v>
      </c>
      <c r="E50" s="60" t="s">
        <v>3558</v>
      </c>
      <c r="F50" s="60">
        <v>1</v>
      </c>
      <c r="G50" s="60">
        <v>2000</v>
      </c>
      <c r="H50" s="60">
        <f t="shared" si="1"/>
        <v>1666.6666666666667</v>
      </c>
      <c r="I50" s="60"/>
      <c r="J50" s="60"/>
      <c r="K50" s="60"/>
      <c r="L50" s="60">
        <f t="shared" si="2"/>
        <v>1666.6666666666667</v>
      </c>
      <c r="M50" s="60"/>
      <c r="N50" s="60"/>
      <c r="O50" s="60" t="s">
        <v>3728</v>
      </c>
      <c r="P50" s="60">
        <v>9715307100</v>
      </c>
      <c r="Q50" s="60">
        <v>771501001</v>
      </c>
      <c r="R50" s="63" t="s">
        <v>3737</v>
      </c>
      <c r="S50" s="60" t="s">
        <v>2410</v>
      </c>
      <c r="T50" s="60">
        <v>2</v>
      </c>
      <c r="U50" s="30" t="s">
        <v>3658</v>
      </c>
      <c r="V50">
        <f ca="1">G50/100*RANDBETWEEN(3,5)</f>
        <v>100</v>
      </c>
      <c r="W50">
        <f ca="1">G50/100*RANDBETWEEN(6,8)</f>
        <v>120</v>
      </c>
      <c r="X50" t="s">
        <v>3733</v>
      </c>
      <c r="Y50">
        <v>77</v>
      </c>
    </row>
    <row r="51" spans="1:26" x14ac:dyDescent="0.25">
      <c r="A51" s="62" t="s">
        <v>3735</v>
      </c>
      <c r="B51" s="64" t="str">
        <f t="shared" ref="B51:B52" si="13">"ТЦ"&amp;"_"&amp;X51&amp;"_"&amp;Y51&amp;"_"&amp;Q51&amp;"_"&amp;TEXT(U51,"ДД.ММ.ГГ")&amp;"_"&amp;T51</f>
        <v>ТЦ_ 59.1.17.04_50_507401001_22.04.24_2</v>
      </c>
      <c r="C51" s="64" t="s">
        <v>3765</v>
      </c>
      <c r="D51" s="64" t="s">
        <v>3765</v>
      </c>
      <c r="E51" s="64" t="s">
        <v>3558</v>
      </c>
      <c r="F51" s="64">
        <v>1</v>
      </c>
      <c r="G51" s="64">
        <v>2200</v>
      </c>
      <c r="H51" s="64">
        <f t="shared" si="1"/>
        <v>1833.3333333333335</v>
      </c>
      <c r="I51" s="64"/>
      <c r="J51" s="64"/>
      <c r="K51" s="64"/>
      <c r="L51" s="64">
        <f t="shared" si="2"/>
        <v>1833.3333333333335</v>
      </c>
      <c r="M51" s="64"/>
      <c r="N51" s="64"/>
      <c r="O51" s="64" t="s">
        <v>3731</v>
      </c>
      <c r="P51" s="64">
        <v>7704322328</v>
      </c>
      <c r="Q51" s="64">
        <v>507401001</v>
      </c>
      <c r="R51" s="65" t="s">
        <v>3738</v>
      </c>
      <c r="S51" s="64" t="s">
        <v>50</v>
      </c>
      <c r="T51" s="64">
        <v>2</v>
      </c>
      <c r="U51" t="s">
        <v>3583</v>
      </c>
      <c r="X51" t="s">
        <v>3733</v>
      </c>
      <c r="Y51">
        <v>50</v>
      </c>
      <c r="Z51">
        <v>2</v>
      </c>
    </row>
    <row r="52" spans="1:26" x14ac:dyDescent="0.25">
      <c r="A52" s="62" t="s">
        <v>3736</v>
      </c>
      <c r="B52" s="64" t="str">
        <f t="shared" si="13"/>
        <v>ТЦ_ 59.1.17.04_54_772901001_23.04.24_2</v>
      </c>
      <c r="C52" s="64" t="s">
        <v>3765</v>
      </c>
      <c r="D52" s="64" t="s">
        <v>3765</v>
      </c>
      <c r="E52" s="64" t="s">
        <v>3558</v>
      </c>
      <c r="F52" s="64">
        <v>1</v>
      </c>
      <c r="G52" s="64">
        <v>11020</v>
      </c>
      <c r="H52" s="64">
        <f t="shared" si="1"/>
        <v>9183.3333333333339</v>
      </c>
      <c r="I52" s="64"/>
      <c r="J52" s="64"/>
      <c r="K52" s="64"/>
      <c r="L52" s="64">
        <f t="shared" si="2"/>
        <v>9183.3333333333339</v>
      </c>
      <c r="M52" s="64"/>
      <c r="N52" s="64"/>
      <c r="O52" s="64" t="s">
        <v>3730</v>
      </c>
      <c r="P52" s="64">
        <v>9729294683</v>
      </c>
      <c r="Q52" s="64">
        <v>772901001</v>
      </c>
      <c r="R52" s="65" t="s">
        <v>3739</v>
      </c>
      <c r="S52" s="64" t="s">
        <v>3155</v>
      </c>
      <c r="T52" s="64">
        <v>2</v>
      </c>
      <c r="U52" t="s">
        <v>3611</v>
      </c>
      <c r="X52" t="s">
        <v>3733</v>
      </c>
      <c r="Y52">
        <v>54</v>
      </c>
      <c r="Z52">
        <v>3</v>
      </c>
    </row>
    <row r="53" spans="1:26" x14ac:dyDescent="0.25">
      <c r="A53" s="62" t="s">
        <v>3747</v>
      </c>
      <c r="B53" s="60" t="str">
        <f>"ТЦ"&amp;"_"&amp;X53&amp;"_"&amp;Y53&amp;"_"&amp;Q53&amp;"_"&amp;TEXT(U53,"ДД.ММ.ГГ")&amp;"_"&amp;T53</f>
        <v>ТЦ_ 18.1.08.05_77_525201001_21.04.24_1</v>
      </c>
      <c r="C53" s="60" t="s">
        <v>3746</v>
      </c>
      <c r="D53" s="60" t="s">
        <v>3746</v>
      </c>
      <c r="E53" s="60" t="s">
        <v>3558</v>
      </c>
      <c r="F53" s="60">
        <v>2</v>
      </c>
      <c r="G53" s="60">
        <v>504</v>
      </c>
      <c r="H53" s="60">
        <f t="shared" si="1"/>
        <v>420</v>
      </c>
      <c r="I53" s="60"/>
      <c r="J53" s="60"/>
      <c r="K53" s="60"/>
      <c r="L53" s="60">
        <f t="shared" si="2"/>
        <v>420</v>
      </c>
      <c r="M53" s="60"/>
      <c r="N53" s="60"/>
      <c r="O53" s="60" t="s">
        <v>3740</v>
      </c>
      <c r="P53" s="60">
        <v>7719452305</v>
      </c>
      <c r="Q53" s="60">
        <v>525201001</v>
      </c>
      <c r="R53" s="63" t="s">
        <v>3750</v>
      </c>
      <c r="S53" s="60" t="s">
        <v>2410</v>
      </c>
      <c r="T53" s="60">
        <v>1</v>
      </c>
      <c r="U53" s="30" t="s">
        <v>3658</v>
      </c>
      <c r="V53">
        <f ca="1">G53/100*RANDBETWEEN(3,5)</f>
        <v>20.16</v>
      </c>
      <c r="W53">
        <f ca="1">G53/100*RANDBETWEEN(6,8)</f>
        <v>40.32</v>
      </c>
      <c r="X53" t="s">
        <v>3706</v>
      </c>
      <c r="Y53">
        <v>77</v>
      </c>
    </row>
    <row r="54" spans="1:26" x14ac:dyDescent="0.25">
      <c r="A54" s="62" t="s">
        <v>3748</v>
      </c>
      <c r="B54" s="64" t="str">
        <f t="shared" ref="B54:B55" si="14">"ТЦ"&amp;"_"&amp;X54&amp;"_"&amp;Y54&amp;"_"&amp;Q54&amp;"_"&amp;TEXT(U54,"ДД.ММ.ГГ")&amp;"_"&amp;T54</f>
        <v>ТЦ_ 18.1.08.05_77_72301001_22.04.24_2</v>
      </c>
      <c r="C54" s="64" t="s">
        <v>3746</v>
      </c>
      <c r="D54" s="64" t="s">
        <v>3746</v>
      </c>
      <c r="E54" s="64" t="s">
        <v>3558</v>
      </c>
      <c r="F54" s="64">
        <v>2</v>
      </c>
      <c r="G54" s="64">
        <v>1368</v>
      </c>
      <c r="H54" s="64">
        <f t="shared" si="1"/>
        <v>1140</v>
      </c>
      <c r="I54" s="64"/>
      <c r="J54" s="64"/>
      <c r="K54" s="64"/>
      <c r="L54" s="64">
        <f t="shared" si="2"/>
        <v>1140</v>
      </c>
      <c r="M54" s="64"/>
      <c r="N54" s="64"/>
      <c r="O54" s="64" t="s">
        <v>3742</v>
      </c>
      <c r="P54" s="64">
        <v>723000958</v>
      </c>
      <c r="Q54" s="64">
        <v>72301001</v>
      </c>
      <c r="R54" s="65" t="s">
        <v>3751</v>
      </c>
      <c r="S54" s="64" t="s">
        <v>2410</v>
      </c>
      <c r="T54" s="64">
        <v>2</v>
      </c>
      <c r="U54" t="s">
        <v>3583</v>
      </c>
      <c r="X54" t="s">
        <v>3706</v>
      </c>
      <c r="Y54">
        <v>77</v>
      </c>
      <c r="Z54">
        <v>2</v>
      </c>
    </row>
    <row r="55" spans="1:26" x14ac:dyDescent="0.25">
      <c r="A55" s="62" t="s">
        <v>3749</v>
      </c>
      <c r="B55" s="64" t="str">
        <f t="shared" si="14"/>
        <v>ТЦ_ 18.1.08.05_52_525801001_23.04.24_2</v>
      </c>
      <c r="C55" s="64" t="s">
        <v>3746</v>
      </c>
      <c r="D55" s="64" t="s">
        <v>3746</v>
      </c>
      <c r="E55" s="64" t="s">
        <v>3558</v>
      </c>
      <c r="F55" s="64">
        <v>2</v>
      </c>
      <c r="G55" s="64">
        <v>1677</v>
      </c>
      <c r="H55" s="64">
        <f t="shared" si="1"/>
        <v>1397.5</v>
      </c>
      <c r="I55" s="64"/>
      <c r="J55" s="64"/>
      <c r="K55" s="64"/>
      <c r="L55" s="64">
        <f t="shared" si="2"/>
        <v>1397.5</v>
      </c>
      <c r="M55" s="64"/>
      <c r="N55" s="64"/>
      <c r="O55" s="64" t="s">
        <v>3745</v>
      </c>
      <c r="P55" s="64">
        <v>5258128653</v>
      </c>
      <c r="Q55" s="64">
        <v>525801001</v>
      </c>
      <c r="R55" s="65" t="s">
        <v>3752</v>
      </c>
      <c r="S55" s="64" t="s">
        <v>3126</v>
      </c>
      <c r="T55" s="64">
        <v>2</v>
      </c>
      <c r="U55" t="s">
        <v>3611</v>
      </c>
      <c r="X55" t="s">
        <v>3706</v>
      </c>
      <c r="Y55">
        <v>52</v>
      </c>
      <c r="Z55">
        <v>3</v>
      </c>
    </row>
    <row r="56" spans="1:26" x14ac:dyDescent="0.25">
      <c r="A56" s="62" t="s">
        <v>3759</v>
      </c>
      <c r="B56" s="60" t="str">
        <f>"ТЦ"&amp;"_"&amp;X56&amp;"_"&amp;Y56&amp;"_"&amp;Q56&amp;"_"&amp;TEXT(U56,"ДД.ММ.ГГ")&amp;"_"&amp;T56</f>
        <v>ТЦ_ 18.1.08.05_77_772401001_21.04.24_2</v>
      </c>
      <c r="C56" s="60" t="s">
        <v>3758</v>
      </c>
      <c r="D56" s="60" t="s">
        <v>3758</v>
      </c>
      <c r="E56" s="60" t="s">
        <v>3558</v>
      </c>
      <c r="F56" s="60">
        <v>1</v>
      </c>
      <c r="G56" s="60">
        <v>510</v>
      </c>
      <c r="H56" s="60">
        <f t="shared" si="1"/>
        <v>425</v>
      </c>
      <c r="I56" s="60"/>
      <c r="J56" s="60"/>
      <c r="K56" s="60"/>
      <c r="L56" s="60">
        <f t="shared" si="2"/>
        <v>425</v>
      </c>
      <c r="M56" s="60"/>
      <c r="N56" s="60"/>
      <c r="O56" s="60" t="s">
        <v>3655</v>
      </c>
      <c r="P56" s="60">
        <v>7724452117</v>
      </c>
      <c r="Q56" s="60">
        <v>772401001</v>
      </c>
      <c r="R56" s="63" t="s">
        <v>3762</v>
      </c>
      <c r="S56" s="60" t="s">
        <v>2410</v>
      </c>
      <c r="T56" s="60">
        <v>2</v>
      </c>
      <c r="U56" s="30" t="s">
        <v>3658</v>
      </c>
      <c r="V56">
        <f ca="1">G56/100*RANDBETWEEN(3,5)</f>
        <v>20.399999999999999</v>
      </c>
      <c r="W56">
        <f ca="1">G56/100*RANDBETWEEN(6,8)</f>
        <v>40.799999999999997</v>
      </c>
      <c r="X56" t="s">
        <v>3706</v>
      </c>
      <c r="Y56">
        <v>77</v>
      </c>
    </row>
    <row r="57" spans="1:26" x14ac:dyDescent="0.25">
      <c r="A57" s="62" t="s">
        <v>3760</v>
      </c>
      <c r="B57" s="64" t="str">
        <f t="shared" ref="B57:B58" si="15">"ТЦ"&amp;"_"&amp;X57&amp;"_"&amp;Y57&amp;"_"&amp;Q57&amp;"_"&amp;TEXT(U57,"ДД.ММ.ГГ")&amp;"_"&amp;T57</f>
        <v>ТЦ_ 18.1.08.05_77_774301001_22.04.24_2</v>
      </c>
      <c r="C57" s="64" t="s">
        <v>3758</v>
      </c>
      <c r="D57" s="64" t="s">
        <v>3758</v>
      </c>
      <c r="E57" s="64" t="s">
        <v>3558</v>
      </c>
      <c r="F57" s="64">
        <v>1</v>
      </c>
      <c r="G57" s="64">
        <v>651</v>
      </c>
      <c r="H57" s="64">
        <f t="shared" si="1"/>
        <v>542.5</v>
      </c>
      <c r="I57" s="64"/>
      <c r="J57" s="64"/>
      <c r="K57" s="64"/>
      <c r="L57" s="64">
        <f t="shared" si="2"/>
        <v>542.5</v>
      </c>
      <c r="M57" s="64"/>
      <c r="N57" s="64"/>
      <c r="O57" s="64" t="s">
        <v>3753</v>
      </c>
      <c r="P57" s="64" t="s">
        <v>3754</v>
      </c>
      <c r="Q57" s="64">
        <v>774301001</v>
      </c>
      <c r="R57" s="65" t="s">
        <v>3763</v>
      </c>
      <c r="S57" s="64" t="s">
        <v>2410</v>
      </c>
      <c r="T57" s="64">
        <v>2</v>
      </c>
      <c r="U57" t="s">
        <v>3583</v>
      </c>
      <c r="X57" t="s">
        <v>3706</v>
      </c>
      <c r="Y57">
        <v>77</v>
      </c>
      <c r="Z57">
        <v>2</v>
      </c>
    </row>
    <row r="58" spans="1:26" x14ac:dyDescent="0.25">
      <c r="A58" s="62" t="s">
        <v>3761</v>
      </c>
      <c r="B58" s="64" t="str">
        <f t="shared" si="15"/>
        <v>ТЦ_ 18.1.08.05_78_781401001_23.04.24_2</v>
      </c>
      <c r="C58" s="64" t="s">
        <v>3758</v>
      </c>
      <c r="D58" s="64" t="s">
        <v>3758</v>
      </c>
      <c r="E58" s="64" t="s">
        <v>3558</v>
      </c>
      <c r="F58" s="64">
        <v>1</v>
      </c>
      <c r="G58" s="64">
        <v>1466</v>
      </c>
      <c r="H58" s="64">
        <f t="shared" si="1"/>
        <v>1221.6666666666667</v>
      </c>
      <c r="I58" s="64"/>
      <c r="J58" s="64"/>
      <c r="K58" s="64"/>
      <c r="L58" s="64">
        <f t="shared" si="2"/>
        <v>1221.6666666666667</v>
      </c>
      <c r="M58" s="64"/>
      <c r="N58" s="64"/>
      <c r="O58" s="64" t="s">
        <v>3757</v>
      </c>
      <c r="P58" s="64">
        <v>7814823221</v>
      </c>
      <c r="Q58" s="64">
        <v>781401001</v>
      </c>
      <c r="R58" s="65" t="s">
        <v>3764</v>
      </c>
      <c r="S58" s="64" t="s">
        <v>41</v>
      </c>
      <c r="T58" s="64">
        <v>2</v>
      </c>
      <c r="U58" t="s">
        <v>3611</v>
      </c>
      <c r="X58" t="s">
        <v>3706</v>
      </c>
      <c r="Y58">
        <v>78</v>
      </c>
      <c r="Z58">
        <v>3</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U14"/>
  <sheetViews>
    <sheetView topLeftCell="K1" zoomScale="70" zoomScaleNormal="70" workbookViewId="0">
      <selection activeCell="V14" sqref="V14:Z14"/>
    </sheetView>
  </sheetViews>
  <sheetFormatPr defaultRowHeight="15" x14ac:dyDescent="0.25"/>
  <cols>
    <col min="2" max="2" width="45.42578125" customWidth="1"/>
    <col min="16" max="16" width="16.42578125" customWidth="1"/>
    <col min="17" max="17" width="18.57031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53" t="s">
        <v>3554</v>
      </c>
      <c r="B2" s="53"/>
      <c r="C2" s="53"/>
      <c r="D2" s="53"/>
      <c r="E2" s="53"/>
      <c r="F2" s="53"/>
      <c r="G2" s="53"/>
      <c r="H2" s="53"/>
      <c r="I2" s="53"/>
      <c r="J2" s="53"/>
      <c r="K2" s="53"/>
      <c r="L2" s="53"/>
      <c r="M2" s="53"/>
      <c r="N2" s="53"/>
      <c r="O2" s="53"/>
      <c r="P2" s="53"/>
      <c r="Q2" s="53"/>
      <c r="R2" s="53"/>
      <c r="S2" s="53"/>
      <c r="T2" s="53"/>
      <c r="U2" s="53"/>
    </row>
    <row r="3" spans="1:21" x14ac:dyDescent="0.25">
      <c r="A3" s="54"/>
      <c r="B3" s="54"/>
      <c r="C3" s="54"/>
      <c r="D3" s="54"/>
      <c r="E3" s="54"/>
      <c r="F3" s="54"/>
      <c r="G3" s="54"/>
      <c r="H3" s="54"/>
      <c r="I3" s="54"/>
      <c r="J3" s="54"/>
      <c r="K3" s="54"/>
      <c r="L3" s="54"/>
      <c r="M3" s="54"/>
      <c r="N3" s="54"/>
      <c r="O3" s="54"/>
      <c r="P3" s="54"/>
      <c r="Q3" s="54"/>
      <c r="R3" s="54"/>
      <c r="S3" s="54"/>
      <c r="T3" s="54"/>
      <c r="U3" s="54"/>
    </row>
    <row r="4" spans="1:21" x14ac:dyDescent="0.25">
      <c r="A4" s="55" t="s">
        <v>1</v>
      </c>
      <c r="B4" s="55"/>
      <c r="C4" s="55"/>
      <c r="D4" s="55"/>
      <c r="E4" s="55"/>
      <c r="F4" s="55"/>
      <c r="G4" s="55"/>
      <c r="H4" s="55"/>
      <c r="I4" s="55"/>
      <c r="J4" s="55"/>
      <c r="K4" s="55"/>
      <c r="L4" s="55"/>
      <c r="M4" s="55"/>
      <c r="N4" s="55"/>
      <c r="O4" s="55"/>
      <c r="P4" s="55"/>
      <c r="Q4" s="55"/>
      <c r="R4" s="55"/>
      <c r="S4" s="55"/>
      <c r="T4" s="55"/>
      <c r="U4" s="55"/>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56" t="s">
        <v>2</v>
      </c>
      <c r="B6" s="56"/>
      <c r="C6" s="56"/>
      <c r="D6" s="56"/>
      <c r="E6" s="56"/>
      <c r="F6" s="56"/>
      <c r="G6" s="56"/>
      <c r="H6" s="56"/>
      <c r="I6" s="56"/>
      <c r="J6" s="56"/>
      <c r="K6" s="56"/>
      <c r="L6" s="56"/>
      <c r="M6" s="56"/>
      <c r="N6" s="56"/>
      <c r="O6" s="56"/>
      <c r="P6" s="56"/>
      <c r="Q6" s="56"/>
      <c r="R6" s="56"/>
      <c r="S6" s="56"/>
      <c r="T6" s="56"/>
      <c r="U6" s="56"/>
    </row>
    <row r="7" spans="1:21" ht="18.75" x14ac:dyDescent="0.25">
      <c r="A7" s="9"/>
      <c r="B7" s="43"/>
      <c r="C7" s="43"/>
      <c r="D7" s="43"/>
      <c r="E7" s="11"/>
      <c r="F7" s="43"/>
      <c r="G7" s="43"/>
      <c r="H7" s="12"/>
      <c r="I7" s="12"/>
      <c r="J7" s="12"/>
      <c r="K7" s="12"/>
      <c r="L7" s="12"/>
      <c r="M7" s="12"/>
      <c r="N7" s="43"/>
      <c r="O7" s="43"/>
      <c r="P7" s="43"/>
      <c r="Q7" s="43"/>
      <c r="R7" s="43"/>
      <c r="S7" s="13"/>
      <c r="T7" s="43"/>
      <c r="U7" s="43"/>
    </row>
    <row r="8" spans="1:21" ht="15.75" x14ac:dyDescent="0.25">
      <c r="A8" s="57" t="s">
        <v>3555</v>
      </c>
      <c r="B8" s="57"/>
      <c r="C8" s="57"/>
      <c r="D8" s="57"/>
      <c r="E8" s="57"/>
      <c r="F8" s="57"/>
      <c r="G8" s="57"/>
      <c r="H8" s="57"/>
      <c r="I8" s="57"/>
      <c r="J8" s="57"/>
      <c r="K8" s="57"/>
      <c r="L8" s="57"/>
      <c r="M8" s="57"/>
      <c r="N8" s="57"/>
      <c r="O8" s="57"/>
      <c r="P8" s="57"/>
      <c r="Q8" s="57"/>
      <c r="R8" s="57"/>
      <c r="S8" s="57"/>
      <c r="T8" s="57"/>
      <c r="U8" s="57"/>
    </row>
    <row r="9" spans="1:21" x14ac:dyDescent="0.25">
      <c r="A9" s="58" t="s">
        <v>4</v>
      </c>
      <c r="B9" s="58"/>
      <c r="C9" s="58"/>
      <c r="D9" s="58"/>
      <c r="E9" s="58"/>
      <c r="F9" s="58"/>
      <c r="G9" s="58"/>
      <c r="H9" s="58"/>
      <c r="I9" s="58"/>
      <c r="J9" s="58"/>
      <c r="K9" s="58"/>
      <c r="L9" s="58"/>
      <c r="M9" s="58"/>
      <c r="N9" s="58"/>
      <c r="O9" s="58"/>
      <c r="P9" s="58"/>
      <c r="Q9" s="58"/>
      <c r="R9" s="58"/>
      <c r="S9" s="58"/>
      <c r="T9" s="58"/>
      <c r="U9" s="58"/>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x14ac:dyDescent="0.25">
      <c r="A11" s="50" t="s">
        <v>5</v>
      </c>
      <c r="B11" s="49" t="s">
        <v>6</v>
      </c>
      <c r="C11" s="22"/>
      <c r="D11" s="24"/>
      <c r="E11" s="22"/>
      <c r="F11" s="22"/>
      <c r="G11" s="23"/>
      <c r="H11" s="51" t="s">
        <v>12</v>
      </c>
      <c r="I11" s="51" t="s">
        <v>13</v>
      </c>
      <c r="J11" s="51" t="s">
        <v>14</v>
      </c>
      <c r="K11" s="51"/>
      <c r="L11" s="51" t="s">
        <v>15</v>
      </c>
      <c r="M11" s="49" t="s">
        <v>16</v>
      </c>
      <c r="N11" s="49" t="s">
        <v>17</v>
      </c>
      <c r="O11" s="49" t="s">
        <v>18</v>
      </c>
      <c r="P11" s="49" t="s">
        <v>19</v>
      </c>
      <c r="Q11" s="49" t="s">
        <v>20</v>
      </c>
      <c r="R11" s="52" t="s">
        <v>21</v>
      </c>
      <c r="S11" s="49" t="s">
        <v>22</v>
      </c>
      <c r="T11" s="49" t="s">
        <v>23</v>
      </c>
      <c r="U11" s="22"/>
    </row>
    <row r="12" spans="1:21" ht="230.25" x14ac:dyDescent="0.25">
      <c r="A12" s="50"/>
      <c r="B12" s="49"/>
      <c r="C12" s="22" t="s">
        <v>7</v>
      </c>
      <c r="D12" s="24" t="s">
        <v>8</v>
      </c>
      <c r="E12" s="22" t="s">
        <v>9</v>
      </c>
      <c r="F12" s="22" t="s">
        <v>10</v>
      </c>
      <c r="G12" s="23" t="s">
        <v>11</v>
      </c>
      <c r="H12" s="51"/>
      <c r="I12" s="51"/>
      <c r="J12" s="18" t="s">
        <v>25</v>
      </c>
      <c r="K12" s="18" t="s">
        <v>26</v>
      </c>
      <c r="L12" s="51"/>
      <c r="M12" s="49"/>
      <c r="N12" s="49"/>
      <c r="O12" s="49"/>
      <c r="P12" s="49"/>
      <c r="Q12" s="49"/>
      <c r="R12" s="52"/>
      <c r="S12" s="49"/>
      <c r="T12" s="49"/>
      <c r="U12" s="22" t="s">
        <v>24</v>
      </c>
    </row>
    <row r="13" spans="1:21"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x14ac:dyDescent="0.25">
      <c r="A14" s="31">
        <v>1</v>
      </c>
      <c r="B14" s="30" t="s">
        <v>3560</v>
      </c>
      <c r="C14" s="30" t="s">
        <v>3556</v>
      </c>
      <c r="D14" s="30" t="s">
        <v>3557</v>
      </c>
      <c r="E14" s="30" t="s">
        <v>3558</v>
      </c>
      <c r="F14" s="30">
        <v>1</v>
      </c>
      <c r="G14" s="30">
        <v>54666</v>
      </c>
      <c r="H14" s="30">
        <v>45555</v>
      </c>
      <c r="I14" s="30"/>
      <c r="J14" s="30"/>
      <c r="K14" s="30"/>
      <c r="L14" s="30">
        <v>45555</v>
      </c>
      <c r="M14" s="30"/>
      <c r="N14" s="30"/>
      <c r="O14" s="30" t="s">
        <v>37</v>
      </c>
      <c r="P14" s="30">
        <v>6731002766</v>
      </c>
      <c r="Q14" s="30">
        <v>673201001</v>
      </c>
      <c r="R14" s="30" t="s">
        <v>38</v>
      </c>
      <c r="S14" s="30" t="s">
        <v>3376</v>
      </c>
      <c r="T14" s="30">
        <v>2</v>
      </c>
      <c r="U14" s="30" t="s">
        <v>3559</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
  <sheetViews>
    <sheetView workbookViewId="0">
      <selection activeCell="E6" sqref="E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C13" sqref="C13"/>
    </sheetView>
  </sheetViews>
  <sheetFormatPr defaultRowHeight="15" x14ac:dyDescent="0.25"/>
  <sheetData>
    <row r="1" spans="1:23" x14ac:dyDescent="0.25">
      <c r="A1" s="31" t="s">
        <v>2319</v>
      </c>
      <c r="B1" s="30" t="s">
        <v>2318</v>
      </c>
      <c r="C1" s="30" t="s">
        <v>2316</v>
      </c>
      <c r="D1" s="30">
        <v>4.8</v>
      </c>
      <c r="E1" s="30" t="s">
        <v>31</v>
      </c>
      <c r="F1" s="30">
        <v>653</v>
      </c>
      <c r="G1" s="30">
        <v>39328.879999999997</v>
      </c>
      <c r="H1" s="30">
        <f t="shared" ref="H1:H6" si="0">G1/1.2</f>
        <v>32774.066666666666</v>
      </c>
      <c r="I1" s="30"/>
      <c r="J1" s="30"/>
      <c r="K1" s="30"/>
      <c r="L1" s="30">
        <f t="shared" ref="L1:L6" si="1">H1+I1+K1</f>
        <v>32774.066666666666</v>
      </c>
      <c r="M1" s="30"/>
      <c r="N1" s="30"/>
      <c r="O1" s="30" t="s">
        <v>46</v>
      </c>
      <c r="P1" s="30">
        <v>784201001</v>
      </c>
      <c r="Q1" s="30">
        <v>7804526950</v>
      </c>
      <c r="R1" s="30" t="s">
        <v>47</v>
      </c>
      <c r="S1" s="30" t="s">
        <v>41</v>
      </c>
      <c r="T1" s="30">
        <v>2</v>
      </c>
      <c r="U1" s="30" t="s">
        <v>2317</v>
      </c>
      <c r="V1">
        <f ca="1">G1/100*RANDBETWEEN(3,5)</f>
        <v>1966.444</v>
      </c>
      <c r="W1">
        <f ca="1">G1/100*RANDBETWEEN(6,8)</f>
        <v>3146.3103999999998</v>
      </c>
    </row>
    <row r="2" spans="1:23" x14ac:dyDescent="0.25">
      <c r="A2" s="31" t="s">
        <v>2320</v>
      </c>
      <c r="B2" t="s">
        <v>2318</v>
      </c>
      <c r="C2" t="s">
        <v>2316</v>
      </c>
      <c r="D2">
        <v>4.8</v>
      </c>
      <c r="E2" t="s">
        <v>31</v>
      </c>
      <c r="F2">
        <v>653</v>
      </c>
      <c r="G2">
        <f ca="1">G1+V1</f>
        <v>41295.324000000001</v>
      </c>
      <c r="H2">
        <f t="shared" ca="1" si="0"/>
        <v>34412.770000000004</v>
      </c>
      <c r="L2">
        <f t="shared" ca="1" si="1"/>
        <v>34412.770000000004</v>
      </c>
      <c r="O2" t="s">
        <v>46</v>
      </c>
      <c r="P2">
        <v>784201001</v>
      </c>
      <c r="Q2">
        <v>7804526950</v>
      </c>
      <c r="R2" t="s">
        <v>47</v>
      </c>
      <c r="S2" t="s">
        <v>41</v>
      </c>
      <c r="T2">
        <v>2</v>
      </c>
      <c r="U2" t="s">
        <v>2317</v>
      </c>
    </row>
    <row r="3" spans="1:23" x14ac:dyDescent="0.25">
      <c r="A3" s="31" t="s">
        <v>2321</v>
      </c>
      <c r="B3" t="s">
        <v>2318</v>
      </c>
      <c r="C3" t="s">
        <v>2316</v>
      </c>
      <c r="D3">
        <v>4.8</v>
      </c>
      <c r="E3" t="s">
        <v>31</v>
      </c>
      <c r="F3">
        <v>653</v>
      </c>
      <c r="G3">
        <f ca="1">G1+W1</f>
        <v>42475.190399999999</v>
      </c>
      <c r="H3">
        <f t="shared" ca="1" si="0"/>
        <v>35395.991999999998</v>
      </c>
      <c r="L3">
        <f t="shared" ca="1" si="1"/>
        <v>35395.991999999998</v>
      </c>
      <c r="O3" t="s">
        <v>46</v>
      </c>
      <c r="P3">
        <v>784201001</v>
      </c>
      <c r="Q3">
        <v>7804526950</v>
      </c>
      <c r="R3" t="s">
        <v>47</v>
      </c>
      <c r="S3" t="s">
        <v>41</v>
      </c>
      <c r="T3">
        <v>2</v>
      </c>
      <c r="U3" t="s">
        <v>2317</v>
      </c>
    </row>
    <row r="4" spans="1:23" x14ac:dyDescent="0.25">
      <c r="A4" s="31" t="s">
        <v>2322</v>
      </c>
      <c r="B4" s="30" t="s">
        <v>2318</v>
      </c>
      <c r="C4" s="30" t="s">
        <v>2315</v>
      </c>
      <c r="D4" s="30">
        <v>4.9000000000000004</v>
      </c>
      <c r="E4" s="30" t="s">
        <v>31</v>
      </c>
      <c r="F4" s="30">
        <v>768</v>
      </c>
      <c r="G4" s="30">
        <v>57388</v>
      </c>
      <c r="H4" s="30">
        <f t="shared" si="0"/>
        <v>47823.333333333336</v>
      </c>
      <c r="I4" s="30"/>
      <c r="J4" s="30"/>
      <c r="K4" s="30"/>
      <c r="L4" s="30">
        <f t="shared" si="1"/>
        <v>47823.333333333336</v>
      </c>
      <c r="M4" s="30"/>
      <c r="N4" s="30"/>
      <c r="O4" s="30" t="s">
        <v>46</v>
      </c>
      <c r="P4" s="30">
        <v>784201001</v>
      </c>
      <c r="Q4" s="30">
        <v>7804526950</v>
      </c>
      <c r="R4" s="30" t="s">
        <v>47</v>
      </c>
      <c r="S4" s="30" t="s">
        <v>41</v>
      </c>
      <c r="T4" s="30">
        <v>2</v>
      </c>
      <c r="U4" s="30" t="s">
        <v>2317</v>
      </c>
      <c r="V4">
        <f ca="1">G4/100*RANDBETWEEN(3,5)</f>
        <v>2295.52</v>
      </c>
      <c r="W4">
        <f ca="1">G4/100*RANDBETWEEN(6,8)</f>
        <v>4017.16</v>
      </c>
    </row>
    <row r="5" spans="1:23" x14ac:dyDescent="0.25">
      <c r="A5" s="31" t="s">
        <v>2323</v>
      </c>
      <c r="B5" t="s">
        <v>2318</v>
      </c>
      <c r="C5" t="s">
        <v>2315</v>
      </c>
      <c r="D5">
        <v>4.9000000000000004</v>
      </c>
      <c r="E5" t="s">
        <v>31</v>
      </c>
      <c r="F5">
        <v>768</v>
      </c>
      <c r="G5">
        <f ca="1">G4+V4</f>
        <v>59683.519999999997</v>
      </c>
      <c r="H5">
        <f t="shared" ca="1" si="0"/>
        <v>49736.266666666663</v>
      </c>
      <c r="L5">
        <f t="shared" ca="1" si="1"/>
        <v>49736.266666666663</v>
      </c>
      <c r="O5" t="s">
        <v>46</v>
      </c>
      <c r="P5">
        <v>784201001</v>
      </c>
      <c r="Q5">
        <v>7804526950</v>
      </c>
      <c r="R5" t="s">
        <v>47</v>
      </c>
      <c r="S5" t="s">
        <v>41</v>
      </c>
      <c r="T5">
        <v>2</v>
      </c>
      <c r="U5" t="s">
        <v>2317</v>
      </c>
    </row>
    <row r="6" spans="1:23" x14ac:dyDescent="0.25">
      <c r="A6" s="31" t="s">
        <v>2324</v>
      </c>
      <c r="B6" t="s">
        <v>2318</v>
      </c>
      <c r="C6" t="s">
        <v>2315</v>
      </c>
      <c r="D6">
        <v>4.9000000000000004</v>
      </c>
      <c r="E6" t="s">
        <v>31</v>
      </c>
      <c r="F6">
        <v>768</v>
      </c>
      <c r="G6">
        <f ca="1">G4+W4</f>
        <v>61405.16</v>
      </c>
      <c r="H6">
        <f t="shared" ca="1" si="0"/>
        <v>51170.966666666674</v>
      </c>
      <c r="L6">
        <f t="shared" ca="1" si="1"/>
        <v>51170.966666666674</v>
      </c>
      <c r="O6" t="s">
        <v>46</v>
      </c>
      <c r="P6">
        <v>784201001</v>
      </c>
      <c r="Q6">
        <v>7804526950</v>
      </c>
      <c r="R6" t="s">
        <v>47</v>
      </c>
      <c r="S6" t="s">
        <v>41</v>
      </c>
      <c r="T6">
        <v>2</v>
      </c>
      <c r="U6" t="s">
        <v>2317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65</v>
      </c>
      <c r="B1" s="38" t="s">
        <v>2419</v>
      </c>
    </row>
    <row r="2" spans="1:2" x14ac:dyDescent="0.2">
      <c r="A2" s="40" t="s">
        <v>2565</v>
      </c>
      <c r="B2" s="40">
        <v>19</v>
      </c>
    </row>
    <row r="3" spans="1:2" x14ac:dyDescent="0.2">
      <c r="A3" s="40" t="s">
        <v>2566</v>
      </c>
      <c r="B3" s="40">
        <v>19</v>
      </c>
    </row>
    <row r="4" spans="1:2" x14ac:dyDescent="0.2">
      <c r="A4" s="40" t="s">
        <v>3168</v>
      </c>
      <c r="B4" s="40">
        <v>56</v>
      </c>
    </row>
    <row r="5" spans="1:2" x14ac:dyDescent="0.2">
      <c r="A5" s="40" t="s">
        <v>2596</v>
      </c>
      <c r="B5" s="40">
        <v>23</v>
      </c>
    </row>
    <row r="6" spans="1:2" x14ac:dyDescent="0.2">
      <c r="A6" s="40" t="s">
        <v>2422</v>
      </c>
      <c r="B6" s="40">
        <v>2</v>
      </c>
    </row>
    <row r="7" spans="1:2" x14ac:dyDescent="0.2">
      <c r="A7" s="40" t="s">
        <v>2532</v>
      </c>
      <c r="B7" s="40">
        <v>16</v>
      </c>
    </row>
    <row r="8" spans="1:2" x14ac:dyDescent="0.2">
      <c r="A8" s="40" t="s">
        <v>2420</v>
      </c>
      <c r="B8" s="40">
        <v>1</v>
      </c>
    </row>
    <row r="9" spans="1:2" x14ac:dyDescent="0.2">
      <c r="A9" s="40" t="s">
        <v>2533</v>
      </c>
      <c r="B9" s="40">
        <v>16</v>
      </c>
    </row>
    <row r="10" spans="1:2" x14ac:dyDescent="0.2">
      <c r="A10" s="40" t="s">
        <v>3238</v>
      </c>
      <c r="B10" s="40">
        <v>61</v>
      </c>
    </row>
    <row r="11" spans="1:2" x14ac:dyDescent="0.2">
      <c r="A11" s="40" t="s">
        <v>2554</v>
      </c>
      <c r="B11" s="40">
        <v>17</v>
      </c>
    </row>
    <row r="12" spans="1:2" x14ac:dyDescent="0.2">
      <c r="A12" s="40" t="s">
        <v>3239</v>
      </c>
      <c r="B12" s="40">
        <v>61</v>
      </c>
    </row>
    <row r="13" spans="1:2" x14ac:dyDescent="0.2">
      <c r="A13" s="40" t="s">
        <v>2526</v>
      </c>
      <c r="B13" s="40">
        <v>15</v>
      </c>
    </row>
    <row r="14" spans="1:2" x14ac:dyDescent="0.2">
      <c r="A14" s="40" t="s">
        <v>3319</v>
      </c>
      <c r="B14" s="40">
        <v>66</v>
      </c>
    </row>
    <row r="15" spans="1:2" x14ac:dyDescent="0.2">
      <c r="A15" s="40" t="s">
        <v>2575</v>
      </c>
      <c r="B15" s="40">
        <v>21</v>
      </c>
    </row>
    <row r="16" spans="1:2" x14ac:dyDescent="0.2">
      <c r="A16" s="40" t="s">
        <v>2513</v>
      </c>
      <c r="B16" s="40">
        <v>14</v>
      </c>
    </row>
    <row r="17" spans="1:2" x14ac:dyDescent="0.2">
      <c r="A17" s="40" t="s">
        <v>2584</v>
      </c>
      <c r="B17" s="40">
        <v>22</v>
      </c>
    </row>
    <row r="18" spans="1:2" x14ac:dyDescent="0.2">
      <c r="A18" s="40" t="s">
        <v>2736</v>
      </c>
      <c r="B18" s="40">
        <v>33</v>
      </c>
    </row>
    <row r="19" spans="1:2" x14ac:dyDescent="0.2">
      <c r="A19" s="40" t="s">
        <v>3198</v>
      </c>
      <c r="B19" s="40">
        <v>59</v>
      </c>
    </row>
    <row r="20" spans="1:2" ht="25.5" x14ac:dyDescent="0.2">
      <c r="A20" s="40" t="s">
        <v>3304</v>
      </c>
      <c r="B20" s="40">
        <v>65</v>
      </c>
    </row>
    <row r="21" spans="1:2" x14ac:dyDescent="0.2">
      <c r="A21" s="40" t="s">
        <v>2710</v>
      </c>
      <c r="B21" s="40">
        <v>31</v>
      </c>
    </row>
    <row r="22" spans="1:2" x14ac:dyDescent="0.2">
      <c r="A22" s="40" t="s">
        <v>3416</v>
      </c>
      <c r="B22" s="40">
        <v>71</v>
      </c>
    </row>
    <row r="23" spans="1:2" x14ac:dyDescent="0.2">
      <c r="A23" s="40" t="s">
        <v>2825</v>
      </c>
      <c r="B23" s="40">
        <v>38</v>
      </c>
    </row>
    <row r="24" spans="1:2" x14ac:dyDescent="0.2">
      <c r="A24" s="40" t="s">
        <v>3535</v>
      </c>
      <c r="B24" s="40">
        <v>91</v>
      </c>
    </row>
    <row r="25" spans="1:2" x14ac:dyDescent="0.2">
      <c r="A25" s="40" t="s">
        <v>3536</v>
      </c>
      <c r="B25" s="40">
        <v>91</v>
      </c>
    </row>
    <row r="26" spans="1:2" x14ac:dyDescent="0.2">
      <c r="A26" s="40" t="s">
        <v>2534</v>
      </c>
      <c r="B26" s="40">
        <v>16</v>
      </c>
    </row>
    <row r="27" spans="1:2" x14ac:dyDescent="0.2">
      <c r="A27" s="40" t="s">
        <v>2676</v>
      </c>
      <c r="B27" s="40">
        <v>27</v>
      </c>
    </row>
    <row r="28" spans="1:2" x14ac:dyDescent="0.2">
      <c r="A28" s="40" t="s">
        <v>3524</v>
      </c>
      <c r="B28" s="40">
        <v>87</v>
      </c>
    </row>
    <row r="29" spans="1:2" x14ac:dyDescent="0.2">
      <c r="A29" s="40" t="s">
        <v>2597</v>
      </c>
      <c r="B29" s="40">
        <v>23</v>
      </c>
    </row>
    <row r="30" spans="1:2" x14ac:dyDescent="0.2">
      <c r="A30" s="40" t="s">
        <v>2826</v>
      </c>
      <c r="B30" s="40">
        <v>38</v>
      </c>
    </row>
    <row r="31" spans="1:2" x14ac:dyDescent="0.2">
      <c r="A31" s="40" t="s">
        <v>3387</v>
      </c>
      <c r="B31" s="40">
        <v>69</v>
      </c>
    </row>
    <row r="32" spans="1:2" x14ac:dyDescent="0.2">
      <c r="A32" s="40" t="s">
        <v>2898</v>
      </c>
      <c r="B32" s="40">
        <v>42</v>
      </c>
    </row>
    <row r="33" spans="1:2" x14ac:dyDescent="0.2">
      <c r="A33" s="40" t="s">
        <v>3305</v>
      </c>
      <c r="B33" s="40">
        <v>65</v>
      </c>
    </row>
    <row r="34" spans="1:2" x14ac:dyDescent="0.2">
      <c r="A34" s="40" t="s">
        <v>3090</v>
      </c>
      <c r="B34" s="40">
        <v>51</v>
      </c>
    </row>
    <row r="35" spans="1:2" x14ac:dyDescent="0.2">
      <c r="A35" s="40" t="s">
        <v>3003</v>
      </c>
      <c r="B35" s="40">
        <v>50</v>
      </c>
    </row>
    <row r="36" spans="1:2" x14ac:dyDescent="0.2">
      <c r="A36" s="40" t="s">
        <v>2598</v>
      </c>
      <c r="B36" s="40">
        <v>23</v>
      </c>
    </row>
    <row r="37" spans="1:2" x14ac:dyDescent="0.2">
      <c r="A37" s="40" t="s">
        <v>3320</v>
      </c>
      <c r="B37" s="40">
        <v>66</v>
      </c>
    </row>
    <row r="38" spans="1:2" x14ac:dyDescent="0.2">
      <c r="A38" s="40" t="s">
        <v>2570</v>
      </c>
      <c r="B38" s="40">
        <v>20</v>
      </c>
    </row>
    <row r="39" spans="1:2" x14ac:dyDescent="0.2">
      <c r="A39" s="40" t="s">
        <v>2506</v>
      </c>
      <c r="B39" s="40">
        <v>13</v>
      </c>
    </row>
    <row r="40" spans="1:2" x14ac:dyDescent="0.2">
      <c r="A40" s="40" t="s">
        <v>2527</v>
      </c>
      <c r="B40" s="40">
        <v>15</v>
      </c>
    </row>
    <row r="41" spans="1:2" x14ac:dyDescent="0.2">
      <c r="A41" s="40" t="s">
        <v>3108</v>
      </c>
      <c r="B41" s="40">
        <v>52</v>
      </c>
    </row>
    <row r="42" spans="1:2" x14ac:dyDescent="0.2">
      <c r="A42" s="40" t="s">
        <v>3284</v>
      </c>
      <c r="B42" s="40">
        <v>64</v>
      </c>
    </row>
    <row r="43" spans="1:2" x14ac:dyDescent="0.2">
      <c r="A43" s="40" t="s">
        <v>2599</v>
      </c>
      <c r="B43" s="40">
        <v>23</v>
      </c>
    </row>
    <row r="44" spans="1:2" x14ac:dyDescent="0.2">
      <c r="A44" s="40" t="s">
        <v>3537</v>
      </c>
      <c r="B44" s="40">
        <v>91</v>
      </c>
    </row>
    <row r="45" spans="1:2" x14ac:dyDescent="0.2">
      <c r="A45" s="40" t="s">
        <v>3538</v>
      </c>
      <c r="B45" s="40">
        <v>91</v>
      </c>
    </row>
    <row r="46" spans="1:2" x14ac:dyDescent="0.2">
      <c r="A46" s="40" t="s">
        <v>2645</v>
      </c>
      <c r="B46" s="40">
        <v>25</v>
      </c>
    </row>
    <row r="47" spans="1:2" x14ac:dyDescent="0.2">
      <c r="A47" s="40" t="s">
        <v>2535</v>
      </c>
      <c r="B47" s="40">
        <v>16</v>
      </c>
    </row>
    <row r="48" spans="1:2" x14ac:dyDescent="0.2">
      <c r="A48" s="40" t="s">
        <v>2646</v>
      </c>
      <c r="B48" s="40">
        <v>25</v>
      </c>
    </row>
    <row r="49" spans="1:2" x14ac:dyDescent="0.2">
      <c r="A49" s="40" t="s">
        <v>2622</v>
      </c>
      <c r="B49" s="40">
        <v>24</v>
      </c>
    </row>
    <row r="50" spans="1:2" x14ac:dyDescent="0.2">
      <c r="A50" s="40" t="s">
        <v>3321</v>
      </c>
      <c r="B50" s="40">
        <v>66</v>
      </c>
    </row>
    <row r="51" spans="1:2" x14ac:dyDescent="0.2">
      <c r="A51" s="40" t="s">
        <v>2691</v>
      </c>
      <c r="B51" s="40">
        <v>29</v>
      </c>
    </row>
    <row r="52" spans="1:2" x14ac:dyDescent="0.2">
      <c r="A52" s="40" t="s">
        <v>3322</v>
      </c>
      <c r="B52" s="40">
        <v>66</v>
      </c>
    </row>
    <row r="53" spans="1:2" x14ac:dyDescent="0.2">
      <c r="A53" s="40" t="s">
        <v>3410</v>
      </c>
      <c r="B53" s="40">
        <v>70</v>
      </c>
    </row>
    <row r="54" spans="1:2" x14ac:dyDescent="0.2">
      <c r="A54" s="40" t="s">
        <v>2703</v>
      </c>
      <c r="B54" s="40">
        <v>30</v>
      </c>
    </row>
    <row r="55" spans="1:2" x14ac:dyDescent="0.2">
      <c r="A55" s="40" t="s">
        <v>3285</v>
      </c>
      <c r="B55" s="40">
        <v>64</v>
      </c>
    </row>
    <row r="56" spans="1:2" x14ac:dyDescent="0.2">
      <c r="A56" s="40" t="s">
        <v>2704</v>
      </c>
      <c r="B56" s="40">
        <v>30</v>
      </c>
    </row>
    <row r="57" spans="1:2" x14ac:dyDescent="0.2">
      <c r="A57" s="40" t="s">
        <v>2705</v>
      </c>
      <c r="B57" s="40">
        <v>30</v>
      </c>
    </row>
    <row r="58" spans="1:2" x14ac:dyDescent="0.2">
      <c r="A58" s="40" t="s">
        <v>2623</v>
      </c>
      <c r="B58" s="40">
        <v>24</v>
      </c>
    </row>
    <row r="59" spans="1:2" x14ac:dyDescent="0.2">
      <c r="A59" s="40" t="s">
        <v>3445</v>
      </c>
      <c r="B59" s="40">
        <v>74</v>
      </c>
    </row>
    <row r="60" spans="1:2" x14ac:dyDescent="0.2">
      <c r="A60" s="40" t="s">
        <v>2777</v>
      </c>
      <c r="B60" s="40">
        <v>35</v>
      </c>
    </row>
    <row r="61" spans="1:2" x14ac:dyDescent="0.2">
      <c r="A61" s="40" t="s">
        <v>2443</v>
      </c>
      <c r="B61" s="40">
        <v>3</v>
      </c>
    </row>
    <row r="62" spans="1:2" x14ac:dyDescent="0.2">
      <c r="A62" s="40" t="s">
        <v>2536</v>
      </c>
      <c r="B62" s="40">
        <v>16</v>
      </c>
    </row>
    <row r="63" spans="1:2" x14ac:dyDescent="0.2">
      <c r="A63" s="40" t="s">
        <v>2848</v>
      </c>
      <c r="B63" s="40">
        <v>39</v>
      </c>
    </row>
    <row r="64" spans="1:2" x14ac:dyDescent="0.2">
      <c r="A64" s="40" t="s">
        <v>2827</v>
      </c>
      <c r="B64" s="40">
        <v>38</v>
      </c>
    </row>
    <row r="65" spans="1:2" x14ac:dyDescent="0.2">
      <c r="A65" s="40" t="s">
        <v>2423</v>
      </c>
      <c r="B65" s="40">
        <v>2</v>
      </c>
    </row>
    <row r="66" spans="1:2" x14ac:dyDescent="0.2">
      <c r="A66" s="40" t="s">
        <v>3446</v>
      </c>
      <c r="B66" s="40">
        <v>74</v>
      </c>
    </row>
    <row r="67" spans="1:2" x14ac:dyDescent="0.2">
      <c r="A67" s="40" t="s">
        <v>2464</v>
      </c>
      <c r="B67" s="40">
        <v>7</v>
      </c>
    </row>
    <row r="68" spans="1:2" x14ac:dyDescent="0.2">
      <c r="A68" s="40" t="s">
        <v>2870</v>
      </c>
      <c r="B68" s="40">
        <v>40</v>
      </c>
    </row>
    <row r="69" spans="1:2" x14ac:dyDescent="0.2">
      <c r="A69" s="40" t="s">
        <v>3286</v>
      </c>
      <c r="B69" s="40">
        <v>64</v>
      </c>
    </row>
    <row r="70" spans="1:2" x14ac:dyDescent="0.2">
      <c r="A70" s="40" t="s">
        <v>3109</v>
      </c>
      <c r="B70" s="40">
        <v>52</v>
      </c>
    </row>
    <row r="71" spans="1:2" x14ac:dyDescent="0.2">
      <c r="A71" s="40" t="s">
        <v>3004</v>
      </c>
      <c r="B71" s="40">
        <v>50</v>
      </c>
    </row>
    <row r="72" spans="1:2" x14ac:dyDescent="0.2">
      <c r="A72" s="40" t="s">
        <v>3287</v>
      </c>
      <c r="B72" s="40">
        <v>64</v>
      </c>
    </row>
    <row r="73" spans="1:2" x14ac:dyDescent="0.2">
      <c r="A73" s="40" t="s">
        <v>3475</v>
      </c>
      <c r="B73" s="40">
        <v>75</v>
      </c>
    </row>
    <row r="74" spans="1:2" x14ac:dyDescent="0.2">
      <c r="A74" s="40" t="s">
        <v>2849</v>
      </c>
      <c r="B74" s="40">
        <v>39</v>
      </c>
    </row>
    <row r="75" spans="1:2" x14ac:dyDescent="0.2">
      <c r="A75" s="40" t="s">
        <v>3147</v>
      </c>
      <c r="B75" s="40">
        <v>54</v>
      </c>
    </row>
    <row r="76" spans="1:2" x14ac:dyDescent="0.2">
      <c r="A76" s="40" t="s">
        <v>2585</v>
      </c>
      <c r="B76" s="40">
        <v>22</v>
      </c>
    </row>
    <row r="77" spans="1:2" x14ac:dyDescent="0.2">
      <c r="A77" s="40" t="s">
        <v>3439</v>
      </c>
      <c r="B77" s="40">
        <v>73</v>
      </c>
    </row>
    <row r="78" spans="1:2" x14ac:dyDescent="0.2">
      <c r="A78" s="40" t="s">
        <v>3240</v>
      </c>
      <c r="B78" s="40">
        <v>61</v>
      </c>
    </row>
    <row r="79" spans="1:2" x14ac:dyDescent="0.2">
      <c r="A79" s="40" t="s">
        <v>3539</v>
      </c>
      <c r="B79" s="40">
        <v>91</v>
      </c>
    </row>
    <row r="80" spans="1:2" x14ac:dyDescent="0.2">
      <c r="A80" s="40" t="s">
        <v>3388</v>
      </c>
      <c r="B80" s="40">
        <v>69</v>
      </c>
    </row>
    <row r="81" spans="1:2" x14ac:dyDescent="0.2">
      <c r="A81" s="40" t="s">
        <v>3241</v>
      </c>
      <c r="B81" s="40">
        <v>61</v>
      </c>
    </row>
    <row r="82" spans="1:2" x14ac:dyDescent="0.2">
      <c r="A82" s="40" t="s">
        <v>2917</v>
      </c>
      <c r="B82" s="40">
        <v>43</v>
      </c>
    </row>
    <row r="83" spans="1:2" x14ac:dyDescent="0.2">
      <c r="A83" s="40" t="s">
        <v>2711</v>
      </c>
      <c r="B83" s="40">
        <v>31</v>
      </c>
    </row>
    <row r="84" spans="1:2" x14ac:dyDescent="0.2">
      <c r="A84" s="40" t="s">
        <v>2424</v>
      </c>
      <c r="B84" s="40">
        <v>2</v>
      </c>
    </row>
    <row r="85" spans="1:2" x14ac:dyDescent="0.2">
      <c r="A85" s="40" t="s">
        <v>3417</v>
      </c>
      <c r="B85" s="40">
        <v>71</v>
      </c>
    </row>
    <row r="86" spans="1:2" x14ac:dyDescent="0.2">
      <c r="A86" s="40" t="s">
        <v>3187</v>
      </c>
      <c r="B86" s="40">
        <v>58</v>
      </c>
    </row>
    <row r="87" spans="1:2" x14ac:dyDescent="0.2">
      <c r="A87" s="40" t="s">
        <v>2899</v>
      </c>
      <c r="B87" s="40">
        <v>42</v>
      </c>
    </row>
    <row r="88" spans="1:2" x14ac:dyDescent="0.2">
      <c r="A88" s="40" t="s">
        <v>2683</v>
      </c>
      <c r="B88" s="40">
        <v>28</v>
      </c>
    </row>
    <row r="89" spans="1:2" x14ac:dyDescent="0.2">
      <c r="A89" s="40" t="s">
        <v>2683</v>
      </c>
      <c r="B89" s="40">
        <v>91</v>
      </c>
    </row>
    <row r="90" spans="1:2" x14ac:dyDescent="0.2">
      <c r="A90" s="40" t="s">
        <v>2778</v>
      </c>
      <c r="B90" s="40">
        <v>35</v>
      </c>
    </row>
    <row r="91" spans="1:2" x14ac:dyDescent="0.2">
      <c r="A91" s="40" t="s">
        <v>2586</v>
      </c>
      <c r="B91" s="40">
        <v>22</v>
      </c>
    </row>
    <row r="92" spans="1:2" x14ac:dyDescent="0.2">
      <c r="A92" s="40" t="s">
        <v>2479</v>
      </c>
      <c r="B92" s="40">
        <v>10</v>
      </c>
    </row>
    <row r="93" spans="1:2" x14ac:dyDescent="0.2">
      <c r="A93" s="40" t="s">
        <v>2425</v>
      </c>
      <c r="B93" s="40">
        <v>2</v>
      </c>
    </row>
    <row r="94" spans="1:2" x14ac:dyDescent="0.2">
      <c r="A94" s="40" t="s">
        <v>2600</v>
      </c>
      <c r="B94" s="40">
        <v>23</v>
      </c>
    </row>
    <row r="95" spans="1:2" x14ac:dyDescent="0.2">
      <c r="A95" s="40" t="s">
        <v>2871</v>
      </c>
      <c r="B95" s="40">
        <v>40</v>
      </c>
    </row>
    <row r="96" spans="1:2" x14ac:dyDescent="0.2">
      <c r="A96" s="40" t="s">
        <v>3509</v>
      </c>
      <c r="B96" s="40">
        <v>86</v>
      </c>
    </row>
    <row r="97" spans="1:2" x14ac:dyDescent="0.2">
      <c r="A97" s="40" t="s">
        <v>3389</v>
      </c>
      <c r="B97" s="40">
        <v>69</v>
      </c>
    </row>
    <row r="98" spans="1:2" x14ac:dyDescent="0.2">
      <c r="A98" s="40" t="s">
        <v>3148</v>
      </c>
      <c r="B98" s="40">
        <v>54</v>
      </c>
    </row>
    <row r="99" spans="1:2" x14ac:dyDescent="0.2">
      <c r="A99" s="40" t="s">
        <v>3199</v>
      </c>
      <c r="B99" s="40">
        <v>59</v>
      </c>
    </row>
    <row r="100" spans="1:2" x14ac:dyDescent="0.2">
      <c r="A100" s="40" t="s">
        <v>2900</v>
      </c>
      <c r="B100" s="40">
        <v>42</v>
      </c>
    </row>
    <row r="101" spans="1:2" x14ac:dyDescent="0.2">
      <c r="A101" s="40" t="s">
        <v>2900</v>
      </c>
      <c r="B101" s="40">
        <v>66</v>
      </c>
    </row>
    <row r="102" spans="1:2" x14ac:dyDescent="0.2">
      <c r="A102" s="40" t="s">
        <v>2528</v>
      </c>
      <c r="B102" s="40">
        <v>15</v>
      </c>
    </row>
    <row r="103" spans="1:2" x14ac:dyDescent="0.2">
      <c r="A103" s="40" t="s">
        <v>2587</v>
      </c>
      <c r="B103" s="40">
        <v>22</v>
      </c>
    </row>
    <row r="104" spans="1:2" x14ac:dyDescent="0.2">
      <c r="A104" s="40" t="s">
        <v>2677</v>
      </c>
      <c r="B104" s="40">
        <v>27</v>
      </c>
    </row>
    <row r="105" spans="1:2" x14ac:dyDescent="0.2">
      <c r="A105" s="40" t="s">
        <v>3525</v>
      </c>
      <c r="B105" s="40">
        <v>87</v>
      </c>
    </row>
    <row r="106" spans="1:2" x14ac:dyDescent="0.2">
      <c r="A106" s="40" t="s">
        <v>3506</v>
      </c>
      <c r="B106" s="40">
        <v>79</v>
      </c>
    </row>
    <row r="107" spans="1:2" x14ac:dyDescent="0.2">
      <c r="A107" s="40" t="s">
        <v>2426</v>
      </c>
      <c r="B107" s="40">
        <v>2</v>
      </c>
    </row>
    <row r="108" spans="1:2" x14ac:dyDescent="0.2">
      <c r="A108" s="40" t="s">
        <v>2828</v>
      </c>
      <c r="B108" s="40">
        <v>38</v>
      </c>
    </row>
    <row r="109" spans="1:2" x14ac:dyDescent="0.2">
      <c r="A109" s="40" t="s">
        <v>2712</v>
      </c>
      <c r="B109" s="40">
        <v>31</v>
      </c>
    </row>
    <row r="110" spans="1:2" x14ac:dyDescent="0.2">
      <c r="A110" s="40" t="s">
        <v>2427</v>
      </c>
      <c r="B110" s="40">
        <v>2</v>
      </c>
    </row>
    <row r="111" spans="1:2" x14ac:dyDescent="0.2">
      <c r="A111" s="40" t="s">
        <v>2427</v>
      </c>
      <c r="B111" s="40">
        <v>28</v>
      </c>
    </row>
    <row r="112" spans="1:2" x14ac:dyDescent="0.2">
      <c r="A112" s="40" t="s">
        <v>2657</v>
      </c>
      <c r="B112" s="40">
        <v>26</v>
      </c>
    </row>
    <row r="113" spans="1:2" x14ac:dyDescent="0.2">
      <c r="A113" s="40" t="s">
        <v>2792</v>
      </c>
      <c r="B113" s="40">
        <v>36</v>
      </c>
    </row>
    <row r="114" spans="1:2" x14ac:dyDescent="0.2">
      <c r="A114" s="40" t="s">
        <v>3323</v>
      </c>
      <c r="B114" s="40">
        <v>66</v>
      </c>
    </row>
    <row r="115" spans="1:2" x14ac:dyDescent="0.2">
      <c r="A115" s="40" t="s">
        <v>3418</v>
      </c>
      <c r="B115" s="40">
        <v>71</v>
      </c>
    </row>
    <row r="116" spans="1:2" x14ac:dyDescent="0.2">
      <c r="A116" s="40" t="s">
        <v>3110</v>
      </c>
      <c r="B116" s="40">
        <v>52</v>
      </c>
    </row>
    <row r="117" spans="1:2" x14ac:dyDescent="0.2">
      <c r="A117" s="40" t="s">
        <v>2624</v>
      </c>
      <c r="B117" s="40">
        <v>24</v>
      </c>
    </row>
    <row r="118" spans="1:2" x14ac:dyDescent="0.2">
      <c r="A118" s="40" t="s">
        <v>2793</v>
      </c>
      <c r="B118" s="40">
        <v>36</v>
      </c>
    </row>
    <row r="119" spans="1:2" x14ac:dyDescent="0.2">
      <c r="A119" s="40" t="s">
        <v>2829</v>
      </c>
      <c r="B119" s="40">
        <v>38</v>
      </c>
    </row>
    <row r="120" spans="1:2" x14ac:dyDescent="0.2">
      <c r="A120" s="40" t="s">
        <v>2963</v>
      </c>
      <c r="B120" s="40">
        <v>47</v>
      </c>
    </row>
    <row r="121" spans="1:2" x14ac:dyDescent="0.2">
      <c r="A121" s="40" t="s">
        <v>2537</v>
      </c>
      <c r="B121" s="40">
        <v>16</v>
      </c>
    </row>
    <row r="122" spans="1:2" x14ac:dyDescent="0.2">
      <c r="A122" s="40" t="s">
        <v>3390</v>
      </c>
      <c r="B122" s="40">
        <v>69</v>
      </c>
    </row>
    <row r="123" spans="1:2" x14ac:dyDescent="0.2">
      <c r="A123" s="40" t="s">
        <v>3149</v>
      </c>
      <c r="B123" s="40">
        <v>54</v>
      </c>
    </row>
    <row r="124" spans="1:2" x14ac:dyDescent="0.2">
      <c r="A124" s="40" t="s">
        <v>3419</v>
      </c>
      <c r="B124" s="40">
        <v>71</v>
      </c>
    </row>
    <row r="125" spans="1:2" x14ac:dyDescent="0.2">
      <c r="A125" s="40" t="s">
        <v>3180</v>
      </c>
      <c r="B125" s="40">
        <v>57</v>
      </c>
    </row>
    <row r="126" spans="1:2" x14ac:dyDescent="0.2">
      <c r="A126" s="40" t="s">
        <v>2647</v>
      </c>
      <c r="B126" s="40">
        <v>25</v>
      </c>
    </row>
    <row r="127" spans="1:2" x14ac:dyDescent="0.2">
      <c r="A127" s="40" t="s">
        <v>3111</v>
      </c>
      <c r="B127" s="40">
        <v>52</v>
      </c>
    </row>
    <row r="128" spans="1:2" x14ac:dyDescent="0.2">
      <c r="A128" s="40" t="s">
        <v>3476</v>
      </c>
      <c r="B128" s="40">
        <v>75</v>
      </c>
    </row>
    <row r="129" spans="1:2" x14ac:dyDescent="0.2">
      <c r="A129" s="40" t="s">
        <v>2794</v>
      </c>
      <c r="B129" s="40">
        <v>36</v>
      </c>
    </row>
    <row r="130" spans="1:2" x14ac:dyDescent="0.2">
      <c r="A130" s="40" t="s">
        <v>3136</v>
      </c>
      <c r="B130" s="40">
        <v>53</v>
      </c>
    </row>
    <row r="131" spans="1:2" x14ac:dyDescent="0.2">
      <c r="A131" s="40" t="s">
        <v>2872</v>
      </c>
      <c r="B131" s="40">
        <v>40</v>
      </c>
    </row>
    <row r="132" spans="1:2" x14ac:dyDescent="0.2">
      <c r="A132" s="40" t="s">
        <v>2873</v>
      </c>
      <c r="B132" s="40">
        <v>40</v>
      </c>
    </row>
    <row r="133" spans="1:2" x14ac:dyDescent="0.2">
      <c r="A133" s="40" t="s">
        <v>2625</v>
      </c>
      <c r="B133" s="40">
        <v>24</v>
      </c>
    </row>
    <row r="134" spans="1:2" x14ac:dyDescent="0.2">
      <c r="A134" s="40" t="s">
        <v>2830</v>
      </c>
      <c r="B134" s="40">
        <v>38</v>
      </c>
    </row>
    <row r="135" spans="1:2" x14ac:dyDescent="0.2">
      <c r="A135" s="40" t="s">
        <v>3005</v>
      </c>
      <c r="B135" s="40">
        <v>50</v>
      </c>
    </row>
    <row r="136" spans="1:2" x14ac:dyDescent="0.2">
      <c r="A136" s="40" t="s">
        <v>2721</v>
      </c>
      <c r="B136" s="40">
        <v>32</v>
      </c>
    </row>
    <row r="137" spans="1:2" x14ac:dyDescent="0.2">
      <c r="A137" s="40" t="s">
        <v>2538</v>
      </c>
      <c r="B137" s="40">
        <v>16</v>
      </c>
    </row>
    <row r="138" spans="1:2" x14ac:dyDescent="0.2">
      <c r="A138" s="40" t="s">
        <v>3169</v>
      </c>
      <c r="B138" s="40">
        <v>56</v>
      </c>
    </row>
    <row r="139" spans="1:2" x14ac:dyDescent="0.2">
      <c r="A139" s="40" t="s">
        <v>2658</v>
      </c>
      <c r="B139" s="40">
        <v>26</v>
      </c>
    </row>
    <row r="140" spans="1:2" x14ac:dyDescent="0.2">
      <c r="A140" s="40" t="s">
        <v>3170</v>
      </c>
      <c r="B140" s="40">
        <v>56</v>
      </c>
    </row>
    <row r="141" spans="1:2" x14ac:dyDescent="0.2">
      <c r="A141" s="40" t="s">
        <v>2539</v>
      </c>
      <c r="B141" s="40">
        <v>16</v>
      </c>
    </row>
    <row r="142" spans="1:2" x14ac:dyDescent="0.2">
      <c r="A142" s="40" t="s">
        <v>2933</v>
      </c>
      <c r="B142" s="40">
        <v>44</v>
      </c>
    </row>
    <row r="143" spans="1:2" x14ac:dyDescent="0.2">
      <c r="A143" s="40" t="s">
        <v>2450</v>
      </c>
      <c r="B143" s="40">
        <v>5</v>
      </c>
    </row>
    <row r="144" spans="1:2" x14ac:dyDescent="0.2">
      <c r="A144" s="40" t="s">
        <v>2795</v>
      </c>
      <c r="B144" s="40">
        <v>36</v>
      </c>
    </row>
    <row r="145" spans="1:2" x14ac:dyDescent="0.2">
      <c r="A145" s="40" t="s">
        <v>3137</v>
      </c>
      <c r="B145" s="40">
        <v>53</v>
      </c>
    </row>
    <row r="146" spans="1:2" x14ac:dyDescent="0.2">
      <c r="A146" s="40" t="s">
        <v>2713</v>
      </c>
      <c r="B146" s="40">
        <v>31</v>
      </c>
    </row>
    <row r="147" spans="1:2" x14ac:dyDescent="0.2">
      <c r="A147" s="40" t="s">
        <v>3364</v>
      </c>
      <c r="B147" s="40">
        <v>67</v>
      </c>
    </row>
    <row r="148" spans="1:2" x14ac:dyDescent="0.2">
      <c r="A148" s="40" t="s">
        <v>3223</v>
      </c>
      <c r="B148" s="40">
        <v>60</v>
      </c>
    </row>
    <row r="149" spans="1:2" x14ac:dyDescent="0.2">
      <c r="A149" s="40" t="s">
        <v>3224</v>
      </c>
      <c r="B149" s="40">
        <v>60</v>
      </c>
    </row>
    <row r="150" spans="1:2" x14ac:dyDescent="0.2">
      <c r="A150" s="40" t="s">
        <v>3138</v>
      </c>
      <c r="B150" s="40">
        <v>53</v>
      </c>
    </row>
    <row r="151" spans="1:2" x14ac:dyDescent="0.2">
      <c r="A151" s="40" t="s">
        <v>2779</v>
      </c>
      <c r="B151" s="40">
        <v>35</v>
      </c>
    </row>
    <row r="152" spans="1:2" x14ac:dyDescent="0.2">
      <c r="A152" s="40" t="s">
        <v>2692</v>
      </c>
      <c r="B152" s="40">
        <v>29</v>
      </c>
    </row>
    <row r="153" spans="1:2" x14ac:dyDescent="0.2">
      <c r="A153" s="40" t="s">
        <v>3420</v>
      </c>
      <c r="B153" s="40">
        <v>71</v>
      </c>
    </row>
    <row r="154" spans="1:2" x14ac:dyDescent="0.2">
      <c r="A154" s="40" t="s">
        <v>3200</v>
      </c>
      <c r="B154" s="40">
        <v>59</v>
      </c>
    </row>
    <row r="155" spans="1:2" x14ac:dyDescent="0.2">
      <c r="A155" s="40" t="s">
        <v>3006</v>
      </c>
      <c r="B155" s="40">
        <v>50</v>
      </c>
    </row>
    <row r="156" spans="1:2" x14ac:dyDescent="0.2">
      <c r="A156" s="40" t="s">
        <v>3447</v>
      </c>
      <c r="B156" s="40">
        <v>74</v>
      </c>
    </row>
    <row r="157" spans="1:2" x14ac:dyDescent="0.2">
      <c r="A157" s="40" t="s">
        <v>3324</v>
      </c>
      <c r="B157" s="40">
        <v>66</v>
      </c>
    </row>
    <row r="158" spans="1:2" x14ac:dyDescent="0.2">
      <c r="A158" s="40" t="s">
        <v>3448</v>
      </c>
      <c r="B158" s="40">
        <v>74</v>
      </c>
    </row>
    <row r="159" spans="1:2" x14ac:dyDescent="0.2">
      <c r="A159" s="40" t="s">
        <v>3325</v>
      </c>
      <c r="B159" s="40">
        <v>66</v>
      </c>
    </row>
    <row r="160" spans="1:2" x14ac:dyDescent="0.2">
      <c r="A160" s="40" t="s">
        <v>3326</v>
      </c>
      <c r="B160" s="40">
        <v>66</v>
      </c>
    </row>
    <row r="161" spans="1:2" x14ac:dyDescent="0.2">
      <c r="A161" s="40" t="s">
        <v>3327</v>
      </c>
      <c r="B161" s="40">
        <v>66</v>
      </c>
    </row>
    <row r="162" spans="1:2" x14ac:dyDescent="0.2">
      <c r="A162" s="40" t="s">
        <v>3328</v>
      </c>
      <c r="B162" s="40">
        <v>66</v>
      </c>
    </row>
    <row r="163" spans="1:2" x14ac:dyDescent="0.2">
      <c r="A163" s="40" t="s">
        <v>2514</v>
      </c>
      <c r="B163" s="40">
        <v>14</v>
      </c>
    </row>
    <row r="164" spans="1:2" x14ac:dyDescent="0.2">
      <c r="A164" s="40" t="s">
        <v>3391</v>
      </c>
      <c r="B164" s="40">
        <v>69</v>
      </c>
    </row>
    <row r="165" spans="1:2" x14ac:dyDescent="0.2">
      <c r="A165" s="40" t="s">
        <v>3112</v>
      </c>
      <c r="B165" s="40">
        <v>52</v>
      </c>
    </row>
    <row r="166" spans="1:2" x14ac:dyDescent="0.2">
      <c r="A166" s="40" t="s">
        <v>3007</v>
      </c>
      <c r="B166" s="40">
        <v>50</v>
      </c>
    </row>
    <row r="167" spans="1:2" x14ac:dyDescent="0.2">
      <c r="A167" s="40" t="s">
        <v>2515</v>
      </c>
      <c r="B167" s="40">
        <v>14</v>
      </c>
    </row>
    <row r="168" spans="1:2" x14ac:dyDescent="0.2">
      <c r="A168" s="40" t="s">
        <v>2895</v>
      </c>
      <c r="B168" s="40">
        <v>41</v>
      </c>
    </row>
    <row r="169" spans="1:2" x14ac:dyDescent="0.2">
      <c r="A169" s="40" t="s">
        <v>2831</v>
      </c>
      <c r="B169" s="40">
        <v>38</v>
      </c>
    </row>
    <row r="170" spans="1:2" x14ac:dyDescent="0.2">
      <c r="A170" s="40" t="s">
        <v>2808</v>
      </c>
      <c r="B170" s="40">
        <v>37</v>
      </c>
    </row>
    <row r="171" spans="1:2" x14ac:dyDescent="0.2">
      <c r="A171" s="40" t="s">
        <v>2648</v>
      </c>
      <c r="B171" s="40">
        <v>25</v>
      </c>
    </row>
    <row r="172" spans="1:2" x14ac:dyDescent="0.2">
      <c r="A172" s="40" t="s">
        <v>2529</v>
      </c>
      <c r="B172" s="40">
        <v>15</v>
      </c>
    </row>
    <row r="173" spans="1:2" x14ac:dyDescent="0.2">
      <c r="A173" s="40" t="s">
        <v>2737</v>
      </c>
      <c r="B173" s="40">
        <v>33</v>
      </c>
    </row>
    <row r="174" spans="1:2" x14ac:dyDescent="0.2">
      <c r="A174" s="40" t="s">
        <v>2759</v>
      </c>
      <c r="B174" s="40">
        <v>34</v>
      </c>
    </row>
    <row r="175" spans="1:2" x14ac:dyDescent="0.2">
      <c r="A175" s="40" t="s">
        <v>3242</v>
      </c>
      <c r="B175" s="40">
        <v>61</v>
      </c>
    </row>
    <row r="176" spans="1:2" x14ac:dyDescent="0.2">
      <c r="A176" s="40" t="s">
        <v>2934</v>
      </c>
      <c r="B176" s="40">
        <v>44</v>
      </c>
    </row>
    <row r="177" spans="1:2" x14ac:dyDescent="0.2">
      <c r="A177" s="40" t="s">
        <v>2502</v>
      </c>
      <c r="B177" s="40">
        <v>12</v>
      </c>
    </row>
    <row r="178" spans="1:2" x14ac:dyDescent="0.2">
      <c r="A178" s="40" t="s">
        <v>2760</v>
      </c>
      <c r="B178" s="40">
        <v>34</v>
      </c>
    </row>
    <row r="179" spans="1:2" x14ac:dyDescent="0.2">
      <c r="A179" s="40" t="s">
        <v>2780</v>
      </c>
      <c r="B179" s="40">
        <v>35</v>
      </c>
    </row>
    <row r="180" spans="1:2" x14ac:dyDescent="0.2">
      <c r="A180" s="40" t="s">
        <v>3113</v>
      </c>
      <c r="B180" s="40">
        <v>52</v>
      </c>
    </row>
    <row r="181" spans="1:2" x14ac:dyDescent="0.2">
      <c r="A181" s="40" t="s">
        <v>3008</v>
      </c>
      <c r="B181" s="40">
        <v>50</v>
      </c>
    </row>
    <row r="182" spans="1:2" x14ac:dyDescent="0.2">
      <c r="A182" s="40" t="s">
        <v>2964</v>
      </c>
      <c r="B182" s="40">
        <v>47</v>
      </c>
    </row>
    <row r="183" spans="1:2" x14ac:dyDescent="0.2">
      <c r="A183" s="40" t="s">
        <v>2965</v>
      </c>
      <c r="B183" s="40">
        <v>47</v>
      </c>
    </row>
    <row r="184" spans="1:2" x14ac:dyDescent="0.2">
      <c r="A184" s="40" t="s">
        <v>3329</v>
      </c>
      <c r="B184" s="40">
        <v>66</v>
      </c>
    </row>
    <row r="185" spans="1:2" x14ac:dyDescent="0.2">
      <c r="A185" s="40" t="s">
        <v>3288</v>
      </c>
      <c r="B185" s="40">
        <v>64</v>
      </c>
    </row>
    <row r="186" spans="1:2" x14ac:dyDescent="0.2">
      <c r="A186" s="40" t="s">
        <v>3289</v>
      </c>
      <c r="B186" s="40">
        <v>64</v>
      </c>
    </row>
    <row r="187" spans="1:2" x14ac:dyDescent="0.2">
      <c r="A187" s="40" t="s">
        <v>2492</v>
      </c>
      <c r="B187" s="40">
        <v>11</v>
      </c>
    </row>
    <row r="188" spans="1:2" x14ac:dyDescent="0.2">
      <c r="A188" s="40" t="s">
        <v>2796</v>
      </c>
      <c r="B188" s="40">
        <v>36</v>
      </c>
    </row>
    <row r="189" spans="1:2" x14ac:dyDescent="0.2">
      <c r="A189" s="40" t="s">
        <v>2797</v>
      </c>
      <c r="B189" s="40">
        <v>36</v>
      </c>
    </row>
    <row r="190" spans="1:2" x14ac:dyDescent="0.2">
      <c r="A190" s="40" t="s">
        <v>3114</v>
      </c>
      <c r="B190" s="40">
        <v>52</v>
      </c>
    </row>
    <row r="191" spans="1:2" x14ac:dyDescent="0.2">
      <c r="A191" s="40" t="s">
        <v>3009</v>
      </c>
      <c r="B191" s="40">
        <v>50</v>
      </c>
    </row>
    <row r="192" spans="1:2" x14ac:dyDescent="0.2">
      <c r="A192" s="40" t="s">
        <v>2559</v>
      </c>
      <c r="B192" s="40">
        <v>18</v>
      </c>
    </row>
    <row r="193" spans="1:2" x14ac:dyDescent="0.2">
      <c r="A193" s="40" t="s">
        <v>2966</v>
      </c>
      <c r="B193" s="40">
        <v>47</v>
      </c>
    </row>
    <row r="194" spans="1:2" x14ac:dyDescent="0.2">
      <c r="A194" s="40" t="s">
        <v>2493</v>
      </c>
      <c r="B194" s="40">
        <v>11</v>
      </c>
    </row>
    <row r="195" spans="1:2" x14ac:dyDescent="0.2">
      <c r="A195" s="40" t="s">
        <v>2967</v>
      </c>
      <c r="B195" s="40">
        <v>47</v>
      </c>
    </row>
    <row r="196" spans="1:2" x14ac:dyDescent="0.2">
      <c r="A196" s="40" t="s">
        <v>3115</v>
      </c>
      <c r="B196" s="40">
        <v>52</v>
      </c>
    </row>
    <row r="197" spans="1:2" x14ac:dyDescent="0.2">
      <c r="A197" s="40" t="s">
        <v>3010</v>
      </c>
      <c r="B197" s="40">
        <v>50</v>
      </c>
    </row>
    <row r="198" spans="1:2" x14ac:dyDescent="0.2">
      <c r="A198" s="40" t="s">
        <v>2968</v>
      </c>
      <c r="B198" s="40">
        <v>47</v>
      </c>
    </row>
    <row r="199" spans="1:2" x14ac:dyDescent="0.2">
      <c r="A199" s="40" t="s">
        <v>2781</v>
      </c>
      <c r="B199" s="40">
        <v>35</v>
      </c>
    </row>
    <row r="200" spans="1:2" x14ac:dyDescent="0.2">
      <c r="A200" s="40" t="s">
        <v>3392</v>
      </c>
      <c r="B200" s="40">
        <v>69</v>
      </c>
    </row>
    <row r="201" spans="1:2" x14ac:dyDescent="0.2">
      <c r="A201" s="40" t="s">
        <v>2678</v>
      </c>
      <c r="B201" s="40">
        <v>27</v>
      </c>
    </row>
    <row r="202" spans="1:2" x14ac:dyDescent="0.2">
      <c r="A202" s="40" t="s">
        <v>2738</v>
      </c>
      <c r="B202" s="40">
        <v>33</v>
      </c>
    </row>
    <row r="203" spans="1:2" x14ac:dyDescent="0.2">
      <c r="A203" s="40" t="s">
        <v>3365</v>
      </c>
      <c r="B203" s="40">
        <v>67</v>
      </c>
    </row>
    <row r="204" spans="1:2" x14ac:dyDescent="0.2">
      <c r="A204" s="40" t="s">
        <v>2918</v>
      </c>
      <c r="B204" s="40">
        <v>43</v>
      </c>
    </row>
    <row r="205" spans="1:2" x14ac:dyDescent="0.2">
      <c r="A205" s="40" t="s">
        <v>2809</v>
      </c>
      <c r="B205" s="40">
        <v>37</v>
      </c>
    </row>
    <row r="206" spans="1:2" x14ac:dyDescent="0.2">
      <c r="A206" s="40" t="s">
        <v>3485</v>
      </c>
      <c r="B206" s="40">
        <v>76</v>
      </c>
    </row>
    <row r="207" spans="1:2" x14ac:dyDescent="0.2">
      <c r="A207" s="40" t="s">
        <v>3366</v>
      </c>
      <c r="B207" s="40">
        <v>67</v>
      </c>
    </row>
    <row r="208" spans="1:2" x14ac:dyDescent="0.2">
      <c r="A208" s="40" t="s">
        <v>3091</v>
      </c>
      <c r="B208" s="40">
        <v>51</v>
      </c>
    </row>
    <row r="209" spans="1:2" x14ac:dyDescent="0.2">
      <c r="A209" s="40" t="s">
        <v>3171</v>
      </c>
      <c r="B209" s="40">
        <v>56</v>
      </c>
    </row>
    <row r="210" spans="1:2" x14ac:dyDescent="0.2">
      <c r="A210" s="40" t="s">
        <v>2935</v>
      </c>
      <c r="B210" s="40">
        <v>44</v>
      </c>
    </row>
    <row r="211" spans="1:2" x14ac:dyDescent="0.2">
      <c r="A211" s="40" t="s">
        <v>2969</v>
      </c>
      <c r="B211" s="40">
        <v>47</v>
      </c>
    </row>
    <row r="212" spans="1:2" x14ac:dyDescent="0.2">
      <c r="A212" s="40" t="s">
        <v>2850</v>
      </c>
      <c r="B212" s="40">
        <v>39</v>
      </c>
    </row>
    <row r="213" spans="1:2" x14ac:dyDescent="0.2">
      <c r="A213" s="40" t="s">
        <v>3225</v>
      </c>
      <c r="B213" s="40">
        <v>60</v>
      </c>
    </row>
    <row r="214" spans="1:2" x14ac:dyDescent="0.2">
      <c r="A214" s="40" t="s">
        <v>2601</v>
      </c>
      <c r="B214" s="40">
        <v>23</v>
      </c>
    </row>
    <row r="215" spans="1:2" x14ac:dyDescent="0.2">
      <c r="A215" s="40" t="s">
        <v>2659</v>
      </c>
      <c r="B215" s="40">
        <v>26</v>
      </c>
    </row>
    <row r="216" spans="1:2" x14ac:dyDescent="0.2">
      <c r="A216" s="40" t="s">
        <v>2560</v>
      </c>
      <c r="B216" s="40">
        <v>18</v>
      </c>
    </row>
    <row r="217" spans="1:2" x14ac:dyDescent="0.2">
      <c r="A217" s="40" t="s">
        <v>3011</v>
      </c>
      <c r="B217" s="40">
        <v>50</v>
      </c>
    </row>
    <row r="218" spans="1:2" x14ac:dyDescent="0.2">
      <c r="A218" s="40" t="s">
        <v>3116</v>
      </c>
      <c r="B218" s="40">
        <v>52</v>
      </c>
    </row>
    <row r="219" spans="1:2" x14ac:dyDescent="0.2">
      <c r="A219" s="40" t="s">
        <v>2449</v>
      </c>
      <c r="B219" s="40">
        <v>4</v>
      </c>
    </row>
    <row r="220" spans="1:2" x14ac:dyDescent="0.2">
      <c r="A220" s="40" t="s">
        <v>3201</v>
      </c>
      <c r="B220" s="40">
        <v>59</v>
      </c>
    </row>
    <row r="221" spans="1:2" x14ac:dyDescent="0.2">
      <c r="A221" s="40" t="s">
        <v>2588</v>
      </c>
      <c r="B221" s="40">
        <v>22</v>
      </c>
    </row>
    <row r="222" spans="1:2" x14ac:dyDescent="0.2">
      <c r="A222" s="40" t="s">
        <v>3117</v>
      </c>
      <c r="B222" s="40">
        <v>52</v>
      </c>
    </row>
    <row r="223" spans="1:2" x14ac:dyDescent="0.2">
      <c r="A223" s="40" t="s">
        <v>3188</v>
      </c>
      <c r="B223" s="40">
        <v>58</v>
      </c>
    </row>
    <row r="224" spans="1:2" x14ac:dyDescent="0.2">
      <c r="A224" s="40" t="s">
        <v>2472</v>
      </c>
      <c r="B224" s="40">
        <v>8</v>
      </c>
    </row>
    <row r="225" spans="1:2" ht="25.5" x14ac:dyDescent="0.2">
      <c r="A225" s="40" t="s">
        <v>3012</v>
      </c>
      <c r="B225" s="40">
        <v>50</v>
      </c>
    </row>
    <row r="226" spans="1:2" x14ac:dyDescent="0.2">
      <c r="A226" s="40" t="s">
        <v>2739</v>
      </c>
      <c r="B226" s="40">
        <v>33</v>
      </c>
    </row>
    <row r="227" spans="1:2" x14ac:dyDescent="0.2">
      <c r="A227" s="40" t="s">
        <v>2602</v>
      </c>
      <c r="B227" s="40">
        <v>23</v>
      </c>
    </row>
    <row r="228" spans="1:2" x14ac:dyDescent="0.2">
      <c r="A228" s="40" t="s">
        <v>2714</v>
      </c>
      <c r="B228" s="40">
        <v>31</v>
      </c>
    </row>
    <row r="229" spans="1:2" x14ac:dyDescent="0.2">
      <c r="A229" s="40" t="s">
        <v>3202</v>
      </c>
      <c r="B229" s="40">
        <v>59</v>
      </c>
    </row>
    <row r="230" spans="1:2" x14ac:dyDescent="0.2">
      <c r="A230" s="40" t="s">
        <v>2571</v>
      </c>
      <c r="B230" s="40">
        <v>20</v>
      </c>
    </row>
    <row r="231" spans="1:2" x14ac:dyDescent="0.2">
      <c r="A231" s="40" t="s">
        <v>2993</v>
      </c>
      <c r="B231" s="40">
        <v>48</v>
      </c>
    </row>
    <row r="232" spans="1:2" x14ac:dyDescent="0.2">
      <c r="A232" s="40" t="s">
        <v>2782</v>
      </c>
      <c r="B232" s="40">
        <v>35</v>
      </c>
    </row>
    <row r="233" spans="1:2" x14ac:dyDescent="0.2">
      <c r="A233" s="40" t="s">
        <v>3203</v>
      </c>
      <c r="B233" s="40">
        <v>59</v>
      </c>
    </row>
    <row r="234" spans="1:2" x14ac:dyDescent="0.2">
      <c r="A234" s="40" t="s">
        <v>2715</v>
      </c>
      <c r="B234" s="40">
        <v>31</v>
      </c>
    </row>
    <row r="235" spans="1:2" x14ac:dyDescent="0.2">
      <c r="A235" s="40" t="s">
        <v>3527</v>
      </c>
      <c r="B235" s="40">
        <v>89</v>
      </c>
    </row>
    <row r="236" spans="1:2" x14ac:dyDescent="0.2">
      <c r="A236" s="40" t="s">
        <v>2572</v>
      </c>
      <c r="B236" s="40">
        <v>20</v>
      </c>
    </row>
    <row r="237" spans="1:2" x14ac:dyDescent="0.2">
      <c r="A237" s="40" t="s">
        <v>3243</v>
      </c>
      <c r="B237" s="40">
        <v>61</v>
      </c>
    </row>
    <row r="238" spans="1:2" x14ac:dyDescent="0.2">
      <c r="A238" s="40" t="s">
        <v>2603</v>
      </c>
      <c r="B238" s="40">
        <v>23</v>
      </c>
    </row>
    <row r="239" spans="1:2" x14ac:dyDescent="0.2">
      <c r="A239" s="40" t="s">
        <v>2851</v>
      </c>
      <c r="B239" s="40">
        <v>39</v>
      </c>
    </row>
    <row r="240" spans="1:2" x14ac:dyDescent="0.2">
      <c r="A240" s="40" t="s">
        <v>2851</v>
      </c>
      <c r="B240" s="40">
        <v>42</v>
      </c>
    </row>
    <row r="241" spans="1:2" x14ac:dyDescent="0.2">
      <c r="A241" s="40" t="s">
        <v>2852</v>
      </c>
      <c r="B241" s="40">
        <v>39</v>
      </c>
    </row>
    <row r="242" spans="1:2" x14ac:dyDescent="0.2">
      <c r="A242" s="40" t="s">
        <v>2444</v>
      </c>
      <c r="B242" s="40">
        <v>3</v>
      </c>
    </row>
    <row r="243" spans="1:2" x14ac:dyDescent="0.2">
      <c r="A243" s="40" t="s">
        <v>2740</v>
      </c>
      <c r="B243" s="40">
        <v>33</v>
      </c>
    </row>
    <row r="244" spans="1:2" x14ac:dyDescent="0.2">
      <c r="A244" s="40" t="s">
        <v>2428</v>
      </c>
      <c r="B244" s="40">
        <v>2</v>
      </c>
    </row>
    <row r="245" spans="1:2" x14ac:dyDescent="0.2">
      <c r="A245" s="40" t="s">
        <v>2451</v>
      </c>
      <c r="B245" s="40">
        <v>5</v>
      </c>
    </row>
    <row r="246" spans="1:2" x14ac:dyDescent="0.2">
      <c r="A246" s="40" t="s">
        <v>2945</v>
      </c>
      <c r="B246" s="40">
        <v>45</v>
      </c>
    </row>
    <row r="247" spans="1:2" x14ac:dyDescent="0.2">
      <c r="A247" s="40" t="s">
        <v>2649</v>
      </c>
      <c r="B247" s="40">
        <v>25</v>
      </c>
    </row>
    <row r="248" spans="1:2" x14ac:dyDescent="0.2">
      <c r="A248" s="40" t="s">
        <v>2650</v>
      </c>
      <c r="B248" s="40">
        <v>25</v>
      </c>
    </row>
    <row r="249" spans="1:2" x14ac:dyDescent="0.2">
      <c r="A249" s="40" t="s">
        <v>3486</v>
      </c>
      <c r="B249" s="40">
        <v>76</v>
      </c>
    </row>
    <row r="250" spans="1:2" x14ac:dyDescent="0.2">
      <c r="A250" s="40" t="s">
        <v>2994</v>
      </c>
      <c r="B250" s="40">
        <v>48</v>
      </c>
    </row>
    <row r="251" spans="1:2" x14ac:dyDescent="0.2">
      <c r="A251" s="40" t="s">
        <v>3330</v>
      </c>
      <c r="B251" s="40">
        <v>66</v>
      </c>
    </row>
    <row r="252" spans="1:2" x14ac:dyDescent="0.2">
      <c r="A252" s="40" t="s">
        <v>3013</v>
      </c>
      <c r="B252" s="40">
        <v>50</v>
      </c>
    </row>
    <row r="253" spans="1:2" x14ac:dyDescent="0.2">
      <c r="A253" s="40" t="s">
        <v>3367</v>
      </c>
      <c r="B253" s="40">
        <v>67</v>
      </c>
    </row>
    <row r="254" spans="1:2" x14ac:dyDescent="0.2">
      <c r="A254" s="40" t="s">
        <v>2452</v>
      </c>
      <c r="B254" s="40">
        <v>5</v>
      </c>
    </row>
    <row r="255" spans="1:2" x14ac:dyDescent="0.2">
      <c r="A255" s="40" t="s">
        <v>3368</v>
      </c>
      <c r="B255" s="40">
        <v>67</v>
      </c>
    </row>
    <row r="256" spans="1:2" x14ac:dyDescent="0.2">
      <c r="A256" s="40" t="s">
        <v>3540</v>
      </c>
      <c r="B256" s="40">
        <v>91</v>
      </c>
    </row>
    <row r="257" spans="1:2" x14ac:dyDescent="0.2">
      <c r="A257" s="40" t="s">
        <v>3540</v>
      </c>
      <c r="B257" s="40">
        <v>91</v>
      </c>
    </row>
    <row r="258" spans="1:2" x14ac:dyDescent="0.2">
      <c r="A258" s="40" t="s">
        <v>3118</v>
      </c>
      <c r="B258" s="40">
        <v>52</v>
      </c>
    </row>
    <row r="259" spans="1:2" x14ac:dyDescent="0.2">
      <c r="A259" s="40" t="s">
        <v>3014</v>
      </c>
      <c r="B259" s="40">
        <v>50</v>
      </c>
    </row>
    <row r="260" spans="1:2" x14ac:dyDescent="0.2">
      <c r="A260" s="40" t="s">
        <v>2626</v>
      </c>
      <c r="B260" s="40">
        <v>24</v>
      </c>
    </row>
    <row r="261" spans="1:2" x14ac:dyDescent="0.2">
      <c r="A261" s="40" t="s">
        <v>2530</v>
      </c>
      <c r="B261" s="40">
        <v>15</v>
      </c>
    </row>
    <row r="262" spans="1:2" x14ac:dyDescent="0.2">
      <c r="A262" s="40" t="s">
        <v>3440</v>
      </c>
      <c r="B262" s="40">
        <v>73</v>
      </c>
    </row>
    <row r="263" spans="1:2" x14ac:dyDescent="0.2">
      <c r="A263" s="40" t="s">
        <v>2954</v>
      </c>
      <c r="B263" s="40">
        <v>46</v>
      </c>
    </row>
    <row r="264" spans="1:2" x14ac:dyDescent="0.2">
      <c r="A264" s="40" t="s">
        <v>3015</v>
      </c>
      <c r="B264" s="40">
        <v>50</v>
      </c>
    </row>
    <row r="265" spans="1:2" x14ac:dyDescent="0.2">
      <c r="A265" s="40" t="s">
        <v>3181</v>
      </c>
      <c r="B265" s="40">
        <v>57</v>
      </c>
    </row>
    <row r="266" spans="1:2" x14ac:dyDescent="0.2">
      <c r="A266" s="40" t="s">
        <v>3226</v>
      </c>
      <c r="B266" s="40">
        <v>60</v>
      </c>
    </row>
    <row r="267" spans="1:2" x14ac:dyDescent="0.2">
      <c r="A267" s="40" t="s">
        <v>3204</v>
      </c>
      <c r="B267" s="40">
        <v>59</v>
      </c>
    </row>
    <row r="268" spans="1:2" x14ac:dyDescent="0.2">
      <c r="A268" s="40" t="s">
        <v>3016</v>
      </c>
      <c r="B268" s="40">
        <v>50</v>
      </c>
    </row>
    <row r="269" spans="1:2" x14ac:dyDescent="0.2">
      <c r="A269" s="40" t="s">
        <v>3306</v>
      </c>
      <c r="B269" s="40">
        <v>65</v>
      </c>
    </row>
    <row r="270" spans="1:2" x14ac:dyDescent="0.2">
      <c r="A270" s="40" t="s">
        <v>3017</v>
      </c>
      <c r="B270" s="40">
        <v>50</v>
      </c>
    </row>
    <row r="271" spans="1:2" x14ac:dyDescent="0.2">
      <c r="A271" s="40" t="s">
        <v>3244</v>
      </c>
      <c r="B271" s="40">
        <v>61</v>
      </c>
    </row>
    <row r="272" spans="1:2" x14ac:dyDescent="0.2">
      <c r="A272" s="40" t="s">
        <v>3421</v>
      </c>
      <c r="B272" s="40">
        <v>71</v>
      </c>
    </row>
    <row r="273" spans="1:2" x14ac:dyDescent="0.2">
      <c r="A273" s="40" t="s">
        <v>3369</v>
      </c>
      <c r="B273" s="40">
        <v>67</v>
      </c>
    </row>
    <row r="274" spans="1:2" x14ac:dyDescent="0.2">
      <c r="A274" s="40" t="s">
        <v>3018</v>
      </c>
      <c r="B274" s="40">
        <v>50</v>
      </c>
    </row>
    <row r="275" spans="1:2" x14ac:dyDescent="0.2">
      <c r="A275" s="40" t="s">
        <v>3019</v>
      </c>
      <c r="B275" s="40">
        <v>50</v>
      </c>
    </row>
    <row r="276" spans="1:2" x14ac:dyDescent="0.2">
      <c r="A276" s="40" t="s">
        <v>2761</v>
      </c>
      <c r="B276" s="40">
        <v>34</v>
      </c>
    </row>
    <row r="277" spans="1:2" x14ac:dyDescent="0.2">
      <c r="A277" s="40" t="s">
        <v>2627</v>
      </c>
      <c r="B277" s="40">
        <v>24</v>
      </c>
    </row>
    <row r="278" spans="1:2" x14ac:dyDescent="0.2">
      <c r="A278" s="40" t="s">
        <v>3370</v>
      </c>
      <c r="B278" s="40">
        <v>67</v>
      </c>
    </row>
    <row r="279" spans="1:2" x14ac:dyDescent="0.2">
      <c r="A279" s="40" t="s">
        <v>2429</v>
      </c>
      <c r="B279" s="40">
        <v>2</v>
      </c>
    </row>
    <row r="280" spans="1:2" x14ac:dyDescent="0.2">
      <c r="A280" s="40" t="s">
        <v>2722</v>
      </c>
      <c r="B280" s="40">
        <v>32</v>
      </c>
    </row>
    <row r="281" spans="1:2" x14ac:dyDescent="0.2">
      <c r="A281" s="40" t="s">
        <v>3541</v>
      </c>
      <c r="B281" s="40">
        <v>91</v>
      </c>
    </row>
    <row r="282" spans="1:2" x14ac:dyDescent="0.2">
      <c r="A282" s="40" t="s">
        <v>3020</v>
      </c>
      <c r="B282" s="40">
        <v>50</v>
      </c>
    </row>
    <row r="283" spans="1:2" x14ac:dyDescent="0.2">
      <c r="A283" s="40" t="s">
        <v>2604</v>
      </c>
      <c r="B283" s="40">
        <v>23</v>
      </c>
    </row>
    <row r="284" spans="1:2" x14ac:dyDescent="0.2">
      <c r="A284" s="40" t="s">
        <v>3331</v>
      </c>
      <c r="B284" s="40">
        <v>66</v>
      </c>
    </row>
    <row r="285" spans="1:2" x14ac:dyDescent="0.2">
      <c r="A285" s="40" t="s">
        <v>2540</v>
      </c>
      <c r="B285" s="40">
        <v>16</v>
      </c>
    </row>
    <row r="286" spans="1:2" x14ac:dyDescent="0.2">
      <c r="A286" s="40" t="s">
        <v>2995</v>
      </c>
      <c r="B286" s="40">
        <v>48</v>
      </c>
    </row>
    <row r="287" spans="1:2" x14ac:dyDescent="0.2">
      <c r="A287" s="40" t="s">
        <v>2896</v>
      </c>
      <c r="B287" s="40">
        <v>41</v>
      </c>
    </row>
    <row r="288" spans="1:2" x14ac:dyDescent="0.2">
      <c r="A288" s="40" t="s">
        <v>3371</v>
      </c>
      <c r="B288" s="40">
        <v>67</v>
      </c>
    </row>
    <row r="289" spans="1:2" x14ac:dyDescent="0.2">
      <c r="A289" s="40" t="s">
        <v>3449</v>
      </c>
      <c r="B289" s="40">
        <v>74</v>
      </c>
    </row>
    <row r="290" spans="1:2" x14ac:dyDescent="0.2">
      <c r="A290" s="40" t="s">
        <v>2494</v>
      </c>
      <c r="B290" s="40">
        <v>11</v>
      </c>
    </row>
    <row r="291" spans="1:2" x14ac:dyDescent="0.2">
      <c r="A291" s="40" t="s">
        <v>2628</v>
      </c>
      <c r="B291" s="40">
        <v>24</v>
      </c>
    </row>
    <row r="292" spans="1:2" x14ac:dyDescent="0.2">
      <c r="A292" s="40" t="s">
        <v>2874</v>
      </c>
      <c r="B292" s="40">
        <v>40</v>
      </c>
    </row>
    <row r="293" spans="1:2" x14ac:dyDescent="0.2">
      <c r="A293" s="40" t="s">
        <v>3290</v>
      </c>
      <c r="B293" s="40">
        <v>64</v>
      </c>
    </row>
    <row r="294" spans="1:2" x14ac:dyDescent="0.2">
      <c r="A294" s="40" t="s">
        <v>2660</v>
      </c>
      <c r="B294" s="40">
        <v>26</v>
      </c>
    </row>
    <row r="295" spans="1:2" x14ac:dyDescent="0.2">
      <c r="A295" s="40" t="s">
        <v>3422</v>
      </c>
      <c r="B295" s="40">
        <v>71</v>
      </c>
    </row>
    <row r="296" spans="1:2" x14ac:dyDescent="0.2">
      <c r="A296" s="40" t="s">
        <v>2661</v>
      </c>
      <c r="B296" s="40">
        <v>26</v>
      </c>
    </row>
    <row r="297" spans="1:2" x14ac:dyDescent="0.2">
      <c r="A297" s="40" t="s">
        <v>2629</v>
      </c>
      <c r="B297" s="40">
        <v>24</v>
      </c>
    </row>
    <row r="298" spans="1:2" x14ac:dyDescent="0.2">
      <c r="A298" s="40" t="s">
        <v>2629</v>
      </c>
      <c r="B298" s="40">
        <v>46</v>
      </c>
    </row>
    <row r="299" spans="1:2" ht="25.5" x14ac:dyDescent="0.2">
      <c r="A299" s="40" t="s">
        <v>2832</v>
      </c>
      <c r="B299" s="40">
        <v>38</v>
      </c>
    </row>
    <row r="300" spans="1:2" x14ac:dyDescent="0.2">
      <c r="A300" s="40" t="s">
        <v>3021</v>
      </c>
      <c r="B300" s="40">
        <v>50</v>
      </c>
    </row>
    <row r="301" spans="1:2" x14ac:dyDescent="0.2">
      <c r="A301" s="40" t="s">
        <v>3379</v>
      </c>
      <c r="B301" s="40">
        <v>68</v>
      </c>
    </row>
    <row r="302" spans="1:2" x14ac:dyDescent="0.2">
      <c r="A302" s="40" t="s">
        <v>3273</v>
      </c>
      <c r="B302" s="40">
        <v>63</v>
      </c>
    </row>
    <row r="303" spans="1:2" x14ac:dyDescent="0.2">
      <c r="A303" s="40" t="s">
        <v>2875</v>
      </c>
      <c r="B303" s="40">
        <v>40</v>
      </c>
    </row>
    <row r="304" spans="1:2" x14ac:dyDescent="0.2">
      <c r="A304" s="40" t="s">
        <v>2762</v>
      </c>
      <c r="B304" s="40">
        <v>34</v>
      </c>
    </row>
    <row r="305" spans="1:2" x14ac:dyDescent="0.2">
      <c r="A305" s="40" t="s">
        <v>2876</v>
      </c>
      <c r="B305" s="40">
        <v>40</v>
      </c>
    </row>
    <row r="306" spans="1:2" x14ac:dyDescent="0.2">
      <c r="A306" s="40" t="s">
        <v>2723</v>
      </c>
      <c r="B306" s="40">
        <v>32</v>
      </c>
    </row>
    <row r="307" spans="1:2" x14ac:dyDescent="0.2">
      <c r="A307" s="40" t="s">
        <v>3022</v>
      </c>
      <c r="B307" s="40">
        <v>50</v>
      </c>
    </row>
    <row r="308" spans="1:2" x14ac:dyDescent="0.2">
      <c r="A308" s="40" t="s">
        <v>2684</v>
      </c>
      <c r="B308" s="40">
        <v>28</v>
      </c>
    </row>
    <row r="309" spans="1:2" x14ac:dyDescent="0.2">
      <c r="A309" s="40" t="s">
        <v>3434</v>
      </c>
      <c r="B309" s="40">
        <v>72</v>
      </c>
    </row>
    <row r="310" spans="1:2" x14ac:dyDescent="0.2">
      <c r="A310" s="40" t="s">
        <v>2810</v>
      </c>
      <c r="B310" s="40">
        <v>37</v>
      </c>
    </row>
    <row r="311" spans="1:2" x14ac:dyDescent="0.2">
      <c r="A311" s="40" t="s">
        <v>3119</v>
      </c>
      <c r="B311" s="40">
        <v>52</v>
      </c>
    </row>
    <row r="312" spans="1:2" x14ac:dyDescent="0.2">
      <c r="A312" s="40" t="s">
        <v>2996</v>
      </c>
      <c r="B312" s="40">
        <v>48</v>
      </c>
    </row>
    <row r="313" spans="1:2" x14ac:dyDescent="0.2">
      <c r="A313" s="40" t="s">
        <v>2541</v>
      </c>
      <c r="B313" s="40">
        <v>16</v>
      </c>
    </row>
    <row r="314" spans="1:2" x14ac:dyDescent="0.2">
      <c r="A314" s="40" t="s">
        <v>2445</v>
      </c>
      <c r="B314" s="40">
        <v>3</v>
      </c>
    </row>
    <row r="315" spans="1:2" x14ac:dyDescent="0.2">
      <c r="A315" s="40" t="s">
        <v>2630</v>
      </c>
      <c r="B315" s="40">
        <v>24</v>
      </c>
    </row>
    <row r="316" spans="1:2" x14ac:dyDescent="0.2">
      <c r="A316" s="40" t="s">
        <v>3092</v>
      </c>
      <c r="B316" s="40">
        <v>51</v>
      </c>
    </row>
    <row r="317" spans="1:2" x14ac:dyDescent="0.2">
      <c r="A317" s="40" t="s">
        <v>3393</v>
      </c>
      <c r="B317" s="40">
        <v>69</v>
      </c>
    </row>
    <row r="318" spans="1:2" x14ac:dyDescent="0.2">
      <c r="A318" s="40" t="s">
        <v>3093</v>
      </c>
      <c r="B318" s="40">
        <v>51</v>
      </c>
    </row>
    <row r="319" spans="1:2" x14ac:dyDescent="0.2">
      <c r="A319" s="40" t="s">
        <v>3023</v>
      </c>
      <c r="B319" s="40">
        <v>50</v>
      </c>
    </row>
    <row r="320" spans="1:2" x14ac:dyDescent="0.2">
      <c r="A320" s="40" t="s">
        <v>3189</v>
      </c>
      <c r="B320" s="40">
        <v>58</v>
      </c>
    </row>
    <row r="321" spans="1:2" x14ac:dyDescent="0.2">
      <c r="A321" s="40" t="s">
        <v>3189</v>
      </c>
      <c r="B321" s="40">
        <v>66</v>
      </c>
    </row>
    <row r="322" spans="1:2" x14ac:dyDescent="0.2">
      <c r="A322" s="40" t="s">
        <v>2589</v>
      </c>
      <c r="B322" s="40">
        <v>22</v>
      </c>
    </row>
    <row r="323" spans="1:2" x14ac:dyDescent="0.2">
      <c r="A323" s="40" t="s">
        <v>2503</v>
      </c>
      <c r="B323" s="40">
        <v>12</v>
      </c>
    </row>
    <row r="324" spans="1:2" x14ac:dyDescent="0.2">
      <c r="A324" s="40" t="s">
        <v>3024</v>
      </c>
      <c r="B324" s="40">
        <v>50</v>
      </c>
    </row>
    <row r="325" spans="1:2" x14ac:dyDescent="0.2">
      <c r="A325" s="40" t="s">
        <v>3245</v>
      </c>
      <c r="B325" s="40">
        <v>61</v>
      </c>
    </row>
    <row r="326" spans="1:2" x14ac:dyDescent="0.2">
      <c r="A326" s="40" t="s">
        <v>2631</v>
      </c>
      <c r="B326" s="40">
        <v>24</v>
      </c>
    </row>
    <row r="327" spans="1:2" x14ac:dyDescent="0.2">
      <c r="A327" s="40" t="s">
        <v>2631</v>
      </c>
      <c r="B327" s="40">
        <v>78</v>
      </c>
    </row>
    <row r="328" spans="1:2" x14ac:dyDescent="0.2">
      <c r="A328" s="40" t="s">
        <v>3496</v>
      </c>
      <c r="B328" s="40">
        <v>77</v>
      </c>
    </row>
    <row r="329" spans="1:2" x14ac:dyDescent="0.2">
      <c r="A329" s="40" t="s">
        <v>2853</v>
      </c>
      <c r="B329" s="40">
        <v>39</v>
      </c>
    </row>
    <row r="330" spans="1:2" x14ac:dyDescent="0.2">
      <c r="A330" s="40" t="s">
        <v>2542</v>
      </c>
      <c r="B330" s="40">
        <v>16</v>
      </c>
    </row>
    <row r="331" spans="1:2" x14ac:dyDescent="0.2">
      <c r="A331" s="40" t="s">
        <v>2662</v>
      </c>
      <c r="B331" s="40">
        <v>26</v>
      </c>
    </row>
    <row r="332" spans="1:2" x14ac:dyDescent="0.2">
      <c r="A332" s="40" t="s">
        <v>3246</v>
      </c>
      <c r="B332" s="40">
        <v>61</v>
      </c>
    </row>
    <row r="333" spans="1:2" x14ac:dyDescent="0.2">
      <c r="A333" s="40" t="s">
        <v>2685</v>
      </c>
      <c r="B333" s="40">
        <v>28</v>
      </c>
    </row>
    <row r="334" spans="1:2" x14ac:dyDescent="0.2">
      <c r="A334" s="40" t="s">
        <v>2833</v>
      </c>
      <c r="B334" s="40">
        <v>38</v>
      </c>
    </row>
    <row r="335" spans="1:2" x14ac:dyDescent="0.2">
      <c r="A335" s="40" t="s">
        <v>3450</v>
      </c>
      <c r="B335" s="40">
        <v>74</v>
      </c>
    </row>
    <row r="336" spans="1:2" x14ac:dyDescent="0.2">
      <c r="A336" s="40" t="s">
        <v>2724</v>
      </c>
      <c r="B336" s="40">
        <v>32</v>
      </c>
    </row>
    <row r="337" spans="1:2" x14ac:dyDescent="0.2">
      <c r="A337" s="40" t="s">
        <v>2590</v>
      </c>
      <c r="B337" s="40">
        <v>22</v>
      </c>
    </row>
    <row r="338" spans="1:2" x14ac:dyDescent="0.2">
      <c r="A338" s="40" t="s">
        <v>2706</v>
      </c>
      <c r="B338" s="40">
        <v>30</v>
      </c>
    </row>
    <row r="339" spans="1:2" x14ac:dyDescent="0.2">
      <c r="A339" s="40" t="s">
        <v>3394</v>
      </c>
      <c r="B339" s="40">
        <v>69</v>
      </c>
    </row>
    <row r="340" spans="1:2" x14ac:dyDescent="0.2">
      <c r="A340" s="40" t="s">
        <v>2919</v>
      </c>
      <c r="B340" s="40">
        <v>43</v>
      </c>
    </row>
    <row r="341" spans="1:2" x14ac:dyDescent="0.2">
      <c r="A341" s="40" t="s">
        <v>2970</v>
      </c>
      <c r="B341" s="40">
        <v>47</v>
      </c>
    </row>
    <row r="342" spans="1:2" x14ac:dyDescent="0.2">
      <c r="A342" s="40" t="s">
        <v>2811</v>
      </c>
      <c r="B342" s="40">
        <v>37</v>
      </c>
    </row>
    <row r="343" spans="1:2" x14ac:dyDescent="0.2">
      <c r="A343" s="40" t="s">
        <v>3025</v>
      </c>
      <c r="B343" s="40">
        <v>50</v>
      </c>
    </row>
    <row r="344" spans="1:2" x14ac:dyDescent="0.2">
      <c r="A344" s="40" t="s">
        <v>3332</v>
      </c>
      <c r="B344" s="40">
        <v>66</v>
      </c>
    </row>
    <row r="345" spans="1:2" x14ac:dyDescent="0.2">
      <c r="A345" s="40" t="s">
        <v>2632</v>
      </c>
      <c r="B345" s="40">
        <v>24</v>
      </c>
    </row>
    <row r="346" spans="1:2" x14ac:dyDescent="0.2">
      <c r="A346" s="40" t="s">
        <v>2561</v>
      </c>
      <c r="B346" s="40">
        <v>18</v>
      </c>
    </row>
    <row r="347" spans="1:2" x14ac:dyDescent="0.2">
      <c r="A347" s="40" t="s">
        <v>2453</v>
      </c>
      <c r="B347" s="40">
        <v>5</v>
      </c>
    </row>
    <row r="348" spans="1:2" x14ac:dyDescent="0.2">
      <c r="A348" s="40" t="s">
        <v>2663</v>
      </c>
      <c r="B348" s="40">
        <v>26</v>
      </c>
    </row>
    <row r="349" spans="1:2" x14ac:dyDescent="0.2">
      <c r="A349" s="40" t="s">
        <v>2633</v>
      </c>
      <c r="B349" s="40">
        <v>24</v>
      </c>
    </row>
    <row r="350" spans="1:2" x14ac:dyDescent="0.2">
      <c r="A350" s="40" t="s">
        <v>3441</v>
      </c>
      <c r="B350" s="40">
        <v>73</v>
      </c>
    </row>
    <row r="351" spans="1:2" x14ac:dyDescent="0.2">
      <c r="A351" s="40" t="s">
        <v>3552</v>
      </c>
      <c r="B351" s="40">
        <v>92</v>
      </c>
    </row>
    <row r="352" spans="1:2" x14ac:dyDescent="0.2">
      <c r="A352" s="40" t="s">
        <v>2507</v>
      </c>
      <c r="B352" s="40">
        <v>13</v>
      </c>
    </row>
    <row r="353" spans="1:2" x14ac:dyDescent="0.2">
      <c r="A353" s="40" t="s">
        <v>2495</v>
      </c>
      <c r="B353" s="40">
        <v>11</v>
      </c>
    </row>
    <row r="354" spans="1:2" x14ac:dyDescent="0.2">
      <c r="A354" s="40" t="s">
        <v>2664</v>
      </c>
      <c r="B354" s="40">
        <v>26</v>
      </c>
    </row>
    <row r="355" spans="1:2" x14ac:dyDescent="0.2">
      <c r="A355" s="40" t="s">
        <v>3333</v>
      </c>
      <c r="B355" s="40">
        <v>66</v>
      </c>
    </row>
    <row r="356" spans="1:2" x14ac:dyDescent="0.2">
      <c r="A356" s="40" t="s">
        <v>2834</v>
      </c>
      <c r="B356" s="40">
        <v>38</v>
      </c>
    </row>
    <row r="357" spans="1:2" x14ac:dyDescent="0.2">
      <c r="A357" s="40" t="s">
        <v>2835</v>
      </c>
      <c r="B357" s="40">
        <v>38</v>
      </c>
    </row>
    <row r="358" spans="1:2" x14ac:dyDescent="0.2">
      <c r="A358" s="40" t="s">
        <v>3162</v>
      </c>
      <c r="B358" s="40">
        <v>55</v>
      </c>
    </row>
    <row r="359" spans="1:2" x14ac:dyDescent="0.2">
      <c r="A359" s="40" t="s">
        <v>3150</v>
      </c>
      <c r="B359" s="40">
        <v>54</v>
      </c>
    </row>
    <row r="360" spans="1:2" x14ac:dyDescent="0.2">
      <c r="A360" s="40" t="s">
        <v>3026</v>
      </c>
      <c r="B360" s="40">
        <v>50</v>
      </c>
    </row>
    <row r="361" spans="1:2" x14ac:dyDescent="0.2">
      <c r="A361" s="40" t="s">
        <v>3027</v>
      </c>
      <c r="B361" s="40">
        <v>50</v>
      </c>
    </row>
    <row r="362" spans="1:2" x14ac:dyDescent="0.2">
      <c r="A362" s="40" t="s">
        <v>3435</v>
      </c>
      <c r="B362" s="40">
        <v>72</v>
      </c>
    </row>
    <row r="363" spans="1:2" x14ac:dyDescent="0.2">
      <c r="A363" s="40" t="s">
        <v>2430</v>
      </c>
      <c r="B363" s="40">
        <v>2</v>
      </c>
    </row>
    <row r="364" spans="1:2" x14ac:dyDescent="0.2">
      <c r="A364" s="40" t="s">
        <v>2504</v>
      </c>
      <c r="B364" s="40">
        <v>12</v>
      </c>
    </row>
    <row r="365" spans="1:2" x14ac:dyDescent="0.2">
      <c r="A365" s="40" t="s">
        <v>2783</v>
      </c>
      <c r="B365" s="40">
        <v>35</v>
      </c>
    </row>
    <row r="366" spans="1:2" x14ac:dyDescent="0.2">
      <c r="A366" s="40" t="s">
        <v>2543</v>
      </c>
      <c r="B366" s="40">
        <v>16</v>
      </c>
    </row>
    <row r="367" spans="1:2" x14ac:dyDescent="0.2">
      <c r="A367" s="40" t="s">
        <v>2798</v>
      </c>
      <c r="B367" s="40">
        <v>36</v>
      </c>
    </row>
    <row r="368" spans="1:2" x14ac:dyDescent="0.2">
      <c r="A368" s="40" t="s">
        <v>3163</v>
      </c>
      <c r="B368" s="40">
        <v>55</v>
      </c>
    </row>
    <row r="369" spans="1:2" x14ac:dyDescent="0.2">
      <c r="A369" s="40" t="s">
        <v>2763</v>
      </c>
      <c r="B369" s="40">
        <v>34</v>
      </c>
    </row>
    <row r="370" spans="1:2" x14ac:dyDescent="0.2">
      <c r="A370" s="40" t="s">
        <v>2854</v>
      </c>
      <c r="B370" s="40">
        <v>39</v>
      </c>
    </row>
    <row r="371" spans="1:2" x14ac:dyDescent="0.2">
      <c r="A371" s="40" t="s">
        <v>3291</v>
      </c>
      <c r="B371" s="40">
        <v>64</v>
      </c>
    </row>
    <row r="372" spans="1:2" x14ac:dyDescent="0.2">
      <c r="A372" s="40" t="s">
        <v>2901</v>
      </c>
      <c r="B372" s="40">
        <v>42</v>
      </c>
    </row>
    <row r="373" spans="1:2" x14ac:dyDescent="0.2">
      <c r="A373" s="40" t="s">
        <v>2877</v>
      </c>
      <c r="B373" s="40">
        <v>40</v>
      </c>
    </row>
    <row r="374" spans="1:2" x14ac:dyDescent="0.2">
      <c r="A374" s="40" t="s">
        <v>3395</v>
      </c>
      <c r="B374" s="40">
        <v>69</v>
      </c>
    </row>
    <row r="375" spans="1:2" x14ac:dyDescent="0.2">
      <c r="A375" s="40" t="s">
        <v>2562</v>
      </c>
      <c r="B375" s="40">
        <v>18</v>
      </c>
    </row>
    <row r="376" spans="1:2" x14ac:dyDescent="0.2">
      <c r="A376" s="40" t="s">
        <v>3190</v>
      </c>
      <c r="B376" s="40">
        <v>58</v>
      </c>
    </row>
    <row r="377" spans="1:2" x14ac:dyDescent="0.2">
      <c r="A377" s="40" t="s">
        <v>2971</v>
      </c>
      <c r="B377" s="40">
        <v>47</v>
      </c>
    </row>
    <row r="378" spans="1:2" x14ac:dyDescent="0.2">
      <c r="A378" s="40" t="s">
        <v>3334</v>
      </c>
      <c r="B378" s="40">
        <v>66</v>
      </c>
    </row>
    <row r="379" spans="1:2" ht="25.5" x14ac:dyDescent="0.2">
      <c r="A379" s="40" t="s">
        <v>3247</v>
      </c>
      <c r="B379" s="40">
        <v>61</v>
      </c>
    </row>
    <row r="380" spans="1:2" x14ac:dyDescent="0.2">
      <c r="A380" s="40" t="s">
        <v>2591</v>
      </c>
      <c r="B380" s="40">
        <v>22</v>
      </c>
    </row>
    <row r="381" spans="1:2" x14ac:dyDescent="0.2">
      <c r="A381" s="40" t="s">
        <v>2741</v>
      </c>
      <c r="B381" s="40">
        <v>33</v>
      </c>
    </row>
    <row r="382" spans="1:2" x14ac:dyDescent="0.2">
      <c r="A382" s="40" t="s">
        <v>2707</v>
      </c>
      <c r="B382" s="40">
        <v>30</v>
      </c>
    </row>
    <row r="383" spans="1:2" x14ac:dyDescent="0.2">
      <c r="A383" s="40" t="s">
        <v>2764</v>
      </c>
      <c r="B383" s="40">
        <v>34</v>
      </c>
    </row>
    <row r="384" spans="1:2" x14ac:dyDescent="0.2">
      <c r="A384" s="40" t="s">
        <v>3335</v>
      </c>
      <c r="B384" s="40">
        <v>66</v>
      </c>
    </row>
    <row r="385" spans="1:2" x14ac:dyDescent="0.2">
      <c r="A385" s="40" t="s">
        <v>2576</v>
      </c>
      <c r="B385" s="40">
        <v>21</v>
      </c>
    </row>
    <row r="386" spans="1:2" x14ac:dyDescent="0.2">
      <c r="A386" s="40" t="s">
        <v>3094</v>
      </c>
      <c r="B386" s="40">
        <v>51</v>
      </c>
    </row>
    <row r="387" spans="1:2" x14ac:dyDescent="0.2">
      <c r="A387" s="40" t="s">
        <v>2634</v>
      </c>
      <c r="B387" s="40">
        <v>24</v>
      </c>
    </row>
    <row r="388" spans="1:2" x14ac:dyDescent="0.2">
      <c r="A388" s="40" t="s">
        <v>2742</v>
      </c>
      <c r="B388" s="40">
        <v>33</v>
      </c>
    </row>
    <row r="389" spans="1:2" x14ac:dyDescent="0.2">
      <c r="A389" s="40" t="s">
        <v>3451</v>
      </c>
      <c r="B389" s="40">
        <v>74</v>
      </c>
    </row>
    <row r="390" spans="1:2" x14ac:dyDescent="0.2">
      <c r="A390" s="40" t="s">
        <v>2460</v>
      </c>
      <c r="B390" s="40">
        <v>6</v>
      </c>
    </row>
    <row r="391" spans="1:2" x14ac:dyDescent="0.2">
      <c r="A391" s="40" t="s">
        <v>3151</v>
      </c>
      <c r="B391" s="40">
        <v>54</v>
      </c>
    </row>
    <row r="392" spans="1:2" x14ac:dyDescent="0.2">
      <c r="A392" s="40" t="s">
        <v>2475</v>
      </c>
      <c r="B392" s="40">
        <v>9</v>
      </c>
    </row>
    <row r="393" spans="1:2" x14ac:dyDescent="0.2">
      <c r="A393" s="40" t="s">
        <v>2725</v>
      </c>
      <c r="B393" s="40">
        <v>32</v>
      </c>
    </row>
    <row r="394" spans="1:2" x14ac:dyDescent="0.2">
      <c r="A394" s="40" t="s">
        <v>3152</v>
      </c>
      <c r="B394" s="40">
        <v>54</v>
      </c>
    </row>
    <row r="395" spans="1:2" x14ac:dyDescent="0.2">
      <c r="A395" s="40" t="s">
        <v>2693</v>
      </c>
      <c r="B395" s="40">
        <v>29</v>
      </c>
    </row>
    <row r="396" spans="1:2" x14ac:dyDescent="0.2">
      <c r="A396" s="40" t="s">
        <v>3336</v>
      </c>
      <c r="B396" s="40">
        <v>66</v>
      </c>
    </row>
    <row r="397" spans="1:2" x14ac:dyDescent="0.2">
      <c r="A397" s="40" t="s">
        <v>3452</v>
      </c>
      <c r="B397" s="40">
        <v>74</v>
      </c>
    </row>
    <row r="398" spans="1:2" x14ac:dyDescent="0.2">
      <c r="A398" s="40" t="s">
        <v>3261</v>
      </c>
      <c r="B398" s="40">
        <v>62</v>
      </c>
    </row>
    <row r="399" spans="1:2" x14ac:dyDescent="0.2">
      <c r="A399" s="40" t="s">
        <v>3453</v>
      </c>
      <c r="B399" s="40">
        <v>74</v>
      </c>
    </row>
    <row r="400" spans="1:2" x14ac:dyDescent="0.2">
      <c r="A400" s="40" t="s">
        <v>2454</v>
      </c>
      <c r="B400" s="40">
        <v>5</v>
      </c>
    </row>
    <row r="401" spans="1:2" x14ac:dyDescent="0.2">
      <c r="A401" s="40" t="s">
        <v>3454</v>
      </c>
      <c r="B401" s="40">
        <v>74</v>
      </c>
    </row>
    <row r="402" spans="1:2" x14ac:dyDescent="0.2">
      <c r="A402" s="40" t="s">
        <v>2946</v>
      </c>
      <c r="B402" s="40">
        <v>45</v>
      </c>
    </row>
    <row r="403" spans="1:2" x14ac:dyDescent="0.2">
      <c r="A403" s="40" t="s">
        <v>3337</v>
      </c>
      <c r="B403" s="40">
        <v>66</v>
      </c>
    </row>
    <row r="404" spans="1:2" x14ac:dyDescent="0.2">
      <c r="A404" s="40" t="s">
        <v>3396</v>
      </c>
      <c r="B404" s="40">
        <v>69</v>
      </c>
    </row>
    <row r="405" spans="1:2" x14ac:dyDescent="0.2">
      <c r="A405" s="40" t="s">
        <v>3028</v>
      </c>
      <c r="B405" s="40">
        <v>50</v>
      </c>
    </row>
    <row r="406" spans="1:2" x14ac:dyDescent="0.2">
      <c r="A406" s="40" t="s">
        <v>3029</v>
      </c>
      <c r="B406" s="40">
        <v>50</v>
      </c>
    </row>
    <row r="407" spans="1:2" x14ac:dyDescent="0.2">
      <c r="A407" s="40" t="s">
        <v>3411</v>
      </c>
      <c r="B407" s="40">
        <v>70</v>
      </c>
    </row>
    <row r="408" spans="1:2" x14ac:dyDescent="0.2">
      <c r="A408" s="40" t="s">
        <v>2902</v>
      </c>
      <c r="B408" s="40">
        <v>42</v>
      </c>
    </row>
    <row r="409" spans="1:2" x14ac:dyDescent="0.2">
      <c r="A409" s="40" t="s">
        <v>2480</v>
      </c>
      <c r="B409" s="40">
        <v>10</v>
      </c>
    </row>
    <row r="410" spans="1:2" x14ac:dyDescent="0.2">
      <c r="A410" s="40" t="s">
        <v>3542</v>
      </c>
      <c r="B410" s="40">
        <v>91</v>
      </c>
    </row>
    <row r="411" spans="1:2" x14ac:dyDescent="0.2">
      <c r="A411" s="40" t="s">
        <v>3205</v>
      </c>
      <c r="B411" s="40">
        <v>59</v>
      </c>
    </row>
    <row r="412" spans="1:2" x14ac:dyDescent="0.2">
      <c r="A412" s="40" t="s">
        <v>2455</v>
      </c>
      <c r="B412" s="40">
        <v>5</v>
      </c>
    </row>
    <row r="413" spans="1:2" x14ac:dyDescent="0.2">
      <c r="A413" s="40" t="s">
        <v>2456</v>
      </c>
      <c r="B413" s="40">
        <v>5</v>
      </c>
    </row>
    <row r="414" spans="1:2" x14ac:dyDescent="0.2">
      <c r="A414" s="40" t="s">
        <v>3423</v>
      </c>
      <c r="B414" s="40">
        <v>71</v>
      </c>
    </row>
    <row r="415" spans="1:2" x14ac:dyDescent="0.2">
      <c r="A415" s="40" t="s">
        <v>3397</v>
      </c>
      <c r="B415" s="40">
        <v>69</v>
      </c>
    </row>
    <row r="416" spans="1:2" x14ac:dyDescent="0.2">
      <c r="A416" s="40" t="s">
        <v>2972</v>
      </c>
      <c r="B416" s="40">
        <v>47</v>
      </c>
    </row>
    <row r="417" spans="1:2" x14ac:dyDescent="0.2">
      <c r="A417" s="40" t="s">
        <v>3274</v>
      </c>
      <c r="B417" s="40">
        <v>63</v>
      </c>
    </row>
    <row r="418" spans="1:2" x14ac:dyDescent="0.2">
      <c r="A418" s="40" t="s">
        <v>2812</v>
      </c>
      <c r="B418" s="40">
        <v>37</v>
      </c>
    </row>
    <row r="419" spans="1:2" x14ac:dyDescent="0.2">
      <c r="A419" s="40" t="s">
        <v>3424</v>
      </c>
      <c r="B419" s="40">
        <v>71</v>
      </c>
    </row>
    <row r="420" spans="1:2" x14ac:dyDescent="0.2">
      <c r="A420" s="40" t="s">
        <v>2836</v>
      </c>
      <c r="B420" s="40">
        <v>38</v>
      </c>
    </row>
    <row r="421" spans="1:2" x14ac:dyDescent="0.2">
      <c r="A421" s="40" t="s">
        <v>2743</v>
      </c>
      <c r="B421" s="40">
        <v>33</v>
      </c>
    </row>
    <row r="422" spans="1:2" x14ac:dyDescent="0.2">
      <c r="A422" s="40" t="s">
        <v>2784</v>
      </c>
      <c r="B422" s="40">
        <v>35</v>
      </c>
    </row>
    <row r="423" spans="1:2" x14ac:dyDescent="0.2">
      <c r="A423" s="40" t="s">
        <v>2973</v>
      </c>
      <c r="B423" s="40">
        <v>47</v>
      </c>
    </row>
    <row r="424" spans="1:2" x14ac:dyDescent="0.2">
      <c r="A424" s="40" t="s">
        <v>2878</v>
      </c>
      <c r="B424" s="40">
        <v>40</v>
      </c>
    </row>
    <row r="425" spans="1:2" x14ac:dyDescent="0.2">
      <c r="A425" s="40" t="s">
        <v>2878</v>
      </c>
      <c r="B425" s="40">
        <v>43</v>
      </c>
    </row>
    <row r="426" spans="1:2" x14ac:dyDescent="0.2">
      <c r="A426" s="40" t="s">
        <v>3338</v>
      </c>
      <c r="B426" s="40">
        <v>66</v>
      </c>
    </row>
    <row r="427" spans="1:2" x14ac:dyDescent="0.2">
      <c r="A427" s="40" t="s">
        <v>2920</v>
      </c>
      <c r="B427" s="40">
        <v>43</v>
      </c>
    </row>
    <row r="428" spans="1:2" x14ac:dyDescent="0.2">
      <c r="A428" s="40" t="s">
        <v>2974</v>
      </c>
      <c r="B428" s="40">
        <v>47</v>
      </c>
    </row>
    <row r="429" spans="1:2" x14ac:dyDescent="0.2">
      <c r="A429" s="40" t="s">
        <v>2974</v>
      </c>
      <c r="B429" s="40">
        <v>51</v>
      </c>
    </row>
    <row r="430" spans="1:2" x14ac:dyDescent="0.2">
      <c r="A430" s="40" t="s">
        <v>2921</v>
      </c>
      <c r="B430" s="40">
        <v>43</v>
      </c>
    </row>
    <row r="431" spans="1:2" x14ac:dyDescent="0.2">
      <c r="A431" s="40" t="s">
        <v>3380</v>
      </c>
      <c r="B431" s="40">
        <v>68</v>
      </c>
    </row>
    <row r="432" spans="1:2" x14ac:dyDescent="0.2">
      <c r="A432" s="40" t="s">
        <v>2903</v>
      </c>
      <c r="B432" s="40">
        <v>42</v>
      </c>
    </row>
    <row r="433" spans="1:2" x14ac:dyDescent="0.2">
      <c r="A433" s="40" t="s">
        <v>2665</v>
      </c>
      <c r="B433" s="40">
        <v>26</v>
      </c>
    </row>
    <row r="434" spans="1:2" x14ac:dyDescent="0.2">
      <c r="A434" s="40" t="s">
        <v>3030</v>
      </c>
      <c r="B434" s="40">
        <v>50</v>
      </c>
    </row>
    <row r="435" spans="1:2" x14ac:dyDescent="0.2">
      <c r="A435" s="40" t="s">
        <v>3031</v>
      </c>
      <c r="B435" s="40">
        <v>50</v>
      </c>
    </row>
    <row r="436" spans="1:2" x14ac:dyDescent="0.2">
      <c r="A436" s="40" t="s">
        <v>2726</v>
      </c>
      <c r="B436" s="40">
        <v>32</v>
      </c>
    </row>
    <row r="437" spans="1:2" x14ac:dyDescent="0.2">
      <c r="A437" s="40" t="s">
        <v>3120</v>
      </c>
      <c r="B437" s="40">
        <v>52</v>
      </c>
    </row>
    <row r="438" spans="1:2" x14ac:dyDescent="0.2">
      <c r="A438" s="40" t="s">
        <v>3095</v>
      </c>
      <c r="B438" s="40">
        <v>51</v>
      </c>
    </row>
    <row r="439" spans="1:2" x14ac:dyDescent="0.2">
      <c r="A439" s="40" t="s">
        <v>2744</v>
      </c>
      <c r="B439" s="40">
        <v>33</v>
      </c>
    </row>
    <row r="440" spans="1:2" x14ac:dyDescent="0.2">
      <c r="A440" s="40" t="s">
        <v>2508</v>
      </c>
      <c r="B440" s="40">
        <v>13</v>
      </c>
    </row>
    <row r="441" spans="1:2" x14ac:dyDescent="0.2">
      <c r="A441" s="40" t="s">
        <v>3510</v>
      </c>
      <c r="B441" s="40">
        <v>86</v>
      </c>
    </row>
    <row r="442" spans="1:2" x14ac:dyDescent="0.2">
      <c r="A442" s="40" t="s">
        <v>2635</v>
      </c>
      <c r="B442" s="40">
        <v>24</v>
      </c>
    </row>
    <row r="443" spans="1:2" x14ac:dyDescent="0.2">
      <c r="A443" s="40" t="s">
        <v>2879</v>
      </c>
      <c r="B443" s="40">
        <v>40</v>
      </c>
    </row>
    <row r="444" spans="1:2" x14ac:dyDescent="0.2">
      <c r="A444" s="40" t="s">
        <v>2577</v>
      </c>
      <c r="B444" s="40">
        <v>21</v>
      </c>
    </row>
    <row r="445" spans="1:2" x14ac:dyDescent="0.2">
      <c r="A445" s="40" t="s">
        <v>2505</v>
      </c>
      <c r="B445" s="40">
        <v>12</v>
      </c>
    </row>
    <row r="446" spans="1:2" x14ac:dyDescent="0.2">
      <c r="A446" s="40" t="s">
        <v>3096</v>
      </c>
      <c r="B446" s="40">
        <v>51</v>
      </c>
    </row>
    <row r="447" spans="1:2" x14ac:dyDescent="0.2">
      <c r="A447" s="40" t="s">
        <v>2936</v>
      </c>
      <c r="B447" s="40">
        <v>44</v>
      </c>
    </row>
    <row r="448" spans="1:2" x14ac:dyDescent="0.2">
      <c r="A448" s="40" t="s">
        <v>3032</v>
      </c>
      <c r="B448" s="40">
        <v>50</v>
      </c>
    </row>
    <row r="449" spans="1:2" x14ac:dyDescent="0.2">
      <c r="A449" s="40" t="s">
        <v>3412</v>
      </c>
      <c r="B449" s="40">
        <v>70</v>
      </c>
    </row>
    <row r="450" spans="1:2" x14ac:dyDescent="0.2">
      <c r="A450" s="40" t="s">
        <v>3499</v>
      </c>
      <c r="B450" s="40">
        <v>78</v>
      </c>
    </row>
    <row r="451" spans="1:2" x14ac:dyDescent="0.2">
      <c r="A451" s="40" t="s">
        <v>2745</v>
      </c>
      <c r="B451" s="40">
        <v>33</v>
      </c>
    </row>
    <row r="452" spans="1:2" x14ac:dyDescent="0.2">
      <c r="A452" s="40" t="s">
        <v>2975</v>
      </c>
      <c r="B452" s="40">
        <v>47</v>
      </c>
    </row>
    <row r="453" spans="1:2" x14ac:dyDescent="0.2">
      <c r="A453" s="40" t="s">
        <v>2813</v>
      </c>
      <c r="B453" s="40">
        <v>37</v>
      </c>
    </row>
    <row r="454" spans="1:2" ht="25.5" x14ac:dyDescent="0.2">
      <c r="A454" s="40" t="s">
        <v>2679</v>
      </c>
      <c r="B454" s="40">
        <v>27</v>
      </c>
    </row>
    <row r="455" spans="1:2" x14ac:dyDescent="0.2">
      <c r="A455" s="40" t="s">
        <v>3398</v>
      </c>
      <c r="B455" s="40">
        <v>69</v>
      </c>
    </row>
    <row r="456" spans="1:2" x14ac:dyDescent="0.2">
      <c r="A456" s="40" t="s">
        <v>2481</v>
      </c>
      <c r="B456" s="40">
        <v>10</v>
      </c>
    </row>
    <row r="457" spans="1:2" x14ac:dyDescent="0.2">
      <c r="A457" s="40" t="s">
        <v>2880</v>
      </c>
      <c r="B457" s="40">
        <v>40</v>
      </c>
    </row>
    <row r="458" spans="1:2" x14ac:dyDescent="0.2">
      <c r="A458" s="40" t="s">
        <v>3248</v>
      </c>
      <c r="B458" s="40">
        <v>61</v>
      </c>
    </row>
    <row r="459" spans="1:2" x14ac:dyDescent="0.2">
      <c r="A459" s="40" t="s">
        <v>3455</v>
      </c>
      <c r="B459" s="40">
        <v>74</v>
      </c>
    </row>
    <row r="460" spans="1:2" x14ac:dyDescent="0.2">
      <c r="A460" s="40" t="s">
        <v>3262</v>
      </c>
      <c r="B460" s="40">
        <v>62</v>
      </c>
    </row>
    <row r="461" spans="1:2" x14ac:dyDescent="0.2">
      <c r="A461" s="40" t="s">
        <v>2605</v>
      </c>
      <c r="B461" s="40">
        <v>23</v>
      </c>
    </row>
    <row r="462" spans="1:2" x14ac:dyDescent="0.2">
      <c r="A462" s="40" t="s">
        <v>3456</v>
      </c>
      <c r="B462" s="40">
        <v>74</v>
      </c>
    </row>
    <row r="463" spans="1:2" x14ac:dyDescent="0.2">
      <c r="A463" s="40" t="s">
        <v>3033</v>
      </c>
      <c r="B463" s="40">
        <v>50</v>
      </c>
    </row>
    <row r="464" spans="1:2" x14ac:dyDescent="0.2">
      <c r="A464" s="40" t="s">
        <v>2716</v>
      </c>
      <c r="B464" s="40">
        <v>31</v>
      </c>
    </row>
    <row r="465" spans="1:2" x14ac:dyDescent="0.2">
      <c r="A465" s="40" t="s">
        <v>3307</v>
      </c>
      <c r="B465" s="40">
        <v>65</v>
      </c>
    </row>
    <row r="466" spans="1:2" x14ac:dyDescent="0.2">
      <c r="A466" s="40" t="s">
        <v>2694</v>
      </c>
      <c r="B466" s="40">
        <v>29</v>
      </c>
    </row>
    <row r="467" spans="1:2" x14ac:dyDescent="0.2">
      <c r="A467" s="40" t="s">
        <v>2746</v>
      </c>
      <c r="B467" s="40">
        <v>33</v>
      </c>
    </row>
    <row r="468" spans="1:2" x14ac:dyDescent="0.2">
      <c r="A468" s="40" t="s">
        <v>2482</v>
      </c>
      <c r="B468" s="40">
        <v>10</v>
      </c>
    </row>
    <row r="469" spans="1:2" x14ac:dyDescent="0.2">
      <c r="A469" s="40" t="s">
        <v>2937</v>
      </c>
      <c r="B469" s="40">
        <v>44</v>
      </c>
    </row>
    <row r="470" spans="1:2" x14ac:dyDescent="0.2">
      <c r="A470" s="40" t="s">
        <v>3034</v>
      </c>
      <c r="B470" s="40">
        <v>50</v>
      </c>
    </row>
    <row r="471" spans="1:2" x14ac:dyDescent="0.2">
      <c r="A471" s="40" t="s">
        <v>2765</v>
      </c>
      <c r="B471" s="40">
        <v>34</v>
      </c>
    </row>
    <row r="472" spans="1:2" x14ac:dyDescent="0.2">
      <c r="A472" s="40" t="s">
        <v>2922</v>
      </c>
      <c r="B472" s="40">
        <v>43</v>
      </c>
    </row>
    <row r="473" spans="1:2" x14ac:dyDescent="0.2">
      <c r="A473" s="40" t="s">
        <v>2695</v>
      </c>
      <c r="B473" s="40">
        <v>29</v>
      </c>
    </row>
    <row r="474" spans="1:2" x14ac:dyDescent="0.2">
      <c r="A474" s="40" t="s">
        <v>2766</v>
      </c>
      <c r="B474" s="40">
        <v>34</v>
      </c>
    </row>
    <row r="475" spans="1:2" x14ac:dyDescent="0.2">
      <c r="A475" s="40" t="s">
        <v>3381</v>
      </c>
      <c r="B475" s="40">
        <v>68</v>
      </c>
    </row>
    <row r="476" spans="1:2" x14ac:dyDescent="0.2">
      <c r="A476" s="40" t="s">
        <v>2814</v>
      </c>
      <c r="B476" s="40">
        <v>37</v>
      </c>
    </row>
    <row r="477" spans="1:2" x14ac:dyDescent="0.2">
      <c r="A477" s="40" t="s">
        <v>2785</v>
      </c>
      <c r="B477" s="40">
        <v>35</v>
      </c>
    </row>
    <row r="478" spans="1:2" x14ac:dyDescent="0.2">
      <c r="A478" s="40" t="s">
        <v>3035</v>
      </c>
      <c r="B478" s="40">
        <v>50</v>
      </c>
    </row>
    <row r="479" spans="1:2" x14ac:dyDescent="0.2">
      <c r="A479" s="40" t="s">
        <v>3035</v>
      </c>
      <c r="B479" s="40">
        <v>64</v>
      </c>
    </row>
    <row r="480" spans="1:2" x14ac:dyDescent="0.2">
      <c r="A480" s="40" t="s">
        <v>3206</v>
      </c>
      <c r="B480" s="40">
        <v>59</v>
      </c>
    </row>
    <row r="481" spans="1:2" x14ac:dyDescent="0.2">
      <c r="A481" s="40" t="s">
        <v>3036</v>
      </c>
      <c r="B481" s="40">
        <v>50</v>
      </c>
    </row>
    <row r="482" spans="1:2" x14ac:dyDescent="0.2">
      <c r="A482" s="40" t="s">
        <v>2606</v>
      </c>
      <c r="B482" s="40">
        <v>23</v>
      </c>
    </row>
    <row r="483" spans="1:2" x14ac:dyDescent="0.2">
      <c r="A483" s="40" t="s">
        <v>3500</v>
      </c>
      <c r="B483" s="40">
        <v>78</v>
      </c>
    </row>
    <row r="484" spans="1:2" x14ac:dyDescent="0.2">
      <c r="A484" s="40" t="s">
        <v>3037</v>
      </c>
      <c r="B484" s="40">
        <v>50</v>
      </c>
    </row>
    <row r="485" spans="1:2" x14ac:dyDescent="0.2">
      <c r="A485" s="40" t="s">
        <v>2855</v>
      </c>
      <c r="B485" s="40">
        <v>39</v>
      </c>
    </row>
    <row r="486" spans="1:2" x14ac:dyDescent="0.2">
      <c r="A486" s="40" t="s">
        <v>2855</v>
      </c>
      <c r="B486" s="40">
        <v>50</v>
      </c>
    </row>
    <row r="487" spans="1:2" x14ac:dyDescent="0.2">
      <c r="A487" s="40" t="s">
        <v>3477</v>
      </c>
      <c r="B487" s="40">
        <v>75</v>
      </c>
    </row>
    <row r="488" spans="1:2" x14ac:dyDescent="0.2">
      <c r="A488" s="40" t="s">
        <v>3207</v>
      </c>
      <c r="B488" s="40">
        <v>59</v>
      </c>
    </row>
    <row r="489" spans="1:2" x14ac:dyDescent="0.2">
      <c r="A489" s="40" t="s">
        <v>3543</v>
      </c>
      <c r="B489" s="40">
        <v>91</v>
      </c>
    </row>
    <row r="490" spans="1:2" x14ac:dyDescent="0.2">
      <c r="A490" s="40" t="s">
        <v>3543</v>
      </c>
      <c r="B490" s="40">
        <v>91</v>
      </c>
    </row>
    <row r="491" spans="1:2" x14ac:dyDescent="0.2">
      <c r="A491" s="40" t="s">
        <v>2509</v>
      </c>
      <c r="B491" s="40">
        <v>13</v>
      </c>
    </row>
    <row r="492" spans="1:2" x14ac:dyDescent="0.2">
      <c r="A492" s="40" t="s">
        <v>2509</v>
      </c>
      <c r="B492" s="40">
        <v>34</v>
      </c>
    </row>
    <row r="493" spans="1:2" x14ac:dyDescent="0.2">
      <c r="A493" s="40" t="s">
        <v>3339</v>
      </c>
      <c r="B493" s="40">
        <v>66</v>
      </c>
    </row>
    <row r="494" spans="1:2" x14ac:dyDescent="0.2">
      <c r="A494" s="40" t="s">
        <v>3340</v>
      </c>
      <c r="B494" s="40">
        <v>66</v>
      </c>
    </row>
    <row r="495" spans="1:2" x14ac:dyDescent="0.2">
      <c r="A495" s="40" t="s">
        <v>3341</v>
      </c>
      <c r="B495" s="40">
        <v>66</v>
      </c>
    </row>
    <row r="496" spans="1:2" x14ac:dyDescent="0.2">
      <c r="A496" s="40" t="s">
        <v>2636</v>
      </c>
      <c r="B496" s="40">
        <v>24</v>
      </c>
    </row>
    <row r="497" spans="1:2" x14ac:dyDescent="0.2">
      <c r="A497" s="40" t="s">
        <v>3292</v>
      </c>
      <c r="B497" s="40">
        <v>64</v>
      </c>
    </row>
    <row r="498" spans="1:2" x14ac:dyDescent="0.2">
      <c r="A498" s="40" t="s">
        <v>3249</v>
      </c>
      <c r="B498" s="40">
        <v>61</v>
      </c>
    </row>
    <row r="499" spans="1:2" x14ac:dyDescent="0.2">
      <c r="A499" s="40" t="s">
        <v>3399</v>
      </c>
      <c r="B499" s="40">
        <v>69</v>
      </c>
    </row>
    <row r="500" spans="1:2" x14ac:dyDescent="0.2">
      <c r="A500" s="40" t="s">
        <v>2881</v>
      </c>
      <c r="B500" s="40">
        <v>40</v>
      </c>
    </row>
    <row r="501" spans="1:2" x14ac:dyDescent="0.2">
      <c r="A501" s="40" t="s">
        <v>3501</v>
      </c>
      <c r="B501" s="40">
        <v>78</v>
      </c>
    </row>
    <row r="502" spans="1:2" x14ac:dyDescent="0.2">
      <c r="A502" s="40" t="s">
        <v>2607</v>
      </c>
      <c r="B502" s="40">
        <v>23</v>
      </c>
    </row>
    <row r="503" spans="1:2" x14ac:dyDescent="0.2">
      <c r="A503" s="40" t="s">
        <v>2608</v>
      </c>
      <c r="B503" s="40">
        <v>23</v>
      </c>
    </row>
    <row r="504" spans="1:2" x14ac:dyDescent="0.2">
      <c r="A504" s="40" t="s">
        <v>3121</v>
      </c>
      <c r="B504" s="40">
        <v>52</v>
      </c>
    </row>
    <row r="505" spans="1:2" x14ac:dyDescent="0.2">
      <c r="A505" s="40" t="s">
        <v>3038</v>
      </c>
      <c r="B505" s="40">
        <v>50</v>
      </c>
    </row>
    <row r="506" spans="1:2" x14ac:dyDescent="0.2">
      <c r="A506" s="40" t="s">
        <v>3172</v>
      </c>
      <c r="B506" s="40">
        <v>56</v>
      </c>
    </row>
    <row r="507" spans="1:2" x14ac:dyDescent="0.2">
      <c r="A507" s="40" t="s">
        <v>3400</v>
      </c>
      <c r="B507" s="40">
        <v>69</v>
      </c>
    </row>
    <row r="508" spans="1:2" x14ac:dyDescent="0.2">
      <c r="A508" s="40" t="s">
        <v>3208</v>
      </c>
      <c r="B508" s="40">
        <v>59</v>
      </c>
    </row>
    <row r="509" spans="1:2" x14ac:dyDescent="0.2">
      <c r="A509" s="40" t="s">
        <v>3191</v>
      </c>
      <c r="B509" s="40">
        <v>58</v>
      </c>
    </row>
    <row r="510" spans="1:2" x14ac:dyDescent="0.2">
      <c r="A510" s="40" t="s">
        <v>3192</v>
      </c>
      <c r="B510" s="40">
        <v>58</v>
      </c>
    </row>
    <row r="511" spans="1:2" x14ac:dyDescent="0.2">
      <c r="A511" s="40" t="s">
        <v>3193</v>
      </c>
      <c r="B511" s="40">
        <v>58</v>
      </c>
    </row>
    <row r="512" spans="1:2" x14ac:dyDescent="0.2">
      <c r="A512" s="40" t="s">
        <v>3153</v>
      </c>
      <c r="B512" s="40">
        <v>54</v>
      </c>
    </row>
    <row r="513" spans="1:2" x14ac:dyDescent="0.2">
      <c r="A513" s="40" t="s">
        <v>3122</v>
      </c>
      <c r="B513" s="40">
        <v>52</v>
      </c>
    </row>
    <row r="514" spans="1:2" x14ac:dyDescent="0.2">
      <c r="A514" s="40" t="s">
        <v>2431</v>
      </c>
      <c r="B514" s="40">
        <v>2</v>
      </c>
    </row>
    <row r="515" spans="1:2" x14ac:dyDescent="0.2">
      <c r="A515" s="40" t="s">
        <v>3209</v>
      </c>
      <c r="B515" s="40">
        <v>59</v>
      </c>
    </row>
    <row r="516" spans="1:2" x14ac:dyDescent="0.2">
      <c r="A516" s="40" t="s">
        <v>3154</v>
      </c>
      <c r="B516" s="40">
        <v>54</v>
      </c>
    </row>
    <row r="517" spans="1:2" x14ac:dyDescent="0.2">
      <c r="A517" s="40" t="s">
        <v>2947</v>
      </c>
      <c r="B517" s="40">
        <v>45</v>
      </c>
    </row>
    <row r="518" spans="1:2" x14ac:dyDescent="0.2">
      <c r="A518" s="40" t="s">
        <v>2609</v>
      </c>
      <c r="B518" s="40">
        <v>23</v>
      </c>
    </row>
    <row r="519" spans="1:2" x14ac:dyDescent="0.2">
      <c r="A519" s="40" t="s">
        <v>3308</v>
      </c>
      <c r="B519" s="40">
        <v>65</v>
      </c>
    </row>
    <row r="520" spans="1:2" x14ac:dyDescent="0.2">
      <c r="A520" s="40" t="s">
        <v>2747</v>
      </c>
      <c r="B520" s="40">
        <v>33</v>
      </c>
    </row>
    <row r="521" spans="1:2" x14ac:dyDescent="0.2">
      <c r="A521" s="40" t="s">
        <v>3039</v>
      </c>
      <c r="B521" s="40">
        <v>50</v>
      </c>
    </row>
    <row r="522" spans="1:2" x14ac:dyDescent="0.2">
      <c r="A522" s="40" t="s">
        <v>2955</v>
      </c>
      <c r="B522" s="40">
        <v>46</v>
      </c>
    </row>
    <row r="523" spans="1:2" x14ac:dyDescent="0.2">
      <c r="A523" s="40" t="s">
        <v>2948</v>
      </c>
      <c r="B523" s="40">
        <v>45</v>
      </c>
    </row>
    <row r="524" spans="1:2" x14ac:dyDescent="0.2">
      <c r="A524" s="40" t="s">
        <v>2956</v>
      </c>
      <c r="B524" s="40">
        <v>46</v>
      </c>
    </row>
    <row r="525" spans="1:2" x14ac:dyDescent="0.2">
      <c r="A525" s="40" t="s">
        <v>3457</v>
      </c>
      <c r="B525" s="40">
        <v>74</v>
      </c>
    </row>
    <row r="526" spans="1:2" x14ac:dyDescent="0.2">
      <c r="A526" s="40" t="s">
        <v>3342</v>
      </c>
      <c r="B526" s="40">
        <v>66</v>
      </c>
    </row>
    <row r="527" spans="1:2" x14ac:dyDescent="0.2">
      <c r="A527" s="40" t="s">
        <v>2555</v>
      </c>
      <c r="B527" s="40">
        <v>17</v>
      </c>
    </row>
    <row r="528" spans="1:2" x14ac:dyDescent="0.2">
      <c r="A528" s="40" t="s">
        <v>3458</v>
      </c>
      <c r="B528" s="40">
        <v>74</v>
      </c>
    </row>
    <row r="529" spans="1:2" x14ac:dyDescent="0.2">
      <c r="A529" s="40" t="s">
        <v>2446</v>
      </c>
      <c r="B529" s="40">
        <v>3</v>
      </c>
    </row>
    <row r="530" spans="1:2" x14ac:dyDescent="0.2">
      <c r="A530" s="40" t="s">
        <v>2610</v>
      </c>
      <c r="B530" s="40">
        <v>23</v>
      </c>
    </row>
    <row r="531" spans="1:2" x14ac:dyDescent="0.2">
      <c r="A531" s="40" t="s">
        <v>3528</v>
      </c>
      <c r="B531" s="40">
        <v>89</v>
      </c>
    </row>
    <row r="532" spans="1:2" x14ac:dyDescent="0.2">
      <c r="A532" s="40" t="s">
        <v>2473</v>
      </c>
      <c r="B532" s="40">
        <v>8</v>
      </c>
    </row>
    <row r="533" spans="1:2" x14ac:dyDescent="0.2">
      <c r="A533" s="40" t="s">
        <v>2856</v>
      </c>
      <c r="B533" s="40">
        <v>39</v>
      </c>
    </row>
    <row r="534" spans="1:2" x14ac:dyDescent="0.2">
      <c r="A534" s="40" t="s">
        <v>2544</v>
      </c>
      <c r="B534" s="40">
        <v>16</v>
      </c>
    </row>
    <row r="535" spans="1:2" x14ac:dyDescent="0.2">
      <c r="A535" s="40" t="s">
        <v>2748</v>
      </c>
      <c r="B535" s="40">
        <v>33</v>
      </c>
    </row>
    <row r="536" spans="1:2" x14ac:dyDescent="0.2">
      <c r="A536" s="40" t="s">
        <v>3511</v>
      </c>
      <c r="B536" s="40">
        <v>86</v>
      </c>
    </row>
    <row r="537" spans="1:2" x14ac:dyDescent="0.2">
      <c r="A537" s="40" t="s">
        <v>2483</v>
      </c>
      <c r="B537" s="40">
        <v>10</v>
      </c>
    </row>
    <row r="538" spans="1:2" x14ac:dyDescent="0.2">
      <c r="A538" s="40" t="s">
        <v>2997</v>
      </c>
      <c r="B538" s="40">
        <v>48</v>
      </c>
    </row>
    <row r="539" spans="1:2" x14ac:dyDescent="0.2">
      <c r="A539" s="40" t="s">
        <v>2545</v>
      </c>
      <c r="B539" s="40">
        <v>16</v>
      </c>
    </row>
    <row r="540" spans="1:2" x14ac:dyDescent="0.2">
      <c r="A540" s="40" t="s">
        <v>2767</v>
      </c>
      <c r="B540" s="40">
        <v>34</v>
      </c>
    </row>
    <row r="541" spans="1:2" x14ac:dyDescent="0.2">
      <c r="A541" s="40" t="s">
        <v>2904</v>
      </c>
      <c r="B541" s="40">
        <v>42</v>
      </c>
    </row>
    <row r="542" spans="1:2" x14ac:dyDescent="0.2">
      <c r="A542" s="40" t="s">
        <v>2516</v>
      </c>
      <c r="B542" s="40">
        <v>14</v>
      </c>
    </row>
    <row r="543" spans="1:2" x14ac:dyDescent="0.2">
      <c r="A543" s="40" t="s">
        <v>2666</v>
      </c>
      <c r="B543" s="40">
        <v>26</v>
      </c>
    </row>
    <row r="544" spans="1:2" x14ac:dyDescent="0.2">
      <c r="A544" s="40" t="s">
        <v>3343</v>
      </c>
      <c r="B544" s="40">
        <v>66</v>
      </c>
    </row>
    <row r="545" spans="1:2" x14ac:dyDescent="0.2">
      <c r="A545" s="40" t="s">
        <v>2651</v>
      </c>
      <c r="B545" s="40">
        <v>25</v>
      </c>
    </row>
    <row r="546" spans="1:2" x14ac:dyDescent="0.2">
      <c r="A546" s="40" t="s">
        <v>2637</v>
      </c>
      <c r="B546" s="40">
        <v>24</v>
      </c>
    </row>
    <row r="547" spans="1:2" x14ac:dyDescent="0.2">
      <c r="A547" s="40" t="s">
        <v>3182</v>
      </c>
      <c r="B547" s="40">
        <v>57</v>
      </c>
    </row>
    <row r="548" spans="1:2" x14ac:dyDescent="0.2">
      <c r="A548" s="40" t="s">
        <v>3040</v>
      </c>
      <c r="B548" s="40">
        <v>50</v>
      </c>
    </row>
    <row r="549" spans="1:2" x14ac:dyDescent="0.2">
      <c r="A549" s="40" t="s">
        <v>2998</v>
      </c>
      <c r="B549" s="40">
        <v>48</v>
      </c>
    </row>
    <row r="550" spans="1:2" x14ac:dyDescent="0.2">
      <c r="A550" s="40" t="s">
        <v>3425</v>
      </c>
      <c r="B550" s="40">
        <v>71</v>
      </c>
    </row>
    <row r="551" spans="1:2" x14ac:dyDescent="0.2">
      <c r="A551" s="40" t="s">
        <v>2799</v>
      </c>
      <c r="B551" s="40">
        <v>36</v>
      </c>
    </row>
    <row r="552" spans="1:2" x14ac:dyDescent="0.2">
      <c r="A552" s="40" t="s">
        <v>3401</v>
      </c>
      <c r="B552" s="40">
        <v>69</v>
      </c>
    </row>
    <row r="553" spans="1:2" x14ac:dyDescent="0.2">
      <c r="A553" s="40" t="s">
        <v>3041</v>
      </c>
      <c r="B553" s="40">
        <v>50</v>
      </c>
    </row>
    <row r="554" spans="1:2" x14ac:dyDescent="0.2">
      <c r="A554" s="40" t="s">
        <v>2976</v>
      </c>
      <c r="B554" s="40">
        <v>47</v>
      </c>
    </row>
    <row r="555" spans="1:2" x14ac:dyDescent="0.2">
      <c r="A555" s="40" t="s">
        <v>3502</v>
      </c>
      <c r="B555" s="40">
        <v>78</v>
      </c>
    </row>
    <row r="556" spans="1:2" x14ac:dyDescent="0.2">
      <c r="A556" s="40" t="s">
        <v>3042</v>
      </c>
      <c r="B556" s="40">
        <v>50</v>
      </c>
    </row>
    <row r="557" spans="1:2" x14ac:dyDescent="0.2">
      <c r="A557" s="40" t="s">
        <v>2977</v>
      </c>
      <c r="B557" s="40">
        <v>47</v>
      </c>
    </row>
    <row r="558" spans="1:2" x14ac:dyDescent="0.2">
      <c r="A558" s="40" t="s">
        <v>2923</v>
      </c>
      <c r="B558" s="40">
        <v>43</v>
      </c>
    </row>
    <row r="559" spans="1:2" x14ac:dyDescent="0.2">
      <c r="A559" s="40" t="s">
        <v>3123</v>
      </c>
      <c r="B559" s="40">
        <v>52</v>
      </c>
    </row>
    <row r="560" spans="1:2" x14ac:dyDescent="0.2">
      <c r="A560" s="40" t="s">
        <v>3043</v>
      </c>
      <c r="B560" s="40">
        <v>50</v>
      </c>
    </row>
    <row r="561" spans="1:2" x14ac:dyDescent="0.2">
      <c r="A561" s="40" t="s">
        <v>3124</v>
      </c>
      <c r="B561" s="40">
        <v>52</v>
      </c>
    </row>
    <row r="562" spans="1:2" x14ac:dyDescent="0.2">
      <c r="A562" s="40" t="s">
        <v>3210</v>
      </c>
      <c r="B562" s="40">
        <v>59</v>
      </c>
    </row>
    <row r="563" spans="1:2" x14ac:dyDescent="0.2">
      <c r="A563" s="40" t="s">
        <v>3044</v>
      </c>
      <c r="B563" s="40">
        <v>50</v>
      </c>
    </row>
    <row r="564" spans="1:2" x14ac:dyDescent="0.2">
      <c r="A564" s="40" t="s">
        <v>2957</v>
      </c>
      <c r="B564" s="40">
        <v>46</v>
      </c>
    </row>
    <row r="565" spans="1:2" x14ac:dyDescent="0.2">
      <c r="A565" s="40" t="s">
        <v>2978</v>
      </c>
      <c r="B565" s="40">
        <v>47</v>
      </c>
    </row>
    <row r="566" spans="1:2" x14ac:dyDescent="0.2">
      <c r="A566" s="40" t="s">
        <v>3045</v>
      </c>
      <c r="B566" s="40">
        <v>50</v>
      </c>
    </row>
    <row r="567" spans="1:2" x14ac:dyDescent="0.2">
      <c r="A567" s="40" t="s">
        <v>3487</v>
      </c>
      <c r="B567" s="40">
        <v>76</v>
      </c>
    </row>
    <row r="568" spans="1:2" x14ac:dyDescent="0.2">
      <c r="A568" s="40" t="s">
        <v>2882</v>
      </c>
      <c r="B568" s="40">
        <v>40</v>
      </c>
    </row>
    <row r="569" spans="1:2" x14ac:dyDescent="0.2">
      <c r="A569" s="40" t="s">
        <v>3512</v>
      </c>
      <c r="B569" s="40">
        <v>86</v>
      </c>
    </row>
    <row r="570" spans="1:2" x14ac:dyDescent="0.2">
      <c r="A570" s="40" t="s">
        <v>3001</v>
      </c>
      <c r="B570" s="40">
        <v>49</v>
      </c>
    </row>
    <row r="571" spans="1:2" x14ac:dyDescent="0.2">
      <c r="A571" s="40" t="s">
        <v>2461</v>
      </c>
      <c r="B571" s="40">
        <v>6</v>
      </c>
    </row>
    <row r="572" spans="1:2" x14ac:dyDescent="0.2">
      <c r="A572" s="40" t="s">
        <v>3459</v>
      </c>
      <c r="B572" s="40">
        <v>74</v>
      </c>
    </row>
    <row r="573" spans="1:2" x14ac:dyDescent="0.2">
      <c r="A573" s="40" t="s">
        <v>2421</v>
      </c>
      <c r="B573" s="40">
        <v>1</v>
      </c>
    </row>
    <row r="574" spans="1:2" x14ac:dyDescent="0.2">
      <c r="A574" s="40" t="s">
        <v>2465</v>
      </c>
      <c r="B574" s="40">
        <v>7</v>
      </c>
    </row>
    <row r="575" spans="1:2" x14ac:dyDescent="0.2">
      <c r="A575" s="40" t="s">
        <v>3309</v>
      </c>
      <c r="B575" s="40">
        <v>65</v>
      </c>
    </row>
    <row r="576" spans="1:2" x14ac:dyDescent="0.2">
      <c r="A576" s="40" t="s">
        <v>2938</v>
      </c>
      <c r="B576" s="40">
        <v>44</v>
      </c>
    </row>
    <row r="577" spans="1:2" x14ac:dyDescent="0.2">
      <c r="A577" s="40" t="s">
        <v>2949</v>
      </c>
      <c r="B577" s="40">
        <v>45</v>
      </c>
    </row>
    <row r="578" spans="1:2" x14ac:dyDescent="0.2">
      <c r="A578" s="40" t="s">
        <v>3139</v>
      </c>
      <c r="B578" s="40">
        <v>53</v>
      </c>
    </row>
    <row r="579" spans="1:2" x14ac:dyDescent="0.2">
      <c r="A579" s="40" t="s">
        <v>2462</v>
      </c>
      <c r="B579" s="40">
        <v>6</v>
      </c>
    </row>
    <row r="580" spans="1:2" x14ac:dyDescent="0.2">
      <c r="A580" s="40" t="s">
        <v>2924</v>
      </c>
      <c r="B580" s="40">
        <v>43</v>
      </c>
    </row>
    <row r="581" spans="1:2" x14ac:dyDescent="0.2">
      <c r="A581" s="40" t="s">
        <v>3183</v>
      </c>
      <c r="B581" s="40">
        <v>57</v>
      </c>
    </row>
    <row r="582" spans="1:2" x14ac:dyDescent="0.2">
      <c r="A582" s="40" t="s">
        <v>2883</v>
      </c>
      <c r="B582" s="40">
        <v>40</v>
      </c>
    </row>
    <row r="583" spans="1:2" x14ac:dyDescent="0.2">
      <c r="A583" s="40" t="s">
        <v>2546</v>
      </c>
      <c r="B583" s="40">
        <v>16</v>
      </c>
    </row>
    <row r="584" spans="1:2" x14ac:dyDescent="0.2">
      <c r="A584" s="40" t="s">
        <v>2857</v>
      </c>
      <c r="B584" s="40">
        <v>39</v>
      </c>
    </row>
    <row r="585" spans="1:2" x14ac:dyDescent="0.2">
      <c r="A585" s="40" t="s">
        <v>2939</v>
      </c>
      <c r="B585" s="40">
        <v>44</v>
      </c>
    </row>
    <row r="586" spans="1:2" x14ac:dyDescent="0.2">
      <c r="A586" s="40" t="s">
        <v>2905</v>
      </c>
      <c r="B586" s="40">
        <v>42</v>
      </c>
    </row>
    <row r="587" spans="1:2" x14ac:dyDescent="0.2">
      <c r="A587" s="40" t="s">
        <v>2578</v>
      </c>
      <c r="B587" s="40">
        <v>21</v>
      </c>
    </row>
    <row r="588" spans="1:2" x14ac:dyDescent="0.2">
      <c r="A588" s="40" t="s">
        <v>3293</v>
      </c>
      <c r="B588" s="40">
        <v>64</v>
      </c>
    </row>
    <row r="589" spans="1:2" x14ac:dyDescent="0.2">
      <c r="A589" s="40" t="s">
        <v>2457</v>
      </c>
      <c r="B589" s="40">
        <v>5</v>
      </c>
    </row>
    <row r="590" spans="1:2" x14ac:dyDescent="0.2">
      <c r="A590" s="40" t="s">
        <v>2727</v>
      </c>
      <c r="B590" s="40">
        <v>32</v>
      </c>
    </row>
    <row r="591" spans="1:2" x14ac:dyDescent="0.2">
      <c r="A591" s="40" t="s">
        <v>3513</v>
      </c>
      <c r="B591" s="40">
        <v>86</v>
      </c>
    </row>
    <row r="592" spans="1:2" x14ac:dyDescent="0.2">
      <c r="A592" s="40" t="s">
        <v>2484</v>
      </c>
      <c r="B592" s="40">
        <v>10</v>
      </c>
    </row>
    <row r="593" spans="1:2" x14ac:dyDescent="0.2">
      <c r="A593" s="40" t="s">
        <v>3173</v>
      </c>
      <c r="B593" s="40">
        <v>56</v>
      </c>
    </row>
    <row r="594" spans="1:2" x14ac:dyDescent="0.2">
      <c r="A594" s="40" t="s">
        <v>2884</v>
      </c>
      <c r="B594" s="40">
        <v>40</v>
      </c>
    </row>
    <row r="595" spans="1:2" x14ac:dyDescent="0.2">
      <c r="A595" s="40" t="s">
        <v>2432</v>
      </c>
      <c r="B595" s="40">
        <v>2</v>
      </c>
    </row>
    <row r="596" spans="1:2" x14ac:dyDescent="0.2">
      <c r="A596" s="40" t="s">
        <v>2906</v>
      </c>
      <c r="B596" s="40">
        <v>42</v>
      </c>
    </row>
    <row r="597" spans="1:2" x14ac:dyDescent="0.2">
      <c r="A597" s="40" t="s">
        <v>2696</v>
      </c>
      <c r="B597" s="40">
        <v>29</v>
      </c>
    </row>
    <row r="598" spans="1:2" x14ac:dyDescent="0.2">
      <c r="A598" s="40" t="s">
        <v>2749</v>
      </c>
      <c r="B598" s="40">
        <v>33</v>
      </c>
    </row>
    <row r="599" spans="1:2" x14ac:dyDescent="0.2">
      <c r="A599" s="40" t="s">
        <v>2433</v>
      </c>
      <c r="B599" s="40">
        <v>2</v>
      </c>
    </row>
    <row r="600" spans="1:2" x14ac:dyDescent="0.2">
      <c r="A600" s="40" t="s">
        <v>2547</v>
      </c>
      <c r="B600" s="40">
        <v>16</v>
      </c>
    </row>
    <row r="601" spans="1:2" x14ac:dyDescent="0.2">
      <c r="A601" s="40" t="s">
        <v>2548</v>
      </c>
      <c r="B601" s="40">
        <v>16</v>
      </c>
    </row>
    <row r="602" spans="1:2" x14ac:dyDescent="0.2">
      <c r="A602" s="40" t="s">
        <v>2885</v>
      </c>
      <c r="B602" s="40">
        <v>40</v>
      </c>
    </row>
    <row r="603" spans="1:2" x14ac:dyDescent="0.2">
      <c r="A603" s="40" t="s">
        <v>3460</v>
      </c>
      <c r="B603" s="40">
        <v>74</v>
      </c>
    </row>
    <row r="604" spans="1:2" x14ac:dyDescent="0.2">
      <c r="A604" s="40" t="s">
        <v>2496</v>
      </c>
      <c r="B604" s="40">
        <v>11</v>
      </c>
    </row>
    <row r="605" spans="1:2" x14ac:dyDescent="0.2">
      <c r="A605" s="40" t="s">
        <v>3250</v>
      </c>
      <c r="B605" s="40">
        <v>61</v>
      </c>
    </row>
    <row r="606" spans="1:2" ht="25.5" x14ac:dyDescent="0.2">
      <c r="A606" s="40" t="s">
        <v>2667</v>
      </c>
      <c r="B606" s="40">
        <v>26</v>
      </c>
    </row>
    <row r="607" spans="1:2" x14ac:dyDescent="0.2">
      <c r="A607" s="40" t="s">
        <v>2638</v>
      </c>
      <c r="B607" s="40">
        <v>24</v>
      </c>
    </row>
    <row r="608" spans="1:2" x14ac:dyDescent="0.2">
      <c r="A608" s="40" t="s">
        <v>3461</v>
      </c>
      <c r="B608" s="40">
        <v>74</v>
      </c>
    </row>
    <row r="609" spans="1:2" x14ac:dyDescent="0.2">
      <c r="A609" s="40" t="s">
        <v>2517</v>
      </c>
      <c r="B609" s="40">
        <v>14</v>
      </c>
    </row>
    <row r="610" spans="1:2" x14ac:dyDescent="0.2">
      <c r="A610" s="40" t="s">
        <v>2517</v>
      </c>
      <c r="B610" s="40">
        <v>29</v>
      </c>
    </row>
    <row r="611" spans="1:2" x14ac:dyDescent="0.2">
      <c r="A611" s="40" t="s">
        <v>3263</v>
      </c>
      <c r="B611" s="40">
        <v>62</v>
      </c>
    </row>
    <row r="612" spans="1:2" x14ac:dyDescent="0.2">
      <c r="A612" s="40" t="s">
        <v>2768</v>
      </c>
      <c r="B612" s="40">
        <v>34</v>
      </c>
    </row>
    <row r="613" spans="1:2" x14ac:dyDescent="0.2">
      <c r="A613" s="40" t="s">
        <v>2668</v>
      </c>
      <c r="B613" s="40">
        <v>26</v>
      </c>
    </row>
    <row r="614" spans="1:2" x14ac:dyDescent="0.2">
      <c r="A614" s="40" t="s">
        <v>2668</v>
      </c>
      <c r="B614" s="40">
        <v>66</v>
      </c>
    </row>
    <row r="615" spans="1:2" x14ac:dyDescent="0.2">
      <c r="A615" s="40" t="s">
        <v>3382</v>
      </c>
      <c r="B615" s="40">
        <v>68</v>
      </c>
    </row>
    <row r="616" spans="1:2" x14ac:dyDescent="0.2">
      <c r="A616" s="40" t="s">
        <v>3478</v>
      </c>
      <c r="B616" s="40">
        <v>75</v>
      </c>
    </row>
    <row r="617" spans="1:2" x14ac:dyDescent="0.2">
      <c r="A617" s="40" t="s">
        <v>3046</v>
      </c>
      <c r="B617" s="40">
        <v>50</v>
      </c>
    </row>
    <row r="618" spans="1:2" x14ac:dyDescent="0.2">
      <c r="A618" s="40" t="s">
        <v>2563</v>
      </c>
      <c r="B618" s="40">
        <v>18</v>
      </c>
    </row>
    <row r="619" spans="1:2" x14ac:dyDescent="0.2">
      <c r="A619" s="40" t="s">
        <v>2531</v>
      </c>
      <c r="B619" s="40">
        <v>15</v>
      </c>
    </row>
    <row r="620" spans="1:2" x14ac:dyDescent="0.2">
      <c r="A620" s="40" t="s">
        <v>3097</v>
      </c>
      <c r="B620" s="40">
        <v>51</v>
      </c>
    </row>
    <row r="621" spans="1:2" x14ac:dyDescent="0.2">
      <c r="A621" s="40" t="s">
        <v>3251</v>
      </c>
      <c r="B621" s="40">
        <v>61</v>
      </c>
    </row>
    <row r="622" spans="1:2" x14ac:dyDescent="0.2">
      <c r="A622" s="40" t="s">
        <v>3383</v>
      </c>
      <c r="B622" s="40">
        <v>68</v>
      </c>
    </row>
    <row r="623" spans="1:2" x14ac:dyDescent="0.2">
      <c r="A623" s="40" t="s">
        <v>2886</v>
      </c>
      <c r="B623" s="40">
        <v>40</v>
      </c>
    </row>
    <row r="624" spans="1:2" x14ac:dyDescent="0.2">
      <c r="A624" s="40" t="s">
        <v>2410</v>
      </c>
      <c r="B624" s="40">
        <v>77</v>
      </c>
    </row>
    <row r="625" spans="1:2" x14ac:dyDescent="0.2">
      <c r="A625" s="40" t="s">
        <v>3497</v>
      </c>
      <c r="B625" s="40">
        <v>77</v>
      </c>
    </row>
    <row r="626" spans="1:2" x14ac:dyDescent="0.2">
      <c r="A626" s="40" t="s">
        <v>3497</v>
      </c>
      <c r="B626" s="40">
        <v>77</v>
      </c>
    </row>
    <row r="627" spans="1:2" x14ac:dyDescent="0.2">
      <c r="A627" s="40" t="s">
        <v>3529</v>
      </c>
      <c r="B627" s="40">
        <v>89</v>
      </c>
    </row>
    <row r="628" spans="1:2" x14ac:dyDescent="0.2">
      <c r="A628" s="40" t="s">
        <v>2925</v>
      </c>
      <c r="B628" s="40">
        <v>43</v>
      </c>
    </row>
    <row r="629" spans="1:2" x14ac:dyDescent="0.2">
      <c r="A629" s="40" t="s">
        <v>3098</v>
      </c>
      <c r="B629" s="40">
        <v>51</v>
      </c>
    </row>
    <row r="630" spans="1:2" x14ac:dyDescent="0.2">
      <c r="A630" s="40" t="s">
        <v>2750</v>
      </c>
      <c r="B630" s="40">
        <v>33</v>
      </c>
    </row>
    <row r="631" spans="1:2" x14ac:dyDescent="0.2">
      <c r="A631" s="40" t="s">
        <v>3184</v>
      </c>
      <c r="B631" s="40">
        <v>57</v>
      </c>
    </row>
    <row r="632" spans="1:2" x14ac:dyDescent="0.2">
      <c r="A632" s="40" t="s">
        <v>2907</v>
      </c>
      <c r="B632" s="40">
        <v>42</v>
      </c>
    </row>
    <row r="633" spans="1:2" x14ac:dyDescent="0.2">
      <c r="A633" s="40" t="s">
        <v>3047</v>
      </c>
      <c r="B633" s="40">
        <v>50</v>
      </c>
    </row>
    <row r="634" spans="1:2" x14ac:dyDescent="0.2">
      <c r="A634" s="40" t="s">
        <v>3488</v>
      </c>
      <c r="B634" s="40">
        <v>76</v>
      </c>
    </row>
    <row r="635" spans="1:2" ht="25.5" x14ac:dyDescent="0.2">
      <c r="A635" s="40" t="s">
        <v>2549</v>
      </c>
      <c r="B635" s="40">
        <v>16</v>
      </c>
    </row>
    <row r="636" spans="1:2" x14ac:dyDescent="0.2">
      <c r="A636" s="40" t="s">
        <v>3125</v>
      </c>
      <c r="B636" s="40">
        <v>52</v>
      </c>
    </row>
    <row r="637" spans="1:2" x14ac:dyDescent="0.2">
      <c r="A637" s="40" t="s">
        <v>2815</v>
      </c>
      <c r="B637" s="40">
        <v>37</v>
      </c>
    </row>
    <row r="638" spans="1:2" x14ac:dyDescent="0.2">
      <c r="A638" s="40" t="s">
        <v>3530</v>
      </c>
      <c r="B638" s="40">
        <v>89</v>
      </c>
    </row>
    <row r="639" spans="1:2" x14ac:dyDescent="0.2">
      <c r="A639" s="40" t="s">
        <v>2639</v>
      </c>
      <c r="B639" s="40">
        <v>24</v>
      </c>
    </row>
    <row r="640" spans="1:2" x14ac:dyDescent="0.2">
      <c r="A640" s="40" t="s">
        <v>2463</v>
      </c>
      <c r="B640" s="40">
        <v>6</v>
      </c>
    </row>
    <row r="641" spans="1:2" x14ac:dyDescent="0.2">
      <c r="A641" s="40" t="s">
        <v>3164</v>
      </c>
      <c r="B641" s="40">
        <v>55</v>
      </c>
    </row>
    <row r="642" spans="1:2" x14ac:dyDescent="0.2">
      <c r="A642" s="40" t="s">
        <v>2466</v>
      </c>
      <c r="B642" s="40">
        <v>7</v>
      </c>
    </row>
    <row r="643" spans="1:2" x14ac:dyDescent="0.2">
      <c r="A643" s="40" t="s">
        <v>2708</v>
      </c>
      <c r="B643" s="40">
        <v>30</v>
      </c>
    </row>
    <row r="644" spans="1:2" x14ac:dyDescent="0.2">
      <c r="A644" s="40" t="s">
        <v>3048</v>
      </c>
      <c r="B644" s="40">
        <v>50</v>
      </c>
    </row>
    <row r="645" spans="1:2" x14ac:dyDescent="0.2">
      <c r="A645" s="40" t="s">
        <v>2467</v>
      </c>
      <c r="B645" s="40">
        <v>7</v>
      </c>
    </row>
    <row r="646" spans="1:2" x14ac:dyDescent="0.2">
      <c r="A646" s="40" t="s">
        <v>3508</v>
      </c>
      <c r="B646" s="40">
        <v>83</v>
      </c>
    </row>
    <row r="647" spans="1:2" x14ac:dyDescent="0.2">
      <c r="A647" s="40" t="s">
        <v>2652</v>
      </c>
      <c r="B647" s="40">
        <v>25</v>
      </c>
    </row>
    <row r="648" spans="1:2" x14ac:dyDescent="0.2">
      <c r="A648" s="40" t="s">
        <v>3227</v>
      </c>
      <c r="B648" s="40">
        <v>60</v>
      </c>
    </row>
    <row r="649" spans="1:2" x14ac:dyDescent="0.2">
      <c r="A649" s="40" t="s">
        <v>3310</v>
      </c>
      <c r="B649" s="40">
        <v>65</v>
      </c>
    </row>
    <row r="650" spans="1:2" x14ac:dyDescent="0.2">
      <c r="A650" s="40" t="s">
        <v>2669</v>
      </c>
      <c r="B650" s="40">
        <v>26</v>
      </c>
    </row>
    <row r="651" spans="1:2" x14ac:dyDescent="0.2">
      <c r="A651" s="40" t="s">
        <v>3344</v>
      </c>
      <c r="B651" s="40">
        <v>66</v>
      </c>
    </row>
    <row r="652" spans="1:2" x14ac:dyDescent="0.2">
      <c r="A652" s="40" t="s">
        <v>3402</v>
      </c>
      <c r="B652" s="40">
        <v>69</v>
      </c>
    </row>
    <row r="653" spans="1:2" x14ac:dyDescent="0.2">
      <c r="A653" s="40" t="s">
        <v>2858</v>
      </c>
      <c r="B653" s="40">
        <v>39</v>
      </c>
    </row>
    <row r="654" spans="1:2" x14ac:dyDescent="0.2">
      <c r="A654" s="40" t="s">
        <v>2940</v>
      </c>
      <c r="B654" s="40">
        <v>44</v>
      </c>
    </row>
    <row r="655" spans="1:2" x14ac:dyDescent="0.2">
      <c r="A655" s="40" t="s">
        <v>3479</v>
      </c>
      <c r="B655" s="40">
        <v>75</v>
      </c>
    </row>
    <row r="656" spans="1:2" x14ac:dyDescent="0.2">
      <c r="A656" s="40" t="s">
        <v>2518</v>
      </c>
      <c r="B656" s="40">
        <v>14</v>
      </c>
    </row>
    <row r="657" spans="1:2" x14ac:dyDescent="0.2">
      <c r="A657" s="40" t="s">
        <v>2859</v>
      </c>
      <c r="B657" s="40">
        <v>39</v>
      </c>
    </row>
    <row r="658" spans="1:2" x14ac:dyDescent="0.2">
      <c r="A658" s="40" t="s">
        <v>3275</v>
      </c>
      <c r="B658" s="40">
        <v>63</v>
      </c>
    </row>
    <row r="659" spans="1:2" x14ac:dyDescent="0.2">
      <c r="A659" s="40" t="s">
        <v>2434</v>
      </c>
      <c r="B659" s="40">
        <v>2</v>
      </c>
    </row>
    <row r="660" spans="1:2" x14ac:dyDescent="0.2">
      <c r="A660" s="40" t="s">
        <v>2670</v>
      </c>
      <c r="B660" s="40">
        <v>26</v>
      </c>
    </row>
    <row r="661" spans="1:2" x14ac:dyDescent="0.2">
      <c r="A661" s="40" t="s">
        <v>3514</v>
      </c>
      <c r="B661" s="40">
        <v>86</v>
      </c>
    </row>
    <row r="662" spans="1:2" x14ac:dyDescent="0.2">
      <c r="A662" s="40" t="s">
        <v>2941</v>
      </c>
      <c r="B662" s="40">
        <v>44</v>
      </c>
    </row>
    <row r="663" spans="1:2" x14ac:dyDescent="0.2">
      <c r="A663" s="40" t="s">
        <v>3515</v>
      </c>
      <c r="B663" s="40">
        <v>86</v>
      </c>
    </row>
    <row r="664" spans="1:2" x14ac:dyDescent="0.2">
      <c r="A664" s="40" t="s">
        <v>2550</v>
      </c>
      <c r="B664" s="40">
        <v>16</v>
      </c>
    </row>
    <row r="665" spans="1:2" x14ac:dyDescent="0.2">
      <c r="A665" s="40" t="s">
        <v>2837</v>
      </c>
      <c r="B665" s="40">
        <v>38</v>
      </c>
    </row>
    <row r="666" spans="1:2" x14ac:dyDescent="0.2">
      <c r="A666" s="40" t="s">
        <v>3345</v>
      </c>
      <c r="B666" s="40">
        <v>66</v>
      </c>
    </row>
    <row r="667" spans="1:2" x14ac:dyDescent="0.2">
      <c r="A667" s="40" t="s">
        <v>3346</v>
      </c>
      <c r="B667" s="40">
        <v>66</v>
      </c>
    </row>
    <row r="668" spans="1:2" x14ac:dyDescent="0.2">
      <c r="A668" s="40" t="s">
        <v>3194</v>
      </c>
      <c r="B668" s="40">
        <v>58</v>
      </c>
    </row>
    <row r="669" spans="1:2" x14ac:dyDescent="0.2">
      <c r="A669" s="40" t="s">
        <v>3126</v>
      </c>
      <c r="B669" s="40">
        <v>52</v>
      </c>
    </row>
    <row r="670" spans="1:2" x14ac:dyDescent="0.2">
      <c r="A670" s="40" t="s">
        <v>3347</v>
      </c>
      <c r="B670" s="40">
        <v>66</v>
      </c>
    </row>
    <row r="671" spans="1:2" x14ac:dyDescent="0.2">
      <c r="A671" s="40" t="s">
        <v>3348</v>
      </c>
      <c r="B671" s="40">
        <v>66</v>
      </c>
    </row>
    <row r="672" spans="1:2" x14ac:dyDescent="0.2">
      <c r="A672" s="40" t="s">
        <v>3349</v>
      </c>
      <c r="B672" s="40">
        <v>66</v>
      </c>
    </row>
    <row r="673" spans="1:2" x14ac:dyDescent="0.2">
      <c r="A673" s="40" t="s">
        <v>2769</v>
      </c>
      <c r="B673" s="40">
        <v>34</v>
      </c>
    </row>
    <row r="674" spans="1:2" ht="25.5" x14ac:dyDescent="0.2">
      <c r="A674" s="40" t="s">
        <v>2680</v>
      </c>
      <c r="B674" s="40">
        <v>27</v>
      </c>
    </row>
    <row r="675" spans="1:2" x14ac:dyDescent="0.2">
      <c r="A675" s="40" t="s">
        <v>2786</v>
      </c>
      <c r="B675" s="40">
        <v>35</v>
      </c>
    </row>
    <row r="676" spans="1:2" x14ac:dyDescent="0.2">
      <c r="A676" s="40" t="s">
        <v>2786</v>
      </c>
      <c r="B676" s="40">
        <v>58</v>
      </c>
    </row>
    <row r="677" spans="1:2" x14ac:dyDescent="0.2">
      <c r="A677" s="40" t="s">
        <v>2979</v>
      </c>
      <c r="B677" s="40">
        <v>47</v>
      </c>
    </row>
    <row r="678" spans="1:2" x14ac:dyDescent="0.2">
      <c r="A678" s="40" t="s">
        <v>2980</v>
      </c>
      <c r="B678" s="40">
        <v>47</v>
      </c>
    </row>
    <row r="679" spans="1:2" x14ac:dyDescent="0.2">
      <c r="A679" s="40" t="s">
        <v>3350</v>
      </c>
      <c r="B679" s="40">
        <v>66</v>
      </c>
    </row>
    <row r="680" spans="1:2" ht="25.5" x14ac:dyDescent="0.2">
      <c r="A680" s="40" t="s">
        <v>2671</v>
      </c>
      <c r="B680" s="40">
        <v>26</v>
      </c>
    </row>
    <row r="681" spans="1:2" x14ac:dyDescent="0.2">
      <c r="A681" s="40" t="s">
        <v>2592</v>
      </c>
      <c r="B681" s="40">
        <v>22</v>
      </c>
    </row>
    <row r="682" spans="1:2" x14ac:dyDescent="0.2">
      <c r="A682" s="40" t="s">
        <v>2770</v>
      </c>
      <c r="B682" s="40">
        <v>34</v>
      </c>
    </row>
    <row r="683" spans="1:2" x14ac:dyDescent="0.2">
      <c r="A683" s="40" t="s">
        <v>2800</v>
      </c>
      <c r="B683" s="40">
        <v>36</v>
      </c>
    </row>
    <row r="684" spans="1:2" x14ac:dyDescent="0.2">
      <c r="A684" s="40" t="s">
        <v>2697</v>
      </c>
      <c r="B684" s="40">
        <v>29</v>
      </c>
    </row>
    <row r="685" spans="1:2" x14ac:dyDescent="0.2">
      <c r="A685" s="40" t="s">
        <v>2728</v>
      </c>
      <c r="B685" s="40">
        <v>32</v>
      </c>
    </row>
    <row r="686" spans="1:2" x14ac:dyDescent="0.2">
      <c r="A686" s="40" t="s">
        <v>2611</v>
      </c>
      <c r="B686" s="40">
        <v>23</v>
      </c>
    </row>
    <row r="687" spans="1:2" x14ac:dyDescent="0.2">
      <c r="A687" s="40" t="s">
        <v>2908</v>
      </c>
      <c r="B687" s="40">
        <v>42</v>
      </c>
    </row>
    <row r="688" spans="1:2" x14ac:dyDescent="0.2">
      <c r="A688" s="40" t="s">
        <v>3276</v>
      </c>
      <c r="B688" s="40">
        <v>63</v>
      </c>
    </row>
    <row r="689" spans="1:2" x14ac:dyDescent="0.2">
      <c r="A689" s="40" t="s">
        <v>3264</v>
      </c>
      <c r="B689" s="40">
        <v>62</v>
      </c>
    </row>
    <row r="690" spans="1:2" x14ac:dyDescent="0.2">
      <c r="A690" s="40" t="s">
        <v>3426</v>
      </c>
      <c r="B690" s="40">
        <v>71</v>
      </c>
    </row>
    <row r="691" spans="1:2" x14ac:dyDescent="0.2">
      <c r="A691" s="40" t="s">
        <v>2672</v>
      </c>
      <c r="B691" s="40">
        <v>26</v>
      </c>
    </row>
    <row r="692" spans="1:2" x14ac:dyDescent="0.2">
      <c r="A692" s="40" t="s">
        <v>3228</v>
      </c>
      <c r="B692" s="40">
        <v>60</v>
      </c>
    </row>
    <row r="693" spans="1:2" x14ac:dyDescent="0.2">
      <c r="A693" s="40" t="s">
        <v>2612</v>
      </c>
      <c r="B693" s="40">
        <v>23</v>
      </c>
    </row>
    <row r="694" spans="1:2" x14ac:dyDescent="0.2">
      <c r="A694" s="40" t="s">
        <v>3155</v>
      </c>
      <c r="B694" s="40">
        <v>54</v>
      </c>
    </row>
    <row r="695" spans="1:2" x14ac:dyDescent="0.2">
      <c r="A695" s="40" t="s">
        <v>3185</v>
      </c>
      <c r="B695" s="40">
        <v>57</v>
      </c>
    </row>
    <row r="696" spans="1:2" x14ac:dyDescent="0.2">
      <c r="A696" s="40" t="s">
        <v>3229</v>
      </c>
      <c r="B696" s="40">
        <v>60</v>
      </c>
    </row>
    <row r="697" spans="1:2" x14ac:dyDescent="0.2">
      <c r="A697" s="40" t="s">
        <v>3174</v>
      </c>
      <c r="B697" s="40">
        <v>56</v>
      </c>
    </row>
    <row r="698" spans="1:2" x14ac:dyDescent="0.2">
      <c r="A698" s="40" t="s">
        <v>3294</v>
      </c>
      <c r="B698" s="40">
        <v>64</v>
      </c>
    </row>
    <row r="699" spans="1:2" x14ac:dyDescent="0.2">
      <c r="A699" s="40" t="s">
        <v>3442</v>
      </c>
      <c r="B699" s="40">
        <v>73</v>
      </c>
    </row>
    <row r="700" spans="1:2" x14ac:dyDescent="0.2">
      <c r="A700" s="40" t="s">
        <v>3351</v>
      </c>
      <c r="B700" s="40">
        <v>66</v>
      </c>
    </row>
    <row r="701" spans="1:2" x14ac:dyDescent="0.2">
      <c r="A701" s="40" t="s">
        <v>2801</v>
      </c>
      <c r="B701" s="40">
        <v>36</v>
      </c>
    </row>
    <row r="702" spans="1:2" x14ac:dyDescent="0.2">
      <c r="A702" s="40" t="s">
        <v>2579</v>
      </c>
      <c r="B702" s="40">
        <v>21</v>
      </c>
    </row>
    <row r="703" spans="1:2" x14ac:dyDescent="0.2">
      <c r="A703" s="40" t="s">
        <v>3252</v>
      </c>
      <c r="B703" s="40">
        <v>61</v>
      </c>
    </row>
    <row r="704" spans="1:2" x14ac:dyDescent="0.2">
      <c r="A704" s="40" t="s">
        <v>3253</v>
      </c>
      <c r="B704" s="40">
        <v>61</v>
      </c>
    </row>
    <row r="705" spans="1:2" x14ac:dyDescent="0.2">
      <c r="A705" s="40" t="s">
        <v>2717</v>
      </c>
      <c r="B705" s="40">
        <v>31</v>
      </c>
    </row>
    <row r="706" spans="1:2" x14ac:dyDescent="0.2">
      <c r="A706" s="40" t="s">
        <v>3531</v>
      </c>
      <c r="B706" s="40">
        <v>89</v>
      </c>
    </row>
    <row r="707" spans="1:2" x14ac:dyDescent="0.2">
      <c r="A707" s="40" t="s">
        <v>3049</v>
      </c>
      <c r="B707" s="40">
        <v>50</v>
      </c>
    </row>
    <row r="708" spans="1:2" x14ac:dyDescent="0.2">
      <c r="A708" s="40" t="s">
        <v>2926</v>
      </c>
      <c r="B708" s="40">
        <v>43</v>
      </c>
    </row>
    <row r="709" spans="1:2" x14ac:dyDescent="0.2">
      <c r="A709" s="40" t="s">
        <v>2640</v>
      </c>
      <c r="B709" s="40">
        <v>24</v>
      </c>
    </row>
    <row r="710" spans="1:2" x14ac:dyDescent="0.2">
      <c r="A710" s="40" t="s">
        <v>3532</v>
      </c>
      <c r="B710" s="40">
        <v>89</v>
      </c>
    </row>
    <row r="711" spans="1:2" x14ac:dyDescent="0.2">
      <c r="A711" s="40" t="s">
        <v>2551</v>
      </c>
      <c r="B711" s="40">
        <v>16</v>
      </c>
    </row>
    <row r="712" spans="1:2" x14ac:dyDescent="0.2">
      <c r="A712" s="40" t="s">
        <v>3211</v>
      </c>
      <c r="B712" s="40">
        <v>59</v>
      </c>
    </row>
    <row r="713" spans="1:2" x14ac:dyDescent="0.2">
      <c r="A713" s="40" t="s">
        <v>2519</v>
      </c>
      <c r="B713" s="40">
        <v>14</v>
      </c>
    </row>
    <row r="714" spans="1:2" x14ac:dyDescent="0.2">
      <c r="A714" s="40" t="s">
        <v>3516</v>
      </c>
      <c r="B714" s="40">
        <v>86</v>
      </c>
    </row>
    <row r="715" spans="1:2" x14ac:dyDescent="0.2">
      <c r="A715" s="40" t="s">
        <v>3462</v>
      </c>
      <c r="B715" s="40">
        <v>74</v>
      </c>
    </row>
    <row r="716" spans="1:2" x14ac:dyDescent="0.2">
      <c r="A716" s="40" t="s">
        <v>2698</v>
      </c>
      <c r="B716" s="40">
        <v>29</v>
      </c>
    </row>
    <row r="717" spans="1:2" x14ac:dyDescent="0.2">
      <c r="A717" s="40" t="s">
        <v>3507</v>
      </c>
      <c r="B717" s="40">
        <v>79</v>
      </c>
    </row>
    <row r="718" spans="1:2" x14ac:dyDescent="0.2">
      <c r="A718" s="40" t="s">
        <v>2887</v>
      </c>
      <c r="B718" s="40">
        <v>40</v>
      </c>
    </row>
    <row r="719" spans="1:2" x14ac:dyDescent="0.2">
      <c r="A719" s="40" t="s">
        <v>2958</v>
      </c>
      <c r="B719" s="40">
        <v>46</v>
      </c>
    </row>
    <row r="720" spans="1:2" x14ac:dyDescent="0.2">
      <c r="A720" s="40" t="s">
        <v>3156</v>
      </c>
      <c r="B720" s="40">
        <v>54</v>
      </c>
    </row>
    <row r="721" spans="1:2" x14ac:dyDescent="0.2">
      <c r="A721" s="40" t="s">
        <v>3050</v>
      </c>
      <c r="B721" s="40">
        <v>50</v>
      </c>
    </row>
    <row r="722" spans="1:2" x14ac:dyDescent="0.2">
      <c r="A722" s="40" t="s">
        <v>3051</v>
      </c>
      <c r="B722" s="40">
        <v>50</v>
      </c>
    </row>
    <row r="723" spans="1:2" x14ac:dyDescent="0.2">
      <c r="A723" s="40" t="s">
        <v>2860</v>
      </c>
      <c r="B723" s="40">
        <v>39</v>
      </c>
    </row>
    <row r="724" spans="1:2" x14ac:dyDescent="0.2">
      <c r="A724" s="40" t="s">
        <v>2860</v>
      </c>
      <c r="B724" s="40">
        <v>74</v>
      </c>
    </row>
    <row r="725" spans="1:2" x14ac:dyDescent="0.2">
      <c r="A725" s="40" t="s">
        <v>3052</v>
      </c>
      <c r="B725" s="40">
        <v>50</v>
      </c>
    </row>
    <row r="726" spans="1:2" x14ac:dyDescent="0.2">
      <c r="A726" s="40" t="s">
        <v>3277</v>
      </c>
      <c r="B726" s="40">
        <v>63</v>
      </c>
    </row>
    <row r="727" spans="1:2" x14ac:dyDescent="0.2">
      <c r="A727" s="40" t="s">
        <v>2435</v>
      </c>
      <c r="B727" s="40">
        <v>2</v>
      </c>
    </row>
    <row r="728" spans="1:2" x14ac:dyDescent="0.2">
      <c r="A728" s="40" t="s">
        <v>3140</v>
      </c>
      <c r="B728" s="40">
        <v>53</v>
      </c>
    </row>
    <row r="729" spans="1:2" x14ac:dyDescent="0.2">
      <c r="A729" s="40" t="s">
        <v>2520</v>
      </c>
      <c r="B729" s="40">
        <v>14</v>
      </c>
    </row>
    <row r="730" spans="1:2" x14ac:dyDescent="0.2">
      <c r="A730" s="40" t="s">
        <v>3099</v>
      </c>
      <c r="B730" s="40">
        <v>51</v>
      </c>
    </row>
    <row r="731" spans="1:2" x14ac:dyDescent="0.2">
      <c r="A731" s="40" t="s">
        <v>3100</v>
      </c>
      <c r="B731" s="40">
        <v>51</v>
      </c>
    </row>
    <row r="732" spans="1:2" x14ac:dyDescent="0.2">
      <c r="A732" s="40" t="s">
        <v>3101</v>
      </c>
      <c r="B732" s="40">
        <v>51</v>
      </c>
    </row>
    <row r="733" spans="1:2" x14ac:dyDescent="0.2">
      <c r="A733" s="40" t="s">
        <v>3102</v>
      </c>
      <c r="B733" s="40">
        <v>51</v>
      </c>
    </row>
    <row r="734" spans="1:2" x14ac:dyDescent="0.2">
      <c r="A734" s="40" t="s">
        <v>2485</v>
      </c>
      <c r="B734" s="40">
        <v>10</v>
      </c>
    </row>
    <row r="735" spans="1:2" x14ac:dyDescent="0.2">
      <c r="A735" s="40" t="s">
        <v>3165</v>
      </c>
      <c r="B735" s="40">
        <v>55</v>
      </c>
    </row>
    <row r="736" spans="1:2" x14ac:dyDescent="0.2">
      <c r="A736" s="40" t="s">
        <v>2927</v>
      </c>
      <c r="B736" s="40">
        <v>43</v>
      </c>
    </row>
    <row r="737" spans="1:2" x14ac:dyDescent="0.2">
      <c r="A737" s="40" t="s">
        <v>2699</v>
      </c>
      <c r="B737" s="40">
        <v>29</v>
      </c>
    </row>
    <row r="738" spans="1:2" x14ac:dyDescent="0.2">
      <c r="A738" s="40" t="s">
        <v>3230</v>
      </c>
      <c r="B738" s="40">
        <v>60</v>
      </c>
    </row>
    <row r="739" spans="1:2" x14ac:dyDescent="0.2">
      <c r="A739" s="40" t="s">
        <v>3186</v>
      </c>
      <c r="B739" s="40">
        <v>57</v>
      </c>
    </row>
    <row r="740" spans="1:2" x14ac:dyDescent="0.2">
      <c r="A740" s="40" t="s">
        <v>3175</v>
      </c>
      <c r="B740" s="40">
        <v>56</v>
      </c>
    </row>
    <row r="741" spans="1:2" x14ac:dyDescent="0.2">
      <c r="A741" s="40" t="s">
        <v>3053</v>
      </c>
      <c r="B741" s="40">
        <v>50</v>
      </c>
    </row>
    <row r="742" spans="1:2" x14ac:dyDescent="0.2">
      <c r="A742" s="40" t="s">
        <v>2928</v>
      </c>
      <c r="B742" s="40">
        <v>43</v>
      </c>
    </row>
    <row r="743" spans="1:2" x14ac:dyDescent="0.2">
      <c r="A743" s="40" t="s">
        <v>3176</v>
      </c>
      <c r="B743" s="40">
        <v>56</v>
      </c>
    </row>
    <row r="744" spans="1:2" x14ac:dyDescent="0.2">
      <c r="A744" s="40" t="s">
        <v>3212</v>
      </c>
      <c r="B744" s="40">
        <v>59</v>
      </c>
    </row>
    <row r="745" spans="1:2" x14ac:dyDescent="0.2">
      <c r="A745" s="40" t="s">
        <v>2909</v>
      </c>
      <c r="B745" s="40">
        <v>42</v>
      </c>
    </row>
    <row r="746" spans="1:2" x14ac:dyDescent="0.2">
      <c r="A746" s="40" t="s">
        <v>3403</v>
      </c>
      <c r="B746" s="40">
        <v>69</v>
      </c>
    </row>
    <row r="747" spans="1:2" x14ac:dyDescent="0.2">
      <c r="A747" s="40" t="s">
        <v>3231</v>
      </c>
      <c r="B747" s="40">
        <v>60</v>
      </c>
    </row>
    <row r="748" spans="1:2" x14ac:dyDescent="0.2">
      <c r="A748" s="40" t="s">
        <v>3103</v>
      </c>
      <c r="B748" s="40">
        <v>51</v>
      </c>
    </row>
    <row r="749" spans="1:2" x14ac:dyDescent="0.2">
      <c r="A749" s="40" t="s">
        <v>2802</v>
      </c>
      <c r="B749" s="40">
        <v>36</v>
      </c>
    </row>
    <row r="750" spans="1:2" x14ac:dyDescent="0.2">
      <c r="A750" s="40" t="s">
        <v>2981</v>
      </c>
      <c r="B750" s="40">
        <v>47</v>
      </c>
    </row>
    <row r="751" spans="1:2" x14ac:dyDescent="0.2">
      <c r="A751" s="40" t="s">
        <v>3278</v>
      </c>
      <c r="B751" s="40">
        <v>63</v>
      </c>
    </row>
    <row r="752" spans="1:2" x14ac:dyDescent="0.2">
      <c r="A752" s="40" t="s">
        <v>3311</v>
      </c>
      <c r="B752" s="40">
        <v>65</v>
      </c>
    </row>
    <row r="753" spans="1:2" x14ac:dyDescent="0.2">
      <c r="A753" s="40" t="s">
        <v>3213</v>
      </c>
      <c r="B753" s="40">
        <v>59</v>
      </c>
    </row>
    <row r="754" spans="1:2" x14ac:dyDescent="0.2">
      <c r="A754" s="40" t="s">
        <v>3214</v>
      </c>
      <c r="B754" s="40">
        <v>59</v>
      </c>
    </row>
    <row r="755" spans="1:2" x14ac:dyDescent="0.2">
      <c r="A755" s="40" t="s">
        <v>3127</v>
      </c>
      <c r="B755" s="40">
        <v>52</v>
      </c>
    </row>
    <row r="756" spans="1:2" x14ac:dyDescent="0.2">
      <c r="A756" s="40" t="s">
        <v>2803</v>
      </c>
      <c r="B756" s="40">
        <v>36</v>
      </c>
    </row>
    <row r="757" spans="1:2" x14ac:dyDescent="0.2">
      <c r="A757" s="40" t="s">
        <v>2803</v>
      </c>
      <c r="B757" s="40">
        <v>78</v>
      </c>
    </row>
    <row r="758" spans="1:2" x14ac:dyDescent="0.2">
      <c r="A758" s="40" t="s">
        <v>3054</v>
      </c>
      <c r="B758" s="40">
        <v>50</v>
      </c>
    </row>
    <row r="759" spans="1:2" x14ac:dyDescent="0.2">
      <c r="A759" s="40" t="s">
        <v>2771</v>
      </c>
      <c r="B759" s="40">
        <v>34</v>
      </c>
    </row>
    <row r="760" spans="1:2" x14ac:dyDescent="0.2">
      <c r="A760" s="40" t="s">
        <v>2653</v>
      </c>
      <c r="B760" s="40">
        <v>25</v>
      </c>
    </row>
    <row r="761" spans="1:2" x14ac:dyDescent="0.2">
      <c r="A761" s="40" t="s">
        <v>3526</v>
      </c>
      <c r="B761" s="40">
        <v>87</v>
      </c>
    </row>
    <row r="762" spans="1:2" x14ac:dyDescent="0.2">
      <c r="A762" s="40" t="s">
        <v>2412</v>
      </c>
      <c r="B762" s="40">
        <v>58</v>
      </c>
    </row>
    <row r="763" spans="1:2" x14ac:dyDescent="0.2">
      <c r="A763" s="40" t="s">
        <v>3128</v>
      </c>
      <c r="B763" s="40">
        <v>52</v>
      </c>
    </row>
    <row r="764" spans="1:2" x14ac:dyDescent="0.2">
      <c r="A764" s="40" t="s">
        <v>3352</v>
      </c>
      <c r="B764" s="40">
        <v>66</v>
      </c>
    </row>
    <row r="765" spans="1:2" x14ac:dyDescent="0.2">
      <c r="A765" s="40" t="s">
        <v>3129</v>
      </c>
      <c r="B765" s="40">
        <v>52</v>
      </c>
    </row>
    <row r="766" spans="1:2" x14ac:dyDescent="0.2">
      <c r="A766" s="40" t="s">
        <v>3055</v>
      </c>
      <c r="B766" s="40">
        <v>50</v>
      </c>
    </row>
    <row r="767" spans="1:2" ht="25.5" x14ac:dyDescent="0.2">
      <c r="A767" s="40" t="s">
        <v>3489</v>
      </c>
      <c r="B767" s="40">
        <v>76</v>
      </c>
    </row>
    <row r="768" spans="1:2" x14ac:dyDescent="0.2">
      <c r="A768" s="40" t="s">
        <v>3215</v>
      </c>
      <c r="B768" s="40">
        <v>59</v>
      </c>
    </row>
    <row r="769" spans="1:2" x14ac:dyDescent="0.2">
      <c r="A769" s="40" t="s">
        <v>3141</v>
      </c>
      <c r="B769" s="40">
        <v>53</v>
      </c>
    </row>
    <row r="770" spans="1:2" x14ac:dyDescent="0.2">
      <c r="A770" s="40" t="s">
        <v>3503</v>
      </c>
      <c r="B770" s="40">
        <v>78</v>
      </c>
    </row>
    <row r="771" spans="1:2" x14ac:dyDescent="0.2">
      <c r="A771" s="40" t="s">
        <v>2772</v>
      </c>
      <c r="B771" s="40">
        <v>34</v>
      </c>
    </row>
    <row r="772" spans="1:2" x14ac:dyDescent="0.2">
      <c r="A772" s="40" t="s">
        <v>3295</v>
      </c>
      <c r="B772" s="40">
        <v>64</v>
      </c>
    </row>
    <row r="773" spans="1:2" ht="25.5" x14ac:dyDescent="0.2">
      <c r="A773" s="40" t="s">
        <v>3480</v>
      </c>
      <c r="B773" s="40">
        <v>75</v>
      </c>
    </row>
    <row r="774" spans="1:2" x14ac:dyDescent="0.2">
      <c r="A774" s="40" t="s">
        <v>2486</v>
      </c>
      <c r="B774" s="40">
        <v>10</v>
      </c>
    </row>
    <row r="775" spans="1:2" ht="25.5" x14ac:dyDescent="0.2">
      <c r="A775" s="40" t="s">
        <v>2897</v>
      </c>
      <c r="B775" s="40">
        <v>41</v>
      </c>
    </row>
    <row r="776" spans="1:2" x14ac:dyDescent="0.2">
      <c r="A776" s="40" t="s">
        <v>2950</v>
      </c>
      <c r="B776" s="40">
        <v>45</v>
      </c>
    </row>
    <row r="777" spans="1:2" x14ac:dyDescent="0.2">
      <c r="A777" s="40" t="s">
        <v>2751</v>
      </c>
      <c r="B777" s="40">
        <v>33</v>
      </c>
    </row>
    <row r="778" spans="1:2" x14ac:dyDescent="0.2">
      <c r="A778" s="40" t="s">
        <v>2497</v>
      </c>
      <c r="B778" s="40">
        <v>11</v>
      </c>
    </row>
    <row r="779" spans="1:2" x14ac:dyDescent="0.2">
      <c r="A779" s="40" t="s">
        <v>3232</v>
      </c>
      <c r="B779" s="40">
        <v>60</v>
      </c>
    </row>
    <row r="780" spans="1:2" x14ac:dyDescent="0.2">
      <c r="A780" s="40" t="s">
        <v>2982</v>
      </c>
      <c r="B780" s="40">
        <v>47</v>
      </c>
    </row>
    <row r="781" spans="1:2" x14ac:dyDescent="0.2">
      <c r="A781" s="40" t="s">
        <v>2861</v>
      </c>
      <c r="B781" s="40">
        <v>39</v>
      </c>
    </row>
    <row r="782" spans="1:2" x14ac:dyDescent="0.2">
      <c r="A782" s="40" t="s">
        <v>2487</v>
      </c>
      <c r="B782" s="40">
        <v>10</v>
      </c>
    </row>
    <row r="783" spans="1:2" x14ac:dyDescent="0.2">
      <c r="A783" s="40" t="s">
        <v>3427</v>
      </c>
      <c r="B783" s="40">
        <v>71</v>
      </c>
    </row>
    <row r="784" spans="1:2" x14ac:dyDescent="0.2">
      <c r="A784" s="40" t="s">
        <v>3463</v>
      </c>
      <c r="B784" s="40">
        <v>74</v>
      </c>
    </row>
    <row r="785" spans="1:2" x14ac:dyDescent="0.2">
      <c r="A785" s="40" t="s">
        <v>2816</v>
      </c>
      <c r="B785" s="40">
        <v>37</v>
      </c>
    </row>
    <row r="786" spans="1:2" x14ac:dyDescent="0.2">
      <c r="A786" s="40" t="s">
        <v>2804</v>
      </c>
      <c r="B786" s="40">
        <v>36</v>
      </c>
    </row>
    <row r="787" spans="1:2" x14ac:dyDescent="0.2">
      <c r="A787" s="40" t="s">
        <v>3544</v>
      </c>
      <c r="B787" s="40">
        <v>91</v>
      </c>
    </row>
    <row r="788" spans="1:2" x14ac:dyDescent="0.2">
      <c r="A788" s="40" t="s">
        <v>50</v>
      </c>
      <c r="B788" s="40">
        <v>50</v>
      </c>
    </row>
    <row r="789" spans="1:2" x14ac:dyDescent="0.2">
      <c r="A789" s="40" t="s">
        <v>2983</v>
      </c>
      <c r="B789" s="40">
        <v>47</v>
      </c>
    </row>
    <row r="790" spans="1:2" x14ac:dyDescent="0.2">
      <c r="A790" s="40" t="s">
        <v>3517</v>
      </c>
      <c r="B790" s="40">
        <v>86</v>
      </c>
    </row>
    <row r="791" spans="1:2" x14ac:dyDescent="0.2">
      <c r="A791" s="40" t="s">
        <v>2752</v>
      </c>
      <c r="B791" s="40">
        <v>33</v>
      </c>
    </row>
    <row r="792" spans="1:2" x14ac:dyDescent="0.2">
      <c r="A792" s="40" t="s">
        <v>2521</v>
      </c>
      <c r="B792" s="40">
        <v>14</v>
      </c>
    </row>
    <row r="793" spans="1:2" x14ac:dyDescent="0.2">
      <c r="A793" s="40" t="s">
        <v>3353</v>
      </c>
      <c r="B793" s="40">
        <v>66</v>
      </c>
    </row>
    <row r="794" spans="1:2" x14ac:dyDescent="0.2">
      <c r="A794" s="40" t="s">
        <v>2862</v>
      </c>
      <c r="B794" s="40">
        <v>39</v>
      </c>
    </row>
    <row r="795" spans="1:2" x14ac:dyDescent="0.2">
      <c r="A795" s="40" t="s">
        <v>2910</v>
      </c>
      <c r="B795" s="40">
        <v>42</v>
      </c>
    </row>
    <row r="796" spans="1:2" x14ac:dyDescent="0.2">
      <c r="A796" s="40" t="s">
        <v>3104</v>
      </c>
      <c r="B796" s="40">
        <v>51</v>
      </c>
    </row>
    <row r="797" spans="1:2" x14ac:dyDescent="0.2">
      <c r="A797" s="40" t="s">
        <v>3105</v>
      </c>
      <c r="B797" s="40">
        <v>51</v>
      </c>
    </row>
    <row r="798" spans="1:2" x14ac:dyDescent="0.2">
      <c r="A798" s="40" t="s">
        <v>3312</v>
      </c>
      <c r="B798" s="40">
        <v>65</v>
      </c>
    </row>
    <row r="799" spans="1:2" x14ac:dyDescent="0.2">
      <c r="A799" s="40" t="s">
        <v>3233</v>
      </c>
      <c r="B799" s="40">
        <v>60</v>
      </c>
    </row>
    <row r="800" spans="1:2" x14ac:dyDescent="0.2">
      <c r="A800" s="40" t="s">
        <v>3279</v>
      </c>
      <c r="B800" s="40">
        <v>63</v>
      </c>
    </row>
    <row r="801" spans="1:2" x14ac:dyDescent="0.2">
      <c r="A801" s="40" t="s">
        <v>2729</v>
      </c>
      <c r="B801" s="40">
        <v>32</v>
      </c>
    </row>
    <row r="802" spans="1:2" x14ac:dyDescent="0.2">
      <c r="A802" s="40" t="s">
        <v>3372</v>
      </c>
      <c r="B802" s="40">
        <v>67</v>
      </c>
    </row>
    <row r="803" spans="1:2" x14ac:dyDescent="0.2">
      <c r="A803" s="40" t="s">
        <v>3490</v>
      </c>
      <c r="B803" s="40">
        <v>76</v>
      </c>
    </row>
    <row r="804" spans="1:2" x14ac:dyDescent="0.2">
      <c r="A804" s="40" t="s">
        <v>2863</v>
      </c>
      <c r="B804" s="40">
        <v>39</v>
      </c>
    </row>
    <row r="805" spans="1:2" x14ac:dyDescent="0.2">
      <c r="A805" s="40" t="s">
        <v>2817</v>
      </c>
      <c r="B805" s="40">
        <v>37</v>
      </c>
    </row>
    <row r="806" spans="1:2" x14ac:dyDescent="0.2">
      <c r="A806" s="40" t="s">
        <v>2864</v>
      </c>
      <c r="B806" s="40">
        <v>39</v>
      </c>
    </row>
    <row r="807" spans="1:2" x14ac:dyDescent="0.2">
      <c r="A807" s="40" t="s">
        <v>2864</v>
      </c>
      <c r="B807" s="40">
        <v>47</v>
      </c>
    </row>
    <row r="808" spans="1:2" x14ac:dyDescent="0.2">
      <c r="A808" s="40" t="s">
        <v>2613</v>
      </c>
      <c r="B808" s="40">
        <v>23</v>
      </c>
    </row>
    <row r="809" spans="1:2" x14ac:dyDescent="0.2">
      <c r="A809" s="40" t="s">
        <v>2984</v>
      </c>
      <c r="B809" s="40">
        <v>47</v>
      </c>
    </row>
    <row r="810" spans="1:2" x14ac:dyDescent="0.2">
      <c r="A810" s="40" t="s">
        <v>2911</v>
      </c>
      <c r="B810" s="40">
        <v>42</v>
      </c>
    </row>
    <row r="811" spans="1:2" x14ac:dyDescent="0.2">
      <c r="A811" s="40" t="s">
        <v>3254</v>
      </c>
      <c r="B811" s="40">
        <v>61</v>
      </c>
    </row>
    <row r="812" spans="1:2" x14ac:dyDescent="0.2">
      <c r="A812" s="40" t="s">
        <v>3056</v>
      </c>
      <c r="B812" s="40">
        <v>50</v>
      </c>
    </row>
    <row r="813" spans="1:2" x14ac:dyDescent="0.2">
      <c r="A813" s="40" t="s">
        <v>2468</v>
      </c>
      <c r="B813" s="40">
        <v>7</v>
      </c>
    </row>
    <row r="814" spans="1:2" x14ac:dyDescent="0.2">
      <c r="A814" s="40" t="s">
        <v>3234</v>
      </c>
      <c r="B814" s="40">
        <v>60</v>
      </c>
    </row>
    <row r="815" spans="1:2" x14ac:dyDescent="0.2">
      <c r="A815" s="40" t="s">
        <v>3296</v>
      </c>
      <c r="B815" s="40">
        <v>64</v>
      </c>
    </row>
    <row r="816" spans="1:2" x14ac:dyDescent="0.2">
      <c r="A816" s="40" t="s">
        <v>2488</v>
      </c>
      <c r="B816" s="40">
        <v>10</v>
      </c>
    </row>
    <row r="817" spans="1:2" x14ac:dyDescent="0.2">
      <c r="A817" s="40" t="s">
        <v>3235</v>
      </c>
      <c r="B817" s="40">
        <v>60</v>
      </c>
    </row>
    <row r="818" spans="1:2" x14ac:dyDescent="0.2">
      <c r="A818" s="40" t="s">
        <v>2818</v>
      </c>
      <c r="B818" s="40">
        <v>37</v>
      </c>
    </row>
    <row r="819" spans="1:2" x14ac:dyDescent="0.2">
      <c r="A819" s="40" t="s">
        <v>3504</v>
      </c>
      <c r="B819" s="40">
        <v>78</v>
      </c>
    </row>
    <row r="820" spans="1:2" x14ac:dyDescent="0.2">
      <c r="A820" s="40" t="s">
        <v>3057</v>
      </c>
      <c r="B820" s="40">
        <v>50</v>
      </c>
    </row>
    <row r="821" spans="1:2" x14ac:dyDescent="0.2">
      <c r="A821" s="40" t="s">
        <v>3058</v>
      </c>
      <c r="B821" s="40">
        <v>50</v>
      </c>
    </row>
    <row r="822" spans="1:2" x14ac:dyDescent="0.2">
      <c r="A822" s="40" t="s">
        <v>3236</v>
      </c>
      <c r="B822" s="40">
        <v>60</v>
      </c>
    </row>
    <row r="823" spans="1:2" x14ac:dyDescent="0.2">
      <c r="A823" s="40" t="s">
        <v>3518</v>
      </c>
      <c r="B823" s="40">
        <v>86</v>
      </c>
    </row>
    <row r="824" spans="1:2" x14ac:dyDescent="0.2">
      <c r="A824" s="40" t="s">
        <v>2673</v>
      </c>
      <c r="B824" s="40">
        <v>26</v>
      </c>
    </row>
    <row r="825" spans="1:2" x14ac:dyDescent="0.2">
      <c r="A825" s="40" t="s">
        <v>2753</v>
      </c>
      <c r="B825" s="40">
        <v>33</v>
      </c>
    </row>
    <row r="826" spans="1:2" x14ac:dyDescent="0.2">
      <c r="A826" s="40" t="s">
        <v>2753</v>
      </c>
      <c r="B826" s="40">
        <v>86</v>
      </c>
    </row>
    <row r="827" spans="1:2" x14ac:dyDescent="0.2">
      <c r="A827" s="40" t="s">
        <v>2686</v>
      </c>
      <c r="B827" s="40">
        <v>28</v>
      </c>
    </row>
    <row r="828" spans="1:2" x14ac:dyDescent="0.2">
      <c r="A828" s="40" t="s">
        <v>3059</v>
      </c>
      <c r="B828" s="40">
        <v>50</v>
      </c>
    </row>
    <row r="829" spans="1:2" x14ac:dyDescent="0.2">
      <c r="A829" s="40" t="s">
        <v>3384</v>
      </c>
      <c r="B829" s="40">
        <v>68</v>
      </c>
    </row>
    <row r="830" spans="1:2" x14ac:dyDescent="0.2">
      <c r="A830" s="40" t="s">
        <v>3354</v>
      </c>
      <c r="B830" s="40">
        <v>66</v>
      </c>
    </row>
    <row r="831" spans="1:2" x14ac:dyDescent="0.2">
      <c r="A831" s="40" t="s">
        <v>3355</v>
      </c>
      <c r="B831" s="40">
        <v>66</v>
      </c>
    </row>
    <row r="832" spans="1:2" x14ac:dyDescent="0.2">
      <c r="A832" s="40" t="s">
        <v>3060</v>
      </c>
      <c r="B832" s="40">
        <v>50</v>
      </c>
    </row>
    <row r="833" spans="1:2" x14ac:dyDescent="0.2">
      <c r="A833" s="40" t="s">
        <v>3404</v>
      </c>
      <c r="B833" s="40">
        <v>69</v>
      </c>
    </row>
    <row r="834" spans="1:2" x14ac:dyDescent="0.2">
      <c r="A834" s="40" t="s">
        <v>2819</v>
      </c>
      <c r="B834" s="40">
        <v>37</v>
      </c>
    </row>
    <row r="835" spans="1:2" x14ac:dyDescent="0.2">
      <c r="A835" s="40" t="s">
        <v>3373</v>
      </c>
      <c r="B835" s="40">
        <v>67</v>
      </c>
    </row>
    <row r="836" spans="1:2" x14ac:dyDescent="0.2">
      <c r="A836" s="40" t="s">
        <v>2805</v>
      </c>
      <c r="B836" s="40">
        <v>36</v>
      </c>
    </row>
    <row r="837" spans="1:2" x14ac:dyDescent="0.2">
      <c r="A837" s="40" t="s">
        <v>3491</v>
      </c>
      <c r="B837" s="40">
        <v>76</v>
      </c>
    </row>
    <row r="838" spans="1:2" x14ac:dyDescent="0.2">
      <c r="A838" s="40" t="s">
        <v>3255</v>
      </c>
      <c r="B838" s="40">
        <v>61</v>
      </c>
    </row>
    <row r="839" spans="1:2" x14ac:dyDescent="0.2">
      <c r="A839" s="40" t="s">
        <v>3061</v>
      </c>
      <c r="B839" s="40">
        <v>50</v>
      </c>
    </row>
    <row r="840" spans="1:2" x14ac:dyDescent="0.2">
      <c r="A840" s="40" t="s">
        <v>3297</v>
      </c>
      <c r="B840" s="40">
        <v>64</v>
      </c>
    </row>
    <row r="841" spans="1:2" x14ac:dyDescent="0.2">
      <c r="A841" s="40" t="s">
        <v>2593</v>
      </c>
      <c r="B841" s="40">
        <v>22</v>
      </c>
    </row>
    <row r="842" spans="1:2" x14ac:dyDescent="0.2">
      <c r="A842" s="40" t="s">
        <v>3374</v>
      </c>
      <c r="B842" s="40">
        <v>67</v>
      </c>
    </row>
    <row r="843" spans="1:2" x14ac:dyDescent="0.2">
      <c r="A843" s="40" t="s">
        <v>3062</v>
      </c>
      <c r="B843" s="40">
        <v>50</v>
      </c>
    </row>
    <row r="844" spans="1:2" x14ac:dyDescent="0.2">
      <c r="A844" s="40" t="s">
        <v>2510</v>
      </c>
      <c r="B844" s="40">
        <v>13</v>
      </c>
    </row>
    <row r="845" spans="1:2" x14ac:dyDescent="0.2">
      <c r="A845" s="40" t="s">
        <v>3492</v>
      </c>
      <c r="B845" s="40">
        <v>76</v>
      </c>
    </row>
    <row r="846" spans="1:2" x14ac:dyDescent="0.2">
      <c r="A846" s="40" t="s">
        <v>3265</v>
      </c>
      <c r="B846" s="40">
        <v>62</v>
      </c>
    </row>
    <row r="847" spans="1:2" x14ac:dyDescent="0.2">
      <c r="A847" s="40" t="s">
        <v>2959</v>
      </c>
      <c r="B847" s="40">
        <v>46</v>
      </c>
    </row>
    <row r="848" spans="1:2" x14ac:dyDescent="0.2">
      <c r="A848" s="40" t="s">
        <v>3266</v>
      </c>
      <c r="B848" s="40">
        <v>62</v>
      </c>
    </row>
    <row r="849" spans="1:2" x14ac:dyDescent="0.2">
      <c r="A849" s="40" t="s">
        <v>3267</v>
      </c>
      <c r="B849" s="40">
        <v>62</v>
      </c>
    </row>
    <row r="850" spans="1:2" x14ac:dyDescent="0.2">
      <c r="A850" s="40" t="s">
        <v>3545</v>
      </c>
      <c r="B850" s="40">
        <v>91</v>
      </c>
    </row>
    <row r="851" spans="1:2" x14ac:dyDescent="0.2">
      <c r="A851" s="40" t="s">
        <v>3545</v>
      </c>
      <c r="B851" s="40">
        <v>91</v>
      </c>
    </row>
    <row r="852" spans="1:2" x14ac:dyDescent="0.2">
      <c r="A852" s="40" t="s">
        <v>2436</v>
      </c>
      <c r="B852" s="40">
        <v>2</v>
      </c>
    </row>
    <row r="853" spans="1:2" x14ac:dyDescent="0.2">
      <c r="A853" s="40" t="s">
        <v>2912</v>
      </c>
      <c r="B853" s="40">
        <v>42</v>
      </c>
    </row>
    <row r="854" spans="1:2" x14ac:dyDescent="0.2">
      <c r="A854" s="40" t="s">
        <v>3533</v>
      </c>
      <c r="B854" s="40">
        <v>89</v>
      </c>
    </row>
    <row r="855" spans="1:2" x14ac:dyDescent="0.2">
      <c r="A855" s="40" t="s">
        <v>3256</v>
      </c>
      <c r="B855" s="40">
        <v>61</v>
      </c>
    </row>
    <row r="856" spans="1:2" x14ac:dyDescent="0.2">
      <c r="A856" s="40" t="s">
        <v>3280</v>
      </c>
      <c r="B856" s="40">
        <v>63</v>
      </c>
    </row>
    <row r="857" spans="1:2" x14ac:dyDescent="0.2">
      <c r="A857" s="40" t="s">
        <v>41</v>
      </c>
      <c r="B857" s="40">
        <v>78</v>
      </c>
    </row>
    <row r="858" spans="1:2" x14ac:dyDescent="0.2">
      <c r="A858" s="40" t="s">
        <v>2511</v>
      </c>
      <c r="B858" s="40">
        <v>13</v>
      </c>
    </row>
    <row r="859" spans="1:2" x14ac:dyDescent="0.2">
      <c r="A859" s="40" t="s">
        <v>2564</v>
      </c>
      <c r="B859" s="40">
        <v>18</v>
      </c>
    </row>
    <row r="860" spans="1:2" x14ac:dyDescent="0.2">
      <c r="A860" s="40" t="s">
        <v>3298</v>
      </c>
      <c r="B860" s="40">
        <v>64</v>
      </c>
    </row>
    <row r="861" spans="1:2" x14ac:dyDescent="0.2">
      <c r="A861" s="40" t="s">
        <v>3130</v>
      </c>
      <c r="B861" s="40">
        <v>52</v>
      </c>
    </row>
    <row r="862" spans="1:2" x14ac:dyDescent="0.2">
      <c r="A862" s="40" t="s">
        <v>3268</v>
      </c>
      <c r="B862" s="40">
        <v>62</v>
      </c>
    </row>
    <row r="863" spans="1:2" x14ac:dyDescent="0.2">
      <c r="A863" s="40" t="s">
        <v>3464</v>
      </c>
      <c r="B863" s="40">
        <v>74</v>
      </c>
    </row>
    <row r="864" spans="1:2" x14ac:dyDescent="0.2">
      <c r="A864" s="40" t="s">
        <v>3375</v>
      </c>
      <c r="B864" s="40">
        <v>67</v>
      </c>
    </row>
    <row r="865" spans="1:2" x14ac:dyDescent="0.2">
      <c r="A865" s="40" t="s">
        <v>2567</v>
      </c>
      <c r="B865" s="40">
        <v>19</v>
      </c>
    </row>
    <row r="866" spans="1:2" x14ac:dyDescent="0.2">
      <c r="A866" s="40" t="s">
        <v>2838</v>
      </c>
      <c r="B866" s="40">
        <v>38</v>
      </c>
    </row>
    <row r="867" spans="1:2" x14ac:dyDescent="0.2">
      <c r="A867" s="40" t="s">
        <v>2865</v>
      </c>
      <c r="B867" s="40">
        <v>39</v>
      </c>
    </row>
    <row r="868" spans="1:2" x14ac:dyDescent="0.2">
      <c r="A868" s="40" t="s">
        <v>2674</v>
      </c>
      <c r="B868" s="40">
        <v>26</v>
      </c>
    </row>
    <row r="869" spans="1:2" x14ac:dyDescent="0.2">
      <c r="A869" s="40" t="s">
        <v>2866</v>
      </c>
      <c r="B869" s="40">
        <v>39</v>
      </c>
    </row>
    <row r="870" spans="1:2" x14ac:dyDescent="0.2">
      <c r="A870" s="40" t="s">
        <v>2985</v>
      </c>
      <c r="B870" s="40">
        <v>47</v>
      </c>
    </row>
    <row r="871" spans="1:2" x14ac:dyDescent="0.2">
      <c r="A871" s="40" t="s">
        <v>2839</v>
      </c>
      <c r="B871" s="40">
        <v>38</v>
      </c>
    </row>
    <row r="872" spans="1:2" x14ac:dyDescent="0.2">
      <c r="A872" s="40" t="s">
        <v>2687</v>
      </c>
      <c r="B872" s="40">
        <v>28</v>
      </c>
    </row>
    <row r="873" spans="1:2" x14ac:dyDescent="0.2">
      <c r="A873" s="40" t="s">
        <v>3237</v>
      </c>
      <c r="B873" s="40">
        <v>60</v>
      </c>
    </row>
    <row r="874" spans="1:2" x14ac:dyDescent="0.2">
      <c r="A874" s="40" t="s">
        <v>3553</v>
      </c>
      <c r="B874" s="40">
        <v>92</v>
      </c>
    </row>
    <row r="875" spans="1:2" x14ac:dyDescent="0.2">
      <c r="A875" s="40" t="s">
        <v>2447</v>
      </c>
      <c r="B875" s="40">
        <v>3</v>
      </c>
    </row>
    <row r="876" spans="1:2" x14ac:dyDescent="0.2">
      <c r="A876" s="40" t="s">
        <v>2700</v>
      </c>
      <c r="B876" s="40">
        <v>29</v>
      </c>
    </row>
    <row r="877" spans="1:2" x14ac:dyDescent="0.2">
      <c r="A877" s="40" t="s">
        <v>3313</v>
      </c>
      <c r="B877" s="40">
        <v>65</v>
      </c>
    </row>
    <row r="878" spans="1:2" x14ac:dyDescent="0.2">
      <c r="A878" s="40" t="s">
        <v>3106</v>
      </c>
      <c r="B878" s="40">
        <v>51</v>
      </c>
    </row>
    <row r="879" spans="1:2" x14ac:dyDescent="0.2">
      <c r="A879" s="40" t="s">
        <v>3356</v>
      </c>
      <c r="B879" s="40">
        <v>66</v>
      </c>
    </row>
    <row r="880" spans="1:2" x14ac:dyDescent="0.2">
      <c r="A880" s="40" t="s">
        <v>3413</v>
      </c>
      <c r="B880" s="40">
        <v>70</v>
      </c>
    </row>
    <row r="881" spans="1:2" x14ac:dyDescent="0.2">
      <c r="A881" s="40" t="s">
        <v>2730</v>
      </c>
      <c r="B881" s="40">
        <v>32</v>
      </c>
    </row>
    <row r="882" spans="1:2" x14ac:dyDescent="0.2">
      <c r="A882" s="40" t="s">
        <v>2489</v>
      </c>
      <c r="B882" s="40">
        <v>10</v>
      </c>
    </row>
    <row r="883" spans="1:2" x14ac:dyDescent="0.2">
      <c r="A883" s="40" t="s">
        <v>2731</v>
      </c>
      <c r="B883" s="40">
        <v>32</v>
      </c>
    </row>
    <row r="884" spans="1:2" x14ac:dyDescent="0.2">
      <c r="A884" s="40" t="s">
        <v>3131</v>
      </c>
      <c r="B884" s="40">
        <v>52</v>
      </c>
    </row>
    <row r="885" spans="1:2" x14ac:dyDescent="0.2">
      <c r="A885" s="40" t="s">
        <v>3257</v>
      </c>
      <c r="B885" s="40">
        <v>61</v>
      </c>
    </row>
    <row r="886" spans="1:2" x14ac:dyDescent="0.2">
      <c r="A886" s="40" t="s">
        <v>2806</v>
      </c>
      <c r="B886" s="40">
        <v>36</v>
      </c>
    </row>
    <row r="887" spans="1:2" x14ac:dyDescent="0.2">
      <c r="A887" s="40" t="s">
        <v>3443</v>
      </c>
      <c r="B887" s="40">
        <v>73</v>
      </c>
    </row>
    <row r="888" spans="1:2" x14ac:dyDescent="0.2">
      <c r="A888" s="40" t="s">
        <v>2773</v>
      </c>
      <c r="B888" s="40">
        <v>34</v>
      </c>
    </row>
    <row r="889" spans="1:2" x14ac:dyDescent="0.2">
      <c r="A889" s="40" t="s">
        <v>3132</v>
      </c>
      <c r="B889" s="40">
        <v>52</v>
      </c>
    </row>
    <row r="890" spans="1:2" x14ac:dyDescent="0.2">
      <c r="A890" s="40" t="s">
        <v>3063</v>
      </c>
      <c r="B890" s="40">
        <v>50</v>
      </c>
    </row>
    <row r="891" spans="1:2" x14ac:dyDescent="0.2">
      <c r="A891" s="40" t="s">
        <v>3064</v>
      </c>
      <c r="B891" s="40">
        <v>50</v>
      </c>
    </row>
    <row r="892" spans="1:2" x14ac:dyDescent="0.2">
      <c r="A892" s="40" t="s">
        <v>3195</v>
      </c>
      <c r="B892" s="40">
        <v>58</v>
      </c>
    </row>
    <row r="893" spans="1:2" x14ac:dyDescent="0.2">
      <c r="A893" s="40" t="s">
        <v>3357</v>
      </c>
      <c r="B893" s="40">
        <v>66</v>
      </c>
    </row>
    <row r="894" spans="1:2" x14ac:dyDescent="0.2">
      <c r="A894" s="40" t="s">
        <v>3065</v>
      </c>
      <c r="B894" s="40">
        <v>50</v>
      </c>
    </row>
    <row r="895" spans="1:2" x14ac:dyDescent="0.2">
      <c r="A895" s="40" t="s">
        <v>2986</v>
      </c>
      <c r="B895" s="40">
        <v>47</v>
      </c>
    </row>
    <row r="896" spans="1:2" x14ac:dyDescent="0.2">
      <c r="A896" s="40" t="s">
        <v>3505</v>
      </c>
      <c r="B896" s="40">
        <v>78</v>
      </c>
    </row>
    <row r="897" spans="1:2" x14ac:dyDescent="0.2">
      <c r="A897" s="40" t="s">
        <v>2437</v>
      </c>
      <c r="B897" s="40">
        <v>2</v>
      </c>
    </row>
    <row r="898" spans="1:2" x14ac:dyDescent="0.2">
      <c r="A898" s="40" t="s">
        <v>3465</v>
      </c>
      <c r="B898" s="40">
        <v>74</v>
      </c>
    </row>
    <row r="899" spans="1:2" x14ac:dyDescent="0.2">
      <c r="A899" s="40" t="s">
        <v>3546</v>
      </c>
      <c r="B899" s="40">
        <v>91</v>
      </c>
    </row>
    <row r="900" spans="1:2" x14ac:dyDescent="0.2">
      <c r="A900" s="40" t="s">
        <v>2688</v>
      </c>
      <c r="B900" s="40">
        <v>28</v>
      </c>
    </row>
    <row r="901" spans="1:2" x14ac:dyDescent="0.2">
      <c r="A901" s="40" t="s">
        <v>3269</v>
      </c>
      <c r="B901" s="40">
        <v>62</v>
      </c>
    </row>
    <row r="902" spans="1:2" x14ac:dyDescent="0.2">
      <c r="A902" s="40" t="s">
        <v>2594</v>
      </c>
      <c r="B902" s="40">
        <v>22</v>
      </c>
    </row>
    <row r="903" spans="1:2" x14ac:dyDescent="0.2">
      <c r="A903" s="40" t="s">
        <v>2867</v>
      </c>
      <c r="B903" s="40">
        <v>39</v>
      </c>
    </row>
    <row r="904" spans="1:2" ht="25.5" x14ac:dyDescent="0.2">
      <c r="A904" s="40" t="s">
        <v>2614</v>
      </c>
      <c r="B904" s="40">
        <v>23</v>
      </c>
    </row>
    <row r="905" spans="1:2" x14ac:dyDescent="0.2">
      <c r="A905" s="40" t="s">
        <v>2987</v>
      </c>
      <c r="B905" s="40">
        <v>47</v>
      </c>
    </row>
    <row r="906" spans="1:2" x14ac:dyDescent="0.2">
      <c r="A906" s="40" t="s">
        <v>2929</v>
      </c>
      <c r="B906" s="40">
        <v>43</v>
      </c>
    </row>
    <row r="907" spans="1:2" x14ac:dyDescent="0.2">
      <c r="A907" s="40" t="s">
        <v>2840</v>
      </c>
      <c r="B907" s="40">
        <v>38</v>
      </c>
    </row>
    <row r="908" spans="1:2" x14ac:dyDescent="0.2">
      <c r="A908" s="40" t="s">
        <v>3376</v>
      </c>
      <c r="B908" s="40">
        <v>67</v>
      </c>
    </row>
    <row r="909" spans="1:2" x14ac:dyDescent="0.2">
      <c r="A909" s="40" t="s">
        <v>3066</v>
      </c>
      <c r="B909" s="40">
        <v>50</v>
      </c>
    </row>
    <row r="910" spans="1:2" x14ac:dyDescent="0.2">
      <c r="A910" s="40" t="s">
        <v>3466</v>
      </c>
      <c r="B910" s="40">
        <v>74</v>
      </c>
    </row>
    <row r="911" spans="1:2" x14ac:dyDescent="0.2">
      <c r="A911" s="40" t="s">
        <v>3107</v>
      </c>
      <c r="B911" s="40">
        <v>51</v>
      </c>
    </row>
    <row r="912" spans="1:2" x14ac:dyDescent="0.2">
      <c r="A912" s="40" t="s">
        <v>2754</v>
      </c>
      <c r="B912" s="40">
        <v>33</v>
      </c>
    </row>
    <row r="913" spans="1:2" x14ac:dyDescent="0.2">
      <c r="A913" s="40" t="s">
        <v>2868</v>
      </c>
      <c r="B913" s="40">
        <v>39</v>
      </c>
    </row>
    <row r="914" spans="1:2" x14ac:dyDescent="0.2">
      <c r="A914" s="40" t="s">
        <v>2868</v>
      </c>
      <c r="B914" s="40">
        <v>43</v>
      </c>
    </row>
    <row r="915" spans="1:2" x14ac:dyDescent="0.2">
      <c r="A915" s="40" t="s">
        <v>2868</v>
      </c>
      <c r="B915" s="40">
        <v>71</v>
      </c>
    </row>
    <row r="916" spans="1:2" x14ac:dyDescent="0.2">
      <c r="A916" s="40" t="s">
        <v>2681</v>
      </c>
      <c r="B916" s="40">
        <v>27</v>
      </c>
    </row>
    <row r="917" spans="1:2" x14ac:dyDescent="0.2">
      <c r="A917" s="40" t="s">
        <v>3519</v>
      </c>
      <c r="B917" s="40">
        <v>86</v>
      </c>
    </row>
    <row r="918" spans="1:2" x14ac:dyDescent="0.2">
      <c r="A918" s="40" t="s">
        <v>2787</v>
      </c>
      <c r="B918" s="40">
        <v>35</v>
      </c>
    </row>
    <row r="919" spans="1:2" x14ac:dyDescent="0.2">
      <c r="A919" s="40" t="s">
        <v>2942</v>
      </c>
      <c r="B919" s="40">
        <v>44</v>
      </c>
    </row>
    <row r="920" spans="1:2" x14ac:dyDescent="0.2">
      <c r="A920" s="40" t="s">
        <v>3216</v>
      </c>
      <c r="B920" s="40">
        <v>59</v>
      </c>
    </row>
    <row r="921" spans="1:2" x14ac:dyDescent="0.2">
      <c r="A921" s="40" t="s">
        <v>3067</v>
      </c>
      <c r="B921" s="40">
        <v>50</v>
      </c>
    </row>
    <row r="922" spans="1:2" x14ac:dyDescent="0.2">
      <c r="A922" s="40" t="s">
        <v>3068</v>
      </c>
      <c r="B922" s="40">
        <v>50</v>
      </c>
    </row>
    <row r="923" spans="1:2" x14ac:dyDescent="0.2">
      <c r="A923" s="40" t="s">
        <v>3069</v>
      </c>
      <c r="B923" s="40">
        <v>50</v>
      </c>
    </row>
    <row r="924" spans="1:2" x14ac:dyDescent="0.2">
      <c r="A924" s="40" t="s">
        <v>3070</v>
      </c>
      <c r="B924" s="40">
        <v>50</v>
      </c>
    </row>
    <row r="925" spans="1:2" x14ac:dyDescent="0.2">
      <c r="A925" s="40" t="s">
        <v>3071</v>
      </c>
      <c r="B925" s="40">
        <v>50</v>
      </c>
    </row>
    <row r="926" spans="1:2" x14ac:dyDescent="0.2">
      <c r="A926" s="40" t="s">
        <v>2701</v>
      </c>
      <c r="B926" s="40">
        <v>29</v>
      </c>
    </row>
    <row r="927" spans="1:2" x14ac:dyDescent="0.2">
      <c r="A927" s="40" t="s">
        <v>3177</v>
      </c>
      <c r="B927" s="40">
        <v>56</v>
      </c>
    </row>
    <row r="928" spans="1:2" x14ac:dyDescent="0.2">
      <c r="A928" s="40" t="s">
        <v>3142</v>
      </c>
      <c r="B928" s="40">
        <v>53</v>
      </c>
    </row>
    <row r="929" spans="1:2" x14ac:dyDescent="0.2">
      <c r="A929" s="40" t="s">
        <v>3143</v>
      </c>
      <c r="B929" s="40">
        <v>53</v>
      </c>
    </row>
    <row r="930" spans="1:2" x14ac:dyDescent="0.2">
      <c r="A930" s="40" t="s">
        <v>3178</v>
      </c>
      <c r="B930" s="40">
        <v>56</v>
      </c>
    </row>
    <row r="931" spans="1:2" x14ac:dyDescent="0.2">
      <c r="A931" s="40" t="s">
        <v>2568</v>
      </c>
      <c r="B931" s="40">
        <v>19</v>
      </c>
    </row>
    <row r="932" spans="1:2" x14ac:dyDescent="0.2">
      <c r="A932" s="40" t="s">
        <v>2490</v>
      </c>
      <c r="B932" s="40">
        <v>10</v>
      </c>
    </row>
    <row r="933" spans="1:2" x14ac:dyDescent="0.2">
      <c r="A933" s="40" t="s">
        <v>2888</v>
      </c>
      <c r="B933" s="40">
        <v>40</v>
      </c>
    </row>
    <row r="934" spans="1:2" x14ac:dyDescent="0.2">
      <c r="A934" s="40" t="s">
        <v>2930</v>
      </c>
      <c r="B934" s="40">
        <v>43</v>
      </c>
    </row>
    <row r="935" spans="1:2" x14ac:dyDescent="0.2">
      <c r="A935" s="40" t="s">
        <v>2641</v>
      </c>
      <c r="B935" s="40">
        <v>24</v>
      </c>
    </row>
    <row r="936" spans="1:2" x14ac:dyDescent="0.2">
      <c r="A936" s="40" t="s">
        <v>2988</v>
      </c>
      <c r="B936" s="40">
        <v>47</v>
      </c>
    </row>
    <row r="937" spans="1:2" x14ac:dyDescent="0.2">
      <c r="A937" s="40" t="s">
        <v>2498</v>
      </c>
      <c r="B937" s="40">
        <v>11</v>
      </c>
    </row>
    <row r="938" spans="1:2" x14ac:dyDescent="0.2">
      <c r="A938" s="40" t="s">
        <v>2615</v>
      </c>
      <c r="B938" s="40">
        <v>23</v>
      </c>
    </row>
    <row r="939" spans="1:2" x14ac:dyDescent="0.2">
      <c r="A939" s="40" t="s">
        <v>2889</v>
      </c>
      <c r="B939" s="40">
        <v>40</v>
      </c>
    </row>
    <row r="940" spans="1:2" x14ac:dyDescent="0.2">
      <c r="A940" s="40" t="s">
        <v>3270</v>
      </c>
      <c r="B940" s="40">
        <v>62</v>
      </c>
    </row>
    <row r="941" spans="1:2" x14ac:dyDescent="0.2">
      <c r="A941" s="40" t="s">
        <v>3196</v>
      </c>
      <c r="B941" s="40">
        <v>58</v>
      </c>
    </row>
    <row r="942" spans="1:2" x14ac:dyDescent="0.2">
      <c r="A942" s="40" t="s">
        <v>2654</v>
      </c>
      <c r="B942" s="40">
        <v>25</v>
      </c>
    </row>
    <row r="943" spans="1:2" x14ac:dyDescent="0.2">
      <c r="A943" s="40" t="s">
        <v>3271</v>
      </c>
      <c r="B943" s="40">
        <v>62</v>
      </c>
    </row>
    <row r="944" spans="1:2" x14ac:dyDescent="0.2">
      <c r="A944" s="40" t="s">
        <v>2522</v>
      </c>
      <c r="B944" s="40">
        <v>14</v>
      </c>
    </row>
    <row r="945" spans="1:2" x14ac:dyDescent="0.2">
      <c r="A945" s="40" t="s">
        <v>3358</v>
      </c>
      <c r="B945" s="40">
        <v>66</v>
      </c>
    </row>
    <row r="946" spans="1:2" x14ac:dyDescent="0.2">
      <c r="A946" s="40" t="s">
        <v>3481</v>
      </c>
      <c r="B946" s="40">
        <v>75</v>
      </c>
    </row>
    <row r="947" spans="1:2" x14ac:dyDescent="0.2">
      <c r="A947" s="40" t="s">
        <v>2675</v>
      </c>
      <c r="B947" s="40">
        <v>26</v>
      </c>
    </row>
    <row r="948" spans="1:2" x14ac:dyDescent="0.2">
      <c r="A948" s="40" t="s">
        <v>3072</v>
      </c>
      <c r="B948" s="40">
        <v>50</v>
      </c>
    </row>
    <row r="949" spans="1:2" x14ac:dyDescent="0.2">
      <c r="A949" s="40" t="s">
        <v>3144</v>
      </c>
      <c r="B949" s="40">
        <v>53</v>
      </c>
    </row>
    <row r="950" spans="1:2" x14ac:dyDescent="0.2">
      <c r="A950" s="40" t="s">
        <v>3405</v>
      </c>
      <c r="B950" s="40">
        <v>69</v>
      </c>
    </row>
    <row r="951" spans="1:2" x14ac:dyDescent="0.2">
      <c r="A951" s="40" t="s">
        <v>2732</v>
      </c>
      <c r="B951" s="40">
        <v>32</v>
      </c>
    </row>
    <row r="952" spans="1:2" x14ac:dyDescent="0.2">
      <c r="A952" s="40" t="s">
        <v>3547</v>
      </c>
      <c r="B952" s="40">
        <v>91</v>
      </c>
    </row>
    <row r="953" spans="1:2" x14ac:dyDescent="0.2">
      <c r="A953" s="40" t="s">
        <v>2718</v>
      </c>
      <c r="B953" s="40">
        <v>31</v>
      </c>
    </row>
    <row r="954" spans="1:2" x14ac:dyDescent="0.2">
      <c r="A954" s="40" t="s">
        <v>2438</v>
      </c>
      <c r="B954" s="40">
        <v>2</v>
      </c>
    </row>
    <row r="955" spans="1:2" x14ac:dyDescent="0.2">
      <c r="A955" s="40" t="s">
        <v>3414</v>
      </c>
      <c r="B955" s="40">
        <v>70</v>
      </c>
    </row>
    <row r="956" spans="1:2" x14ac:dyDescent="0.2">
      <c r="A956" s="40" t="s">
        <v>2719</v>
      </c>
      <c r="B956" s="40">
        <v>31</v>
      </c>
    </row>
    <row r="957" spans="1:2" x14ac:dyDescent="0.2">
      <c r="A957" s="40" t="s">
        <v>2755</v>
      </c>
      <c r="B957" s="40">
        <v>33</v>
      </c>
    </row>
    <row r="958" spans="1:2" x14ac:dyDescent="0.2">
      <c r="A958" s="40" t="s">
        <v>3073</v>
      </c>
      <c r="B958" s="40">
        <v>50</v>
      </c>
    </row>
    <row r="959" spans="1:2" x14ac:dyDescent="0.2">
      <c r="A959" s="40" t="s">
        <v>3428</v>
      </c>
      <c r="B959" s="40">
        <v>71</v>
      </c>
    </row>
    <row r="960" spans="1:2" x14ac:dyDescent="0.2">
      <c r="A960" s="40" t="s">
        <v>3548</v>
      </c>
      <c r="B960" s="40">
        <v>91</v>
      </c>
    </row>
    <row r="961" spans="1:2" x14ac:dyDescent="0.2">
      <c r="A961" s="40" t="s">
        <v>2960</v>
      </c>
      <c r="B961" s="40">
        <v>46</v>
      </c>
    </row>
    <row r="962" spans="1:2" x14ac:dyDescent="0.2">
      <c r="A962" s="40" t="s">
        <v>2756</v>
      </c>
      <c r="B962" s="40">
        <v>33</v>
      </c>
    </row>
    <row r="963" spans="1:2" x14ac:dyDescent="0.2">
      <c r="A963" s="40" t="s">
        <v>2757</v>
      </c>
      <c r="B963" s="40">
        <v>33</v>
      </c>
    </row>
    <row r="964" spans="1:2" x14ac:dyDescent="0.2">
      <c r="A964" s="40" t="s">
        <v>2491</v>
      </c>
      <c r="B964" s="40">
        <v>10</v>
      </c>
    </row>
    <row r="965" spans="1:2" x14ac:dyDescent="0.2">
      <c r="A965" s="40" t="s">
        <v>2733</v>
      </c>
      <c r="B965" s="40">
        <v>32</v>
      </c>
    </row>
    <row r="966" spans="1:2" x14ac:dyDescent="0.2">
      <c r="A966" s="40" t="s">
        <v>3520</v>
      </c>
      <c r="B966" s="40">
        <v>86</v>
      </c>
    </row>
    <row r="967" spans="1:2" x14ac:dyDescent="0.2">
      <c r="A967" s="40" t="s">
        <v>2774</v>
      </c>
      <c r="B967" s="40">
        <v>34</v>
      </c>
    </row>
    <row r="968" spans="1:2" x14ac:dyDescent="0.2">
      <c r="A968" s="40" t="s">
        <v>3197</v>
      </c>
      <c r="B968" s="40">
        <v>58</v>
      </c>
    </row>
    <row r="969" spans="1:2" x14ac:dyDescent="0.2">
      <c r="A969" s="40" t="s">
        <v>3002</v>
      </c>
      <c r="B969" s="40">
        <v>49</v>
      </c>
    </row>
    <row r="970" spans="1:2" x14ac:dyDescent="0.2">
      <c r="A970" s="40" t="s">
        <v>2890</v>
      </c>
      <c r="B970" s="40">
        <v>40</v>
      </c>
    </row>
    <row r="971" spans="1:2" x14ac:dyDescent="0.2">
      <c r="A971" s="40" t="s">
        <v>3359</v>
      </c>
      <c r="B971" s="40">
        <v>66</v>
      </c>
    </row>
    <row r="972" spans="1:2" x14ac:dyDescent="0.2">
      <c r="A972" s="40" t="s">
        <v>3281</v>
      </c>
      <c r="B972" s="40">
        <v>63</v>
      </c>
    </row>
    <row r="973" spans="1:2" x14ac:dyDescent="0.2">
      <c r="A973" s="40" t="s">
        <v>2499</v>
      </c>
      <c r="B973" s="40">
        <v>11</v>
      </c>
    </row>
    <row r="974" spans="1:2" x14ac:dyDescent="0.2">
      <c r="A974" s="40" t="s">
        <v>3360</v>
      </c>
      <c r="B974" s="40">
        <v>66</v>
      </c>
    </row>
    <row r="975" spans="1:2" x14ac:dyDescent="0.2">
      <c r="A975" s="40" t="s">
        <v>3377</v>
      </c>
      <c r="B975" s="40">
        <v>67</v>
      </c>
    </row>
    <row r="976" spans="1:2" x14ac:dyDescent="0.2">
      <c r="A976" s="40" t="s">
        <v>2989</v>
      </c>
      <c r="B976" s="40">
        <v>47</v>
      </c>
    </row>
    <row r="977" spans="1:2" x14ac:dyDescent="0.2">
      <c r="A977" s="40" t="s">
        <v>3361</v>
      </c>
      <c r="B977" s="40">
        <v>66</v>
      </c>
    </row>
    <row r="978" spans="1:2" x14ac:dyDescent="0.2">
      <c r="A978" s="40" t="s">
        <v>3258</v>
      </c>
      <c r="B978" s="40">
        <v>61</v>
      </c>
    </row>
    <row r="979" spans="1:2" x14ac:dyDescent="0.2">
      <c r="A979" s="40" t="s">
        <v>2913</v>
      </c>
      <c r="B979" s="40">
        <v>42</v>
      </c>
    </row>
    <row r="980" spans="1:2" x14ac:dyDescent="0.2">
      <c r="A980" s="40" t="s">
        <v>2841</v>
      </c>
      <c r="B980" s="40">
        <v>38</v>
      </c>
    </row>
    <row r="981" spans="1:2" x14ac:dyDescent="0.2">
      <c r="A981" s="40" t="s">
        <v>3074</v>
      </c>
      <c r="B981" s="40">
        <v>50</v>
      </c>
    </row>
    <row r="982" spans="1:2" x14ac:dyDescent="0.2">
      <c r="A982" s="40" t="s">
        <v>3362</v>
      </c>
      <c r="B982" s="40">
        <v>66</v>
      </c>
    </row>
    <row r="983" spans="1:2" x14ac:dyDescent="0.2">
      <c r="A983" s="40" t="s">
        <v>3385</v>
      </c>
      <c r="B983" s="40">
        <v>68</v>
      </c>
    </row>
    <row r="984" spans="1:2" x14ac:dyDescent="0.2">
      <c r="A984" s="40" t="s">
        <v>3166</v>
      </c>
      <c r="B984" s="40">
        <v>55</v>
      </c>
    </row>
    <row r="985" spans="1:2" x14ac:dyDescent="0.2">
      <c r="A985" s="40" t="s">
        <v>3534</v>
      </c>
      <c r="B985" s="40">
        <v>89</v>
      </c>
    </row>
    <row r="986" spans="1:2" x14ac:dyDescent="0.2">
      <c r="A986" s="40" t="s">
        <v>2891</v>
      </c>
      <c r="B986" s="40">
        <v>40</v>
      </c>
    </row>
    <row r="987" spans="1:2" x14ac:dyDescent="0.2">
      <c r="A987" s="40" t="s">
        <v>3157</v>
      </c>
      <c r="B987" s="40">
        <v>54</v>
      </c>
    </row>
    <row r="988" spans="1:2" x14ac:dyDescent="0.2">
      <c r="A988" s="40" t="s">
        <v>2914</v>
      </c>
      <c r="B988" s="40">
        <v>42</v>
      </c>
    </row>
    <row r="989" spans="1:2" x14ac:dyDescent="0.2">
      <c r="A989" s="40" t="s">
        <v>3406</v>
      </c>
      <c r="B989" s="40">
        <v>69</v>
      </c>
    </row>
    <row r="990" spans="1:2" x14ac:dyDescent="0.2">
      <c r="A990" s="40" t="s">
        <v>2476</v>
      </c>
      <c r="B990" s="40">
        <v>9</v>
      </c>
    </row>
    <row r="991" spans="1:2" x14ac:dyDescent="0.2">
      <c r="A991" s="40" t="s">
        <v>2820</v>
      </c>
      <c r="B991" s="40">
        <v>37</v>
      </c>
    </row>
    <row r="992" spans="1:2" x14ac:dyDescent="0.2">
      <c r="A992" s="40" t="s">
        <v>2512</v>
      </c>
      <c r="B992" s="40">
        <v>13</v>
      </c>
    </row>
    <row r="993" spans="1:2" x14ac:dyDescent="0.2">
      <c r="A993" s="40" t="s">
        <v>2616</v>
      </c>
      <c r="B993" s="40">
        <v>23</v>
      </c>
    </row>
    <row r="994" spans="1:2" x14ac:dyDescent="0.2">
      <c r="A994" s="40" t="s">
        <v>2469</v>
      </c>
      <c r="B994" s="40">
        <v>7</v>
      </c>
    </row>
    <row r="995" spans="1:2" x14ac:dyDescent="0.2">
      <c r="A995" s="40" t="s">
        <v>2552</v>
      </c>
      <c r="B995" s="40">
        <v>16</v>
      </c>
    </row>
    <row r="996" spans="1:2" x14ac:dyDescent="0.2">
      <c r="A996" s="40" t="s">
        <v>2617</v>
      </c>
      <c r="B996" s="40">
        <v>23</v>
      </c>
    </row>
    <row r="997" spans="1:2" x14ac:dyDescent="0.2">
      <c r="A997" s="40" t="s">
        <v>2990</v>
      </c>
      <c r="B997" s="40">
        <v>47</v>
      </c>
    </row>
    <row r="998" spans="1:2" x14ac:dyDescent="0.2">
      <c r="A998" s="40" t="s">
        <v>2618</v>
      </c>
      <c r="B998" s="40">
        <v>23</v>
      </c>
    </row>
    <row r="999" spans="1:2" x14ac:dyDescent="0.2">
      <c r="A999" s="40" t="s">
        <v>3436</v>
      </c>
      <c r="B999" s="40">
        <v>72</v>
      </c>
    </row>
    <row r="1000" spans="1:2" x14ac:dyDescent="0.2">
      <c r="A1000" s="40" t="s">
        <v>3158</v>
      </c>
      <c r="B1000" s="40">
        <v>54</v>
      </c>
    </row>
    <row r="1001" spans="1:2" x14ac:dyDescent="0.2">
      <c r="A1001" s="40" t="s">
        <v>3282</v>
      </c>
      <c r="B1001" s="40">
        <v>63</v>
      </c>
    </row>
    <row r="1002" spans="1:2" x14ac:dyDescent="0.2">
      <c r="A1002" s="40" t="s">
        <v>3314</v>
      </c>
      <c r="B1002" s="40">
        <v>65</v>
      </c>
    </row>
    <row r="1003" spans="1:2" x14ac:dyDescent="0.2">
      <c r="A1003" s="40" t="s">
        <v>2523</v>
      </c>
      <c r="B1003" s="40">
        <v>14</v>
      </c>
    </row>
    <row r="1004" spans="1:2" x14ac:dyDescent="0.2">
      <c r="A1004" s="40" t="s">
        <v>3415</v>
      </c>
      <c r="B1004" s="40">
        <v>70</v>
      </c>
    </row>
    <row r="1005" spans="1:2" x14ac:dyDescent="0.2">
      <c r="A1005" s="40" t="s">
        <v>2915</v>
      </c>
      <c r="B1005" s="40">
        <v>42</v>
      </c>
    </row>
    <row r="1006" spans="1:2" x14ac:dyDescent="0.2">
      <c r="A1006" s="40" t="s">
        <v>3407</v>
      </c>
      <c r="B1006" s="40">
        <v>69</v>
      </c>
    </row>
    <row r="1007" spans="1:2" x14ac:dyDescent="0.2">
      <c r="A1007" s="40" t="s">
        <v>3408</v>
      </c>
      <c r="B1007" s="40">
        <v>69</v>
      </c>
    </row>
    <row r="1008" spans="1:2" x14ac:dyDescent="0.2">
      <c r="A1008" s="40" t="s">
        <v>2991</v>
      </c>
      <c r="B1008" s="40">
        <v>47</v>
      </c>
    </row>
    <row r="1009" spans="1:2" x14ac:dyDescent="0.2">
      <c r="A1009" s="40" t="s">
        <v>2788</v>
      </c>
      <c r="B1009" s="40">
        <v>35</v>
      </c>
    </row>
    <row r="1010" spans="1:2" x14ac:dyDescent="0.2">
      <c r="A1010" s="40" t="s">
        <v>3467</v>
      </c>
      <c r="B1010" s="40">
        <v>74</v>
      </c>
    </row>
    <row r="1011" spans="1:2" x14ac:dyDescent="0.2">
      <c r="A1011" s="40" t="s">
        <v>3468</v>
      </c>
      <c r="B1011" s="40">
        <v>74</v>
      </c>
    </row>
    <row r="1012" spans="1:2" x14ac:dyDescent="0.2">
      <c r="A1012" s="40" t="s">
        <v>3469</v>
      </c>
      <c r="B1012" s="40">
        <v>74</v>
      </c>
    </row>
    <row r="1013" spans="1:2" x14ac:dyDescent="0.2">
      <c r="A1013" s="40" t="s">
        <v>3469</v>
      </c>
      <c r="B1013" s="40">
        <v>77</v>
      </c>
    </row>
    <row r="1014" spans="1:2" x14ac:dyDescent="0.2">
      <c r="A1014" s="40" t="s">
        <v>2734</v>
      </c>
      <c r="B1014" s="40">
        <v>32</v>
      </c>
    </row>
    <row r="1015" spans="1:2" x14ac:dyDescent="0.2">
      <c r="A1015" s="40" t="s">
        <v>2619</v>
      </c>
      <c r="B1015" s="40">
        <v>23</v>
      </c>
    </row>
    <row r="1016" spans="1:2" x14ac:dyDescent="0.2">
      <c r="A1016" s="40" t="s">
        <v>2439</v>
      </c>
      <c r="B1016" s="40">
        <v>2</v>
      </c>
    </row>
    <row r="1017" spans="1:2" x14ac:dyDescent="0.2">
      <c r="A1017" s="40" t="s">
        <v>3429</v>
      </c>
      <c r="B1017" s="40">
        <v>71</v>
      </c>
    </row>
    <row r="1018" spans="1:2" x14ac:dyDescent="0.2">
      <c r="A1018" s="40" t="s">
        <v>2842</v>
      </c>
      <c r="B1018" s="40">
        <v>38</v>
      </c>
    </row>
    <row r="1019" spans="1:2" x14ac:dyDescent="0.2">
      <c r="A1019" s="40" t="s">
        <v>2556</v>
      </c>
      <c r="B1019" s="40">
        <v>17</v>
      </c>
    </row>
    <row r="1020" spans="1:2" x14ac:dyDescent="0.2">
      <c r="A1020" s="40" t="s">
        <v>3363</v>
      </c>
      <c r="B1020" s="40">
        <v>66</v>
      </c>
    </row>
    <row r="1021" spans="1:2" x14ac:dyDescent="0.2">
      <c r="A1021" s="40" t="s">
        <v>3493</v>
      </c>
      <c r="B1021" s="40">
        <v>76</v>
      </c>
    </row>
    <row r="1022" spans="1:2" x14ac:dyDescent="0.2">
      <c r="A1022" s="40" t="s">
        <v>2689</v>
      </c>
      <c r="B1022" s="40">
        <v>28</v>
      </c>
    </row>
    <row r="1023" spans="1:2" x14ac:dyDescent="0.2">
      <c r="A1023" s="40" t="s">
        <v>2470</v>
      </c>
      <c r="B1023" s="40">
        <v>7</v>
      </c>
    </row>
    <row r="1024" spans="1:2" x14ac:dyDescent="0.2">
      <c r="A1024" s="40" t="s">
        <v>3167</v>
      </c>
      <c r="B1024" s="40">
        <v>55</v>
      </c>
    </row>
    <row r="1025" spans="1:2" x14ac:dyDescent="0.2">
      <c r="A1025" s="40" t="s">
        <v>3437</v>
      </c>
      <c r="B1025" s="40">
        <v>72</v>
      </c>
    </row>
    <row r="1026" spans="1:2" x14ac:dyDescent="0.2">
      <c r="A1026" s="40" t="s">
        <v>3386</v>
      </c>
      <c r="B1026" s="40">
        <v>68</v>
      </c>
    </row>
    <row r="1027" spans="1:2" x14ac:dyDescent="0.2">
      <c r="A1027" s="40" t="s">
        <v>3315</v>
      </c>
      <c r="B1027" s="40">
        <v>65</v>
      </c>
    </row>
    <row r="1028" spans="1:2" x14ac:dyDescent="0.2">
      <c r="A1028" s="40" t="s">
        <v>3494</v>
      </c>
      <c r="B1028" s="40">
        <v>76</v>
      </c>
    </row>
    <row r="1029" spans="1:2" x14ac:dyDescent="0.2">
      <c r="A1029" s="40" t="s">
        <v>2524</v>
      </c>
      <c r="B1029" s="40">
        <v>14</v>
      </c>
    </row>
    <row r="1030" spans="1:2" x14ac:dyDescent="0.2">
      <c r="A1030" s="40" t="s">
        <v>3409</v>
      </c>
      <c r="B1030" s="40">
        <v>69</v>
      </c>
    </row>
    <row r="1031" spans="1:2" x14ac:dyDescent="0.2">
      <c r="A1031" s="40" t="s">
        <v>2642</v>
      </c>
      <c r="B1031" s="40">
        <v>24</v>
      </c>
    </row>
    <row r="1032" spans="1:2" x14ac:dyDescent="0.2">
      <c r="A1032" s="40" t="s">
        <v>3430</v>
      </c>
      <c r="B1032" s="40">
        <v>71</v>
      </c>
    </row>
    <row r="1033" spans="1:2" x14ac:dyDescent="0.2">
      <c r="A1033" s="40" t="s">
        <v>2448</v>
      </c>
      <c r="B1033" s="40">
        <v>3</v>
      </c>
    </row>
    <row r="1034" spans="1:2" x14ac:dyDescent="0.2">
      <c r="A1034" s="40" t="s">
        <v>3444</v>
      </c>
      <c r="B1034" s="40">
        <v>73</v>
      </c>
    </row>
    <row r="1035" spans="1:2" x14ac:dyDescent="0.2">
      <c r="A1035" s="40" t="s">
        <v>2735</v>
      </c>
      <c r="B1035" s="40">
        <v>32</v>
      </c>
    </row>
    <row r="1036" spans="1:2" x14ac:dyDescent="0.2">
      <c r="A1036" s="40" t="s">
        <v>3521</v>
      </c>
      <c r="B1036" s="40">
        <v>86</v>
      </c>
    </row>
    <row r="1037" spans="1:2" x14ac:dyDescent="0.2">
      <c r="A1037" s="40" t="s">
        <v>3133</v>
      </c>
      <c r="B1037" s="40">
        <v>52</v>
      </c>
    </row>
    <row r="1038" spans="1:2" x14ac:dyDescent="0.2">
      <c r="A1038" s="40" t="s">
        <v>2931</v>
      </c>
      <c r="B1038" s="40">
        <v>43</v>
      </c>
    </row>
    <row r="1039" spans="1:2" x14ac:dyDescent="0.2">
      <c r="A1039" s="40" t="s">
        <v>2573</v>
      </c>
      <c r="B1039" s="40">
        <v>20</v>
      </c>
    </row>
    <row r="1040" spans="1:2" x14ac:dyDescent="0.2">
      <c r="A1040" s="40" t="s">
        <v>2775</v>
      </c>
      <c r="B1040" s="40">
        <v>34</v>
      </c>
    </row>
    <row r="1041" spans="1:2" x14ac:dyDescent="0.2">
      <c r="A1041" s="40" t="s">
        <v>2500</v>
      </c>
      <c r="B1041" s="40">
        <v>11</v>
      </c>
    </row>
    <row r="1042" spans="1:2" x14ac:dyDescent="0.2">
      <c r="A1042" s="40" t="s">
        <v>2999</v>
      </c>
      <c r="B1042" s="40">
        <v>48</v>
      </c>
    </row>
    <row r="1043" spans="1:2" x14ac:dyDescent="0.2">
      <c r="A1043" s="40" t="s">
        <v>3217</v>
      </c>
      <c r="B1043" s="40">
        <v>59</v>
      </c>
    </row>
    <row r="1044" spans="1:2" x14ac:dyDescent="0.2">
      <c r="A1044" s="40" t="s">
        <v>2843</v>
      </c>
      <c r="B1044" s="40">
        <v>38</v>
      </c>
    </row>
    <row r="1045" spans="1:2" x14ac:dyDescent="0.2">
      <c r="A1045" s="40" t="s">
        <v>2655</v>
      </c>
      <c r="B1045" s="40">
        <v>25</v>
      </c>
    </row>
    <row r="1046" spans="1:2" x14ac:dyDescent="0.2">
      <c r="A1046" s="40" t="s">
        <v>2477</v>
      </c>
      <c r="B1046" s="40">
        <v>9</v>
      </c>
    </row>
    <row r="1047" spans="1:2" x14ac:dyDescent="0.2">
      <c r="A1047" s="40" t="s">
        <v>2844</v>
      </c>
      <c r="B1047" s="40">
        <v>38</v>
      </c>
    </row>
    <row r="1048" spans="1:2" x14ac:dyDescent="0.2">
      <c r="A1048" s="40" t="s">
        <v>3470</v>
      </c>
      <c r="B1048" s="40">
        <v>74</v>
      </c>
    </row>
    <row r="1049" spans="1:2" x14ac:dyDescent="0.2">
      <c r="A1049" s="40" t="s">
        <v>2845</v>
      </c>
      <c r="B1049" s="40">
        <v>38</v>
      </c>
    </row>
    <row r="1050" spans="1:2" x14ac:dyDescent="0.2">
      <c r="A1050" s="40" t="s">
        <v>2620</v>
      </c>
      <c r="B1050" s="40">
        <v>23</v>
      </c>
    </row>
    <row r="1051" spans="1:2" x14ac:dyDescent="0.2">
      <c r="A1051" s="40" t="s">
        <v>2789</v>
      </c>
      <c r="B1051" s="40">
        <v>35</v>
      </c>
    </row>
    <row r="1052" spans="1:2" x14ac:dyDescent="0.2">
      <c r="A1052" s="40" t="s">
        <v>2440</v>
      </c>
      <c r="B1052" s="40">
        <v>2</v>
      </c>
    </row>
    <row r="1053" spans="1:2" x14ac:dyDescent="0.2">
      <c r="A1053" s="40" t="s">
        <v>2501</v>
      </c>
      <c r="B1053" s="40">
        <v>11</v>
      </c>
    </row>
    <row r="1054" spans="1:2" x14ac:dyDescent="0.2">
      <c r="A1054" s="40" t="s">
        <v>2441</v>
      </c>
      <c r="B1054" s="40">
        <v>2</v>
      </c>
    </row>
    <row r="1055" spans="1:2" x14ac:dyDescent="0.2">
      <c r="A1055" s="40" t="s">
        <v>2643</v>
      </c>
      <c r="B1055" s="40">
        <v>24</v>
      </c>
    </row>
    <row r="1056" spans="1:2" x14ac:dyDescent="0.2">
      <c r="A1056" s="40" t="s">
        <v>2961</v>
      </c>
      <c r="B1056" s="40">
        <v>46</v>
      </c>
    </row>
    <row r="1057" spans="1:2" x14ac:dyDescent="0.2">
      <c r="A1057" s="40" t="s">
        <v>3549</v>
      </c>
      <c r="B1057" s="40">
        <v>91</v>
      </c>
    </row>
    <row r="1058" spans="1:2" x14ac:dyDescent="0.2">
      <c r="A1058" s="40" t="s">
        <v>2656</v>
      </c>
      <c r="B1058" s="40">
        <v>25</v>
      </c>
    </row>
    <row r="1059" spans="1:2" x14ac:dyDescent="0.2">
      <c r="A1059" s="40" t="s">
        <v>2656</v>
      </c>
      <c r="B1059" s="40">
        <v>32</v>
      </c>
    </row>
    <row r="1060" spans="1:2" x14ac:dyDescent="0.2">
      <c r="A1060" s="40" t="s">
        <v>2776</v>
      </c>
      <c r="B1060" s="40">
        <v>34</v>
      </c>
    </row>
    <row r="1061" spans="1:2" x14ac:dyDescent="0.2">
      <c r="A1061" s="40" t="s">
        <v>3075</v>
      </c>
      <c r="B1061" s="40">
        <v>50</v>
      </c>
    </row>
    <row r="1062" spans="1:2" x14ac:dyDescent="0.2">
      <c r="A1062" s="40" t="s">
        <v>2821</v>
      </c>
      <c r="B1062" s="40">
        <v>37</v>
      </c>
    </row>
    <row r="1063" spans="1:2" x14ac:dyDescent="0.2">
      <c r="A1063" s="40" t="s">
        <v>2682</v>
      </c>
      <c r="B1063" s="40">
        <v>27</v>
      </c>
    </row>
    <row r="1064" spans="1:2" x14ac:dyDescent="0.2">
      <c r="A1064" s="40" t="s">
        <v>2621</v>
      </c>
      <c r="B1064" s="40">
        <v>23</v>
      </c>
    </row>
    <row r="1065" spans="1:2" x14ac:dyDescent="0.2">
      <c r="A1065" s="40" t="s">
        <v>3522</v>
      </c>
      <c r="B1065" s="40">
        <v>86</v>
      </c>
    </row>
    <row r="1066" spans="1:2" x14ac:dyDescent="0.2">
      <c r="A1066" s="40" t="s">
        <v>2709</v>
      </c>
      <c r="B1066" s="40">
        <v>30</v>
      </c>
    </row>
    <row r="1067" spans="1:2" x14ac:dyDescent="0.2">
      <c r="A1067" s="40" t="s">
        <v>2790</v>
      </c>
      <c r="B1067" s="40">
        <v>35</v>
      </c>
    </row>
    <row r="1068" spans="1:2" x14ac:dyDescent="0.2">
      <c r="A1068" s="40" t="s">
        <v>2458</v>
      </c>
      <c r="B1068" s="40">
        <v>5</v>
      </c>
    </row>
    <row r="1069" spans="1:2" x14ac:dyDescent="0.2">
      <c r="A1069" s="40" t="s">
        <v>3299</v>
      </c>
      <c r="B1069" s="40">
        <v>64</v>
      </c>
    </row>
    <row r="1070" spans="1:2" x14ac:dyDescent="0.2">
      <c r="A1070" s="40" t="s">
        <v>3482</v>
      </c>
      <c r="B1070" s="40">
        <v>75</v>
      </c>
    </row>
    <row r="1071" spans="1:2" x14ac:dyDescent="0.2">
      <c r="A1071" s="40" t="s">
        <v>3076</v>
      </c>
      <c r="B1071" s="40">
        <v>50</v>
      </c>
    </row>
    <row r="1072" spans="1:2" x14ac:dyDescent="0.2">
      <c r="A1072" s="40" t="s">
        <v>3145</v>
      </c>
      <c r="B1072" s="40">
        <v>53</v>
      </c>
    </row>
    <row r="1073" spans="1:2" x14ac:dyDescent="0.2">
      <c r="A1073" s="40" t="s">
        <v>3316</v>
      </c>
      <c r="B1073" s="40">
        <v>65</v>
      </c>
    </row>
    <row r="1074" spans="1:2" x14ac:dyDescent="0.2">
      <c r="A1074" s="40" t="s">
        <v>3077</v>
      </c>
      <c r="B1074" s="40">
        <v>50</v>
      </c>
    </row>
    <row r="1075" spans="1:2" x14ac:dyDescent="0.2">
      <c r="A1075" s="40" t="s">
        <v>2580</v>
      </c>
      <c r="B1075" s="40">
        <v>21</v>
      </c>
    </row>
    <row r="1076" spans="1:2" x14ac:dyDescent="0.2">
      <c r="A1076" s="40" t="s">
        <v>3259</v>
      </c>
      <c r="B1076" s="40">
        <v>61</v>
      </c>
    </row>
    <row r="1077" spans="1:2" x14ac:dyDescent="0.2">
      <c r="A1077" s="40" t="s">
        <v>2557</v>
      </c>
      <c r="B1077" s="40">
        <v>17</v>
      </c>
    </row>
    <row r="1078" spans="1:2" x14ac:dyDescent="0.2">
      <c r="A1078" s="40" t="s">
        <v>3218</v>
      </c>
      <c r="B1078" s="40">
        <v>59</v>
      </c>
    </row>
    <row r="1079" spans="1:2" x14ac:dyDescent="0.2">
      <c r="A1079" s="40" t="s">
        <v>3283</v>
      </c>
      <c r="B1079" s="40">
        <v>63</v>
      </c>
    </row>
    <row r="1080" spans="1:2" x14ac:dyDescent="0.2">
      <c r="A1080" s="40" t="s">
        <v>3000</v>
      </c>
      <c r="B1080" s="40">
        <v>48</v>
      </c>
    </row>
    <row r="1081" spans="1:2" x14ac:dyDescent="0.2">
      <c r="A1081" s="40" t="s">
        <v>3471</v>
      </c>
      <c r="B1081" s="40">
        <v>74</v>
      </c>
    </row>
    <row r="1082" spans="1:2" x14ac:dyDescent="0.2">
      <c r="A1082" s="40" t="s">
        <v>2581</v>
      </c>
      <c r="B1082" s="40">
        <v>21</v>
      </c>
    </row>
    <row r="1083" spans="1:2" x14ac:dyDescent="0.2">
      <c r="A1083" s="40" t="s">
        <v>2471</v>
      </c>
      <c r="B1083" s="40">
        <v>7</v>
      </c>
    </row>
    <row r="1084" spans="1:2" x14ac:dyDescent="0.2">
      <c r="A1084" s="40" t="s">
        <v>3431</v>
      </c>
      <c r="B1084" s="40">
        <v>71</v>
      </c>
    </row>
    <row r="1085" spans="1:2" x14ac:dyDescent="0.2">
      <c r="A1085" s="40" t="s">
        <v>3472</v>
      </c>
      <c r="B1085" s="40">
        <v>74</v>
      </c>
    </row>
    <row r="1086" spans="1:2" x14ac:dyDescent="0.2">
      <c r="A1086" s="40" t="s">
        <v>3219</v>
      </c>
      <c r="B1086" s="40">
        <v>59</v>
      </c>
    </row>
    <row r="1087" spans="1:2" x14ac:dyDescent="0.2">
      <c r="A1087" s="40" t="s">
        <v>2846</v>
      </c>
      <c r="B1087" s="40">
        <v>38</v>
      </c>
    </row>
    <row r="1088" spans="1:2" x14ac:dyDescent="0.2">
      <c r="A1088" s="40" t="s">
        <v>3159</v>
      </c>
      <c r="B1088" s="40">
        <v>54</v>
      </c>
    </row>
    <row r="1089" spans="1:2" x14ac:dyDescent="0.2">
      <c r="A1089" s="40" t="s">
        <v>2791</v>
      </c>
      <c r="B1089" s="40">
        <v>35</v>
      </c>
    </row>
    <row r="1090" spans="1:2" x14ac:dyDescent="0.2">
      <c r="A1090" s="40" t="s">
        <v>2478</v>
      </c>
      <c r="B1090" s="40">
        <v>9</v>
      </c>
    </row>
    <row r="1091" spans="1:2" x14ac:dyDescent="0.2">
      <c r="A1091" s="40" t="s">
        <v>3220</v>
      </c>
      <c r="B1091" s="40">
        <v>59</v>
      </c>
    </row>
    <row r="1092" spans="1:2" x14ac:dyDescent="0.2">
      <c r="A1092" s="40" t="s">
        <v>3078</v>
      </c>
      <c r="B1092" s="40">
        <v>50</v>
      </c>
    </row>
    <row r="1093" spans="1:2" x14ac:dyDescent="0.2">
      <c r="A1093" s="40" t="s">
        <v>2569</v>
      </c>
      <c r="B1093" s="40">
        <v>19</v>
      </c>
    </row>
    <row r="1094" spans="1:2" x14ac:dyDescent="0.2">
      <c r="A1094" s="40" t="s">
        <v>3221</v>
      </c>
      <c r="B1094" s="40">
        <v>59</v>
      </c>
    </row>
    <row r="1095" spans="1:2" x14ac:dyDescent="0.2">
      <c r="A1095" s="40" t="s">
        <v>2869</v>
      </c>
      <c r="B1095" s="40">
        <v>39</v>
      </c>
    </row>
    <row r="1096" spans="1:2" x14ac:dyDescent="0.2">
      <c r="A1096" s="40" t="s">
        <v>3079</v>
      </c>
      <c r="B1096" s="40">
        <v>50</v>
      </c>
    </row>
    <row r="1097" spans="1:2" x14ac:dyDescent="0.2">
      <c r="A1097" s="40" t="s">
        <v>3080</v>
      </c>
      <c r="B1097" s="40">
        <v>50</v>
      </c>
    </row>
    <row r="1098" spans="1:2" x14ac:dyDescent="0.2">
      <c r="A1098" s="40" t="s">
        <v>3081</v>
      </c>
      <c r="B1098" s="40">
        <v>50</v>
      </c>
    </row>
    <row r="1099" spans="1:2" x14ac:dyDescent="0.2">
      <c r="A1099" s="40" t="s">
        <v>3082</v>
      </c>
      <c r="B1099" s="40">
        <v>50</v>
      </c>
    </row>
    <row r="1100" spans="1:2" x14ac:dyDescent="0.2">
      <c r="A1100" s="40" t="s">
        <v>2553</v>
      </c>
      <c r="B1100" s="40">
        <v>16</v>
      </c>
    </row>
    <row r="1101" spans="1:2" x14ac:dyDescent="0.2">
      <c r="A1101" s="40" t="s">
        <v>3483</v>
      </c>
      <c r="B1101" s="40">
        <v>75</v>
      </c>
    </row>
    <row r="1102" spans="1:2" x14ac:dyDescent="0.2">
      <c r="A1102" s="40" t="s">
        <v>3134</v>
      </c>
      <c r="B1102" s="40">
        <v>52</v>
      </c>
    </row>
    <row r="1103" spans="1:2" x14ac:dyDescent="0.2">
      <c r="A1103" s="40" t="s">
        <v>3146</v>
      </c>
      <c r="B1103" s="40">
        <v>53</v>
      </c>
    </row>
    <row r="1104" spans="1:2" x14ac:dyDescent="0.2">
      <c r="A1104" s="40" t="s">
        <v>3160</v>
      </c>
      <c r="B1104" s="40">
        <v>54</v>
      </c>
    </row>
    <row r="1105" spans="1:2" x14ac:dyDescent="0.2">
      <c r="A1105" s="40" t="s">
        <v>3161</v>
      </c>
      <c r="B1105" s="40">
        <v>54</v>
      </c>
    </row>
    <row r="1106" spans="1:2" x14ac:dyDescent="0.2">
      <c r="A1106" s="40" t="s">
        <v>3222</v>
      </c>
      <c r="B1106" s="40">
        <v>59</v>
      </c>
    </row>
    <row r="1107" spans="1:2" x14ac:dyDescent="0.2">
      <c r="A1107" s="40" t="s">
        <v>2943</v>
      </c>
      <c r="B1107" s="40">
        <v>44</v>
      </c>
    </row>
    <row r="1108" spans="1:2" x14ac:dyDescent="0.2">
      <c r="A1108" s="40" t="s">
        <v>2558</v>
      </c>
      <c r="B1108" s="40">
        <v>17</v>
      </c>
    </row>
    <row r="1109" spans="1:2" x14ac:dyDescent="0.2">
      <c r="A1109" s="40" t="s">
        <v>2951</v>
      </c>
      <c r="B1109" s="40">
        <v>45</v>
      </c>
    </row>
    <row r="1110" spans="1:2" x14ac:dyDescent="0.2">
      <c r="A1110" s="40" t="s">
        <v>2574</v>
      </c>
      <c r="B1110" s="40">
        <v>20</v>
      </c>
    </row>
    <row r="1111" spans="1:2" x14ac:dyDescent="0.2">
      <c r="A1111" s="40" t="s">
        <v>2644</v>
      </c>
      <c r="B1111" s="40">
        <v>24</v>
      </c>
    </row>
    <row r="1112" spans="1:2" x14ac:dyDescent="0.2">
      <c r="A1112" s="40" t="s">
        <v>2944</v>
      </c>
      <c r="B1112" s="40">
        <v>44</v>
      </c>
    </row>
    <row r="1113" spans="1:2" x14ac:dyDescent="0.2">
      <c r="A1113" s="40" t="s">
        <v>3083</v>
      </c>
      <c r="B1113" s="40">
        <v>50</v>
      </c>
    </row>
    <row r="1114" spans="1:2" x14ac:dyDescent="0.2">
      <c r="A1114" s="40" t="s">
        <v>3317</v>
      </c>
      <c r="B1114" s="40">
        <v>65</v>
      </c>
    </row>
    <row r="1115" spans="1:2" x14ac:dyDescent="0.2">
      <c r="A1115" s="40" t="s">
        <v>3260</v>
      </c>
      <c r="B1115" s="40">
        <v>61</v>
      </c>
    </row>
    <row r="1116" spans="1:2" x14ac:dyDescent="0.2">
      <c r="A1116" s="40" t="s">
        <v>3135</v>
      </c>
      <c r="B1116" s="40">
        <v>52</v>
      </c>
    </row>
    <row r="1117" spans="1:2" x14ac:dyDescent="0.2">
      <c r="A1117" s="40" t="s">
        <v>3272</v>
      </c>
      <c r="B1117" s="40">
        <v>62</v>
      </c>
    </row>
    <row r="1118" spans="1:2" x14ac:dyDescent="0.2">
      <c r="A1118" s="40" t="s">
        <v>2720</v>
      </c>
      <c r="B1118" s="40">
        <v>31</v>
      </c>
    </row>
    <row r="1119" spans="1:2" x14ac:dyDescent="0.2">
      <c r="A1119" s="40" t="s">
        <v>2847</v>
      </c>
      <c r="B1119" s="40">
        <v>38</v>
      </c>
    </row>
    <row r="1120" spans="1:2" x14ac:dyDescent="0.2">
      <c r="A1120" s="40" t="s">
        <v>2702</v>
      </c>
      <c r="B1120" s="40">
        <v>29</v>
      </c>
    </row>
    <row r="1121" spans="1:2" x14ac:dyDescent="0.2">
      <c r="A1121" s="40" t="s">
        <v>3484</v>
      </c>
      <c r="B1121" s="40">
        <v>75</v>
      </c>
    </row>
    <row r="1122" spans="1:2" x14ac:dyDescent="0.2">
      <c r="A1122" s="40" t="s">
        <v>2690</v>
      </c>
      <c r="B1122" s="40">
        <v>28</v>
      </c>
    </row>
    <row r="1123" spans="1:2" x14ac:dyDescent="0.2">
      <c r="A1123" s="40" t="s">
        <v>3300</v>
      </c>
      <c r="B1123" s="40">
        <v>64</v>
      </c>
    </row>
    <row r="1124" spans="1:2" x14ac:dyDescent="0.2">
      <c r="A1124" s="40" t="s">
        <v>2992</v>
      </c>
      <c r="B1124" s="40">
        <v>47</v>
      </c>
    </row>
    <row r="1125" spans="1:2" x14ac:dyDescent="0.2">
      <c r="A1125" s="40" t="s">
        <v>2582</v>
      </c>
      <c r="B1125" s="40">
        <v>21</v>
      </c>
    </row>
    <row r="1126" spans="1:2" x14ac:dyDescent="0.2">
      <c r="A1126" s="40" t="s">
        <v>2952</v>
      </c>
      <c r="B1126" s="40">
        <v>45</v>
      </c>
    </row>
    <row r="1127" spans="1:2" x14ac:dyDescent="0.2">
      <c r="A1127" s="40" t="s">
        <v>2822</v>
      </c>
      <c r="B1127" s="40">
        <v>37</v>
      </c>
    </row>
    <row r="1128" spans="1:2" x14ac:dyDescent="0.2">
      <c r="A1128" s="40" t="s">
        <v>3432</v>
      </c>
      <c r="B1128" s="40">
        <v>71</v>
      </c>
    </row>
    <row r="1129" spans="1:2" x14ac:dyDescent="0.2">
      <c r="A1129" s="40" t="s">
        <v>3550</v>
      </c>
      <c r="B1129" s="40">
        <v>91</v>
      </c>
    </row>
    <row r="1130" spans="1:2" x14ac:dyDescent="0.2">
      <c r="A1130" s="40" t="s">
        <v>3084</v>
      </c>
      <c r="B1130" s="40">
        <v>50</v>
      </c>
    </row>
    <row r="1131" spans="1:2" x14ac:dyDescent="0.2">
      <c r="A1131" s="40" t="s">
        <v>3498</v>
      </c>
      <c r="B1131" s="40">
        <v>77</v>
      </c>
    </row>
    <row r="1132" spans="1:2" x14ac:dyDescent="0.2">
      <c r="A1132" s="40" t="s">
        <v>2962</v>
      </c>
      <c r="B1132" s="40">
        <v>46</v>
      </c>
    </row>
    <row r="1133" spans="1:2" x14ac:dyDescent="0.2">
      <c r="A1133" s="40" t="s">
        <v>2953</v>
      </c>
      <c r="B1133" s="40">
        <v>45</v>
      </c>
    </row>
    <row r="1134" spans="1:2" x14ac:dyDescent="0.2">
      <c r="A1134" s="40" t="s">
        <v>3085</v>
      </c>
      <c r="B1134" s="40">
        <v>50</v>
      </c>
    </row>
    <row r="1135" spans="1:2" x14ac:dyDescent="0.2">
      <c r="A1135" s="40" t="s">
        <v>3086</v>
      </c>
      <c r="B1135" s="40">
        <v>50</v>
      </c>
    </row>
    <row r="1136" spans="1:2" x14ac:dyDescent="0.2">
      <c r="A1136" s="40" t="s">
        <v>3087</v>
      </c>
      <c r="B1136" s="40">
        <v>50</v>
      </c>
    </row>
    <row r="1137" spans="1:2" x14ac:dyDescent="0.2">
      <c r="A1137" s="40" t="s">
        <v>2474</v>
      </c>
      <c r="B1137" s="40">
        <v>8</v>
      </c>
    </row>
    <row r="1138" spans="1:2" x14ac:dyDescent="0.2">
      <c r="A1138" s="40" t="s">
        <v>3301</v>
      </c>
      <c r="B1138" s="40">
        <v>64</v>
      </c>
    </row>
    <row r="1139" spans="1:2" x14ac:dyDescent="0.2">
      <c r="A1139" s="40" t="s">
        <v>3302</v>
      </c>
      <c r="B1139" s="40">
        <v>64</v>
      </c>
    </row>
    <row r="1140" spans="1:2" x14ac:dyDescent="0.2">
      <c r="A1140" s="40" t="s">
        <v>3303</v>
      </c>
      <c r="B1140" s="40">
        <v>64</v>
      </c>
    </row>
    <row r="1141" spans="1:2" x14ac:dyDescent="0.2">
      <c r="A1141" s="40" t="s">
        <v>2807</v>
      </c>
      <c r="B1141" s="40">
        <v>36</v>
      </c>
    </row>
    <row r="1142" spans="1:2" x14ac:dyDescent="0.2">
      <c r="A1142" s="40" t="s">
        <v>3088</v>
      </c>
      <c r="B1142" s="40">
        <v>50</v>
      </c>
    </row>
    <row r="1143" spans="1:2" x14ac:dyDescent="0.2">
      <c r="A1143" s="40" t="s">
        <v>3523</v>
      </c>
      <c r="B1143" s="40">
        <v>86</v>
      </c>
    </row>
    <row r="1144" spans="1:2" x14ac:dyDescent="0.2">
      <c r="A1144" s="40" t="s">
        <v>2823</v>
      </c>
      <c r="B1144" s="40">
        <v>37</v>
      </c>
    </row>
    <row r="1145" spans="1:2" x14ac:dyDescent="0.2">
      <c r="A1145" s="40" t="s">
        <v>3318</v>
      </c>
      <c r="B1145" s="40">
        <v>65</v>
      </c>
    </row>
    <row r="1146" spans="1:2" x14ac:dyDescent="0.2">
      <c r="A1146" s="40" t="s">
        <v>2459</v>
      </c>
      <c r="B1146" s="40">
        <v>5</v>
      </c>
    </row>
    <row r="1147" spans="1:2" x14ac:dyDescent="0.2">
      <c r="A1147" s="40" t="s">
        <v>3473</v>
      </c>
      <c r="B1147" s="40">
        <v>74</v>
      </c>
    </row>
    <row r="1148" spans="1:2" x14ac:dyDescent="0.2">
      <c r="A1148" s="40" t="s">
        <v>2916</v>
      </c>
      <c r="B1148" s="40">
        <v>42</v>
      </c>
    </row>
    <row r="1149" spans="1:2" x14ac:dyDescent="0.2">
      <c r="A1149" s="40" t="s">
        <v>2824</v>
      </c>
      <c r="B1149" s="40">
        <v>37</v>
      </c>
    </row>
    <row r="1150" spans="1:2" x14ac:dyDescent="0.2">
      <c r="A1150" s="40" t="s">
        <v>2758</v>
      </c>
      <c r="B1150" s="40">
        <v>33</v>
      </c>
    </row>
    <row r="1151" spans="1:2" x14ac:dyDescent="0.2">
      <c r="A1151" s="40" t="s">
        <v>3474</v>
      </c>
      <c r="B1151" s="40">
        <v>74</v>
      </c>
    </row>
    <row r="1152" spans="1:2" x14ac:dyDescent="0.2">
      <c r="A1152" s="40" t="s">
        <v>2892</v>
      </c>
      <c r="B1152" s="40">
        <v>40</v>
      </c>
    </row>
    <row r="1153" spans="1:2" x14ac:dyDescent="0.2">
      <c r="A1153" s="40" t="s">
        <v>2893</v>
      </c>
      <c r="B1153" s="40">
        <v>40</v>
      </c>
    </row>
    <row r="1154" spans="1:2" x14ac:dyDescent="0.2">
      <c r="A1154" s="40" t="s">
        <v>2894</v>
      </c>
      <c r="B1154" s="40">
        <v>40</v>
      </c>
    </row>
    <row r="1155" spans="1:2" x14ac:dyDescent="0.2">
      <c r="A1155" s="40" t="s">
        <v>2583</v>
      </c>
      <c r="B1155" s="40">
        <v>21</v>
      </c>
    </row>
    <row r="1156" spans="1:2" x14ac:dyDescent="0.2">
      <c r="A1156" s="40" t="s">
        <v>2525</v>
      </c>
      <c r="B1156" s="40">
        <v>14</v>
      </c>
    </row>
    <row r="1157" spans="1:2" x14ac:dyDescent="0.2">
      <c r="A1157" s="40" t="s">
        <v>3551</v>
      </c>
      <c r="B1157" s="40">
        <v>91</v>
      </c>
    </row>
    <row r="1158" spans="1:2" x14ac:dyDescent="0.2">
      <c r="A1158" s="40" t="s">
        <v>3438</v>
      </c>
      <c r="B1158" s="40">
        <v>72</v>
      </c>
    </row>
    <row r="1159" spans="1:2" x14ac:dyDescent="0.2">
      <c r="A1159" s="40" t="s">
        <v>2442</v>
      </c>
      <c r="B1159" s="40">
        <v>2</v>
      </c>
    </row>
    <row r="1160" spans="1:2" x14ac:dyDescent="0.2">
      <c r="A1160" s="40" t="s">
        <v>2932</v>
      </c>
      <c r="B1160" s="40">
        <v>43</v>
      </c>
    </row>
    <row r="1161" spans="1:2" x14ac:dyDescent="0.2">
      <c r="A1161" s="40" t="s">
        <v>2595</v>
      </c>
      <c r="B1161" s="40">
        <v>22</v>
      </c>
    </row>
    <row r="1162" spans="1:2" x14ac:dyDescent="0.2">
      <c r="A1162" s="40" t="s">
        <v>3495</v>
      </c>
      <c r="B1162" s="40">
        <v>76</v>
      </c>
    </row>
    <row r="1163" spans="1:2" x14ac:dyDescent="0.2">
      <c r="A1163" s="40" t="s">
        <v>3378</v>
      </c>
      <c r="B1163" s="40">
        <v>67</v>
      </c>
    </row>
    <row r="1164" spans="1:2" x14ac:dyDescent="0.2">
      <c r="A1164" s="40" t="s">
        <v>3433</v>
      </c>
      <c r="B1164" s="40">
        <v>71</v>
      </c>
    </row>
    <row r="1165" spans="1:2" x14ac:dyDescent="0.2">
      <c r="A1165" s="40" t="s">
        <v>3179</v>
      </c>
      <c r="B1165" s="40">
        <v>56</v>
      </c>
    </row>
    <row r="1166" spans="1:2" x14ac:dyDescent="0.2">
      <c r="A1166" s="40" t="s">
        <v>3089</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P9" sqref="P9"/>
    </sheetView>
  </sheetViews>
  <sheetFormatPr defaultRowHeight="15" x14ac:dyDescent="0.25"/>
  <cols>
    <col min="1" max="1" width="24.1406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workbookViewId="0">
      <selection activeCell="G38" sqref="G38"/>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62</v>
      </c>
      <c r="C1" s="37" t="s">
        <v>63</v>
      </c>
      <c r="D1" s="37" t="s">
        <v>2415</v>
      </c>
      <c r="E1" s="37" t="s">
        <v>65</v>
      </c>
      <c r="F1" s="37" t="s">
        <v>2416</v>
      </c>
    </row>
    <row r="2" spans="1:6" x14ac:dyDescent="0.25">
      <c r="A2" s="35" t="s">
        <v>37</v>
      </c>
      <c r="B2" s="35">
        <v>6731002766</v>
      </c>
      <c r="C2" s="35">
        <v>673201001</v>
      </c>
      <c r="D2" s="35" t="s">
        <v>38</v>
      </c>
      <c r="E2" s="42" t="s">
        <v>3376</v>
      </c>
      <c r="F2" s="35">
        <v>1</v>
      </c>
    </row>
    <row r="3" spans="1:6" x14ac:dyDescent="0.25">
      <c r="A3" s="35" t="s">
        <v>39</v>
      </c>
      <c r="B3" s="35">
        <v>7806155468</v>
      </c>
      <c r="C3" s="35">
        <v>780601001</v>
      </c>
      <c r="D3" s="35" t="s">
        <v>40</v>
      </c>
      <c r="E3" s="35" t="s">
        <v>41</v>
      </c>
      <c r="F3" s="35">
        <v>1</v>
      </c>
    </row>
    <row r="4" spans="1:6" x14ac:dyDescent="0.25">
      <c r="A4" s="35" t="s">
        <v>42</v>
      </c>
      <c r="B4" s="35">
        <v>7839109650</v>
      </c>
      <c r="C4" s="35">
        <v>783901001</v>
      </c>
      <c r="D4" s="35" t="s">
        <v>43</v>
      </c>
      <c r="E4" s="35" t="s">
        <v>41</v>
      </c>
      <c r="F4" s="35">
        <v>2</v>
      </c>
    </row>
    <row r="5" spans="1:6" x14ac:dyDescent="0.25">
      <c r="A5" s="35" t="s">
        <v>46</v>
      </c>
      <c r="B5" s="35">
        <v>7804274156</v>
      </c>
      <c r="C5" s="35">
        <v>780401001</v>
      </c>
      <c r="D5" s="35" t="s">
        <v>47</v>
      </c>
      <c r="E5" s="35" t="s">
        <v>41</v>
      </c>
      <c r="F5" s="35">
        <v>2</v>
      </c>
    </row>
    <row r="6" spans="1:6" x14ac:dyDescent="0.25">
      <c r="A6" s="36" t="s">
        <v>44</v>
      </c>
      <c r="B6" s="36">
        <v>7810216924</v>
      </c>
      <c r="C6" s="36">
        <v>7814455001</v>
      </c>
      <c r="D6" s="36" t="s">
        <v>45</v>
      </c>
      <c r="E6" s="35" t="s">
        <v>41</v>
      </c>
      <c r="F6" s="36">
        <v>2</v>
      </c>
    </row>
    <row r="7" spans="1:6" x14ac:dyDescent="0.25">
      <c r="A7" s="35" t="s">
        <v>48</v>
      </c>
      <c r="B7" s="35">
        <v>5036002480</v>
      </c>
      <c r="C7" s="35">
        <v>503601001</v>
      </c>
      <c r="D7" s="35" t="s">
        <v>49</v>
      </c>
      <c r="E7" s="35" t="s">
        <v>50</v>
      </c>
      <c r="F7" s="35">
        <v>2</v>
      </c>
    </row>
    <row r="8" spans="1:6" x14ac:dyDescent="0.25">
      <c r="A8" s="36" t="s">
        <v>53</v>
      </c>
      <c r="B8" s="36">
        <v>5433191298</v>
      </c>
      <c r="C8" s="36">
        <v>543301001</v>
      </c>
      <c r="D8" s="36" t="s">
        <v>54</v>
      </c>
      <c r="E8" s="35" t="s">
        <v>41</v>
      </c>
      <c r="F8" s="36">
        <v>2</v>
      </c>
    </row>
    <row r="9" spans="1:6" x14ac:dyDescent="0.25">
      <c r="A9" s="35" t="s">
        <v>58</v>
      </c>
      <c r="B9" s="35">
        <v>7715777616</v>
      </c>
      <c r="C9" s="35">
        <v>774301001</v>
      </c>
      <c r="D9" s="35" t="s">
        <v>59</v>
      </c>
      <c r="E9" s="35" t="s">
        <v>57</v>
      </c>
      <c r="F9" s="35">
        <v>2</v>
      </c>
    </row>
    <row r="10" spans="1:6" x14ac:dyDescent="0.25">
      <c r="A10" s="36" t="s">
        <v>55</v>
      </c>
      <c r="B10" s="36">
        <v>4703126149</v>
      </c>
      <c r="C10" s="36">
        <v>470301001</v>
      </c>
      <c r="D10" s="36" t="s">
        <v>56</v>
      </c>
      <c r="E10" s="35" t="s">
        <v>41</v>
      </c>
      <c r="F10" s="36">
        <v>2</v>
      </c>
    </row>
    <row r="11" spans="1:6" x14ac:dyDescent="0.25">
      <c r="A11" s="35" t="s">
        <v>60</v>
      </c>
      <c r="B11" s="35">
        <v>7839504097</v>
      </c>
      <c r="C11" s="35">
        <v>784201001</v>
      </c>
      <c r="D11" t="s">
        <v>61</v>
      </c>
      <c r="E11" s="35" t="s">
        <v>41</v>
      </c>
      <c r="F11" s="35">
        <v>2</v>
      </c>
    </row>
    <row r="12" spans="1:6" x14ac:dyDescent="0.25">
      <c r="A12" s="36" t="s">
        <v>2351</v>
      </c>
      <c r="B12" s="36">
        <v>7802806380</v>
      </c>
      <c r="C12" s="36">
        <v>780201001</v>
      </c>
      <c r="D12" t="s">
        <v>2352</v>
      </c>
      <c r="E12" s="35" t="s">
        <v>41</v>
      </c>
      <c r="F12" s="36">
        <v>1</v>
      </c>
    </row>
    <row r="13" spans="1:6" x14ac:dyDescent="0.25">
      <c r="A13" s="35" t="s">
        <v>2408</v>
      </c>
      <c r="B13" s="35">
        <v>7723889433</v>
      </c>
      <c r="C13" s="35">
        <v>772401001</v>
      </c>
      <c r="D13" t="s">
        <v>2409</v>
      </c>
      <c r="E13" s="35" t="s">
        <v>2410</v>
      </c>
      <c r="F13" s="35">
        <v>2</v>
      </c>
    </row>
    <row r="14" spans="1:6" x14ac:dyDescent="0.25">
      <c r="A14" s="36" t="s">
        <v>2411</v>
      </c>
      <c r="B14" s="36">
        <v>5838002196</v>
      </c>
      <c r="C14" s="36">
        <v>583801001</v>
      </c>
      <c r="D14" t="s">
        <v>2413</v>
      </c>
      <c r="E14" s="35" t="s">
        <v>2412</v>
      </c>
      <c r="F14" s="36">
        <v>2</v>
      </c>
    </row>
    <row r="15" spans="1:6" x14ac:dyDescent="0.25">
      <c r="A15" s="35" t="s">
        <v>2417</v>
      </c>
      <c r="B15" s="35">
        <v>7802348846</v>
      </c>
      <c r="C15" s="35">
        <v>997350001</v>
      </c>
      <c r="D15" t="s">
        <v>2418</v>
      </c>
      <c r="E15" s="35" t="s">
        <v>41</v>
      </c>
      <c r="F15" s="35">
        <v>2</v>
      </c>
    </row>
    <row r="16" spans="1:6" x14ac:dyDescent="0.25">
      <c r="A16" s="36" t="s">
        <v>3561</v>
      </c>
      <c r="B16" s="36" t="s">
        <v>3571</v>
      </c>
      <c r="C16" s="36" t="s">
        <v>3572</v>
      </c>
      <c r="D16" t="s">
        <v>3565</v>
      </c>
      <c r="E16" s="35" t="s">
        <v>3236</v>
      </c>
      <c r="F16" s="36">
        <v>2</v>
      </c>
    </row>
    <row r="17" spans="1:6" x14ac:dyDescent="0.25">
      <c r="A17" s="35" t="s">
        <v>3563</v>
      </c>
      <c r="B17" s="35" t="s">
        <v>3562</v>
      </c>
      <c r="C17" s="35" t="s">
        <v>3567</v>
      </c>
      <c r="D17" s="35" t="s">
        <v>3566</v>
      </c>
      <c r="E17" s="35" t="s">
        <v>3235</v>
      </c>
      <c r="F17" s="35">
        <v>2</v>
      </c>
    </row>
    <row r="18" spans="1:6" x14ac:dyDescent="0.25">
      <c r="A18" s="36" t="s">
        <v>3568</v>
      </c>
      <c r="B18" s="36" t="s">
        <v>3569</v>
      </c>
      <c r="C18" s="36" t="s">
        <v>3564</v>
      </c>
      <c r="D18" t="s">
        <v>3570</v>
      </c>
      <c r="E18" s="35" t="s">
        <v>3384</v>
      </c>
      <c r="F18" s="36">
        <v>2</v>
      </c>
    </row>
    <row r="19" spans="1:6" x14ac:dyDescent="0.25">
      <c r="A19" s="35" t="s">
        <v>3601</v>
      </c>
      <c r="B19" s="35">
        <v>9710008385</v>
      </c>
      <c r="C19" s="35">
        <v>324501001</v>
      </c>
      <c r="D19" s="35" t="s">
        <v>3602</v>
      </c>
      <c r="E19" s="35" t="s">
        <v>41</v>
      </c>
      <c r="F19" s="35">
        <v>2</v>
      </c>
    </row>
    <row r="20" spans="1:6" x14ac:dyDescent="0.25">
      <c r="A20" s="36" t="s">
        <v>3603</v>
      </c>
      <c r="B20" s="36">
        <v>7721801761</v>
      </c>
      <c r="C20" s="36">
        <v>772001001</v>
      </c>
      <c r="D20" t="s">
        <v>3604</v>
      </c>
      <c r="E20" s="35" t="s">
        <v>2410</v>
      </c>
      <c r="F20" s="36">
        <v>2</v>
      </c>
    </row>
    <row r="21" spans="1:6" x14ac:dyDescent="0.25">
      <c r="A21" s="35" t="s">
        <v>3606</v>
      </c>
      <c r="B21" s="47">
        <v>5050098030</v>
      </c>
      <c r="C21" s="47">
        <v>505001001</v>
      </c>
      <c r="D21" t="s">
        <v>3605</v>
      </c>
      <c r="E21" s="47" t="s">
        <v>2410</v>
      </c>
      <c r="F21" s="47">
        <v>2</v>
      </c>
    </row>
    <row r="22" spans="1:6" x14ac:dyDescent="0.25">
      <c r="A22" s="47" t="s">
        <v>3627</v>
      </c>
      <c r="B22" s="47">
        <v>7720413452</v>
      </c>
      <c r="C22" s="47">
        <v>772001001</v>
      </c>
      <c r="D22" t="s">
        <v>3628</v>
      </c>
      <c r="E22" s="35" t="s">
        <v>2410</v>
      </c>
      <c r="F22" s="47">
        <v>2</v>
      </c>
    </row>
    <row r="23" spans="1:6" x14ac:dyDescent="0.25">
      <c r="A23" s="47" t="s">
        <v>3629</v>
      </c>
      <c r="B23" s="47">
        <v>7804526942</v>
      </c>
      <c r="C23" s="47">
        <v>780201001</v>
      </c>
      <c r="D23" t="s">
        <v>3630</v>
      </c>
      <c r="E23" s="35" t="s">
        <v>41</v>
      </c>
      <c r="F23" s="47">
        <v>2</v>
      </c>
    </row>
    <row r="24" spans="1:6" x14ac:dyDescent="0.25">
      <c r="A24" s="47" t="s">
        <v>3636</v>
      </c>
      <c r="B24" s="47">
        <v>7702680818</v>
      </c>
      <c r="C24" s="47">
        <v>770201001</v>
      </c>
      <c r="D24" t="s">
        <v>3637</v>
      </c>
      <c r="E24" s="35" t="s">
        <v>2410</v>
      </c>
      <c r="F24" s="47">
        <v>2</v>
      </c>
    </row>
    <row r="25" spans="1:6" x14ac:dyDescent="0.25">
      <c r="A25" s="47" t="s">
        <v>3639</v>
      </c>
      <c r="B25" s="47">
        <v>7810623359</v>
      </c>
      <c r="C25" s="47">
        <v>781001001</v>
      </c>
      <c r="D25" t="s">
        <v>3638</v>
      </c>
      <c r="E25" s="35" t="s">
        <v>41</v>
      </c>
      <c r="F25" s="47">
        <v>2</v>
      </c>
    </row>
    <row r="26" spans="1:6" x14ac:dyDescent="0.25">
      <c r="A26" s="47" t="s">
        <v>3652</v>
      </c>
      <c r="B26" s="47">
        <v>6450078745</v>
      </c>
      <c r="C26" s="47">
        <v>645001001</v>
      </c>
      <c r="D26" s="47" t="s">
        <v>3651</v>
      </c>
      <c r="E26" s="47" t="s">
        <v>3298</v>
      </c>
      <c r="F26" s="47">
        <v>1</v>
      </c>
    </row>
    <row r="27" spans="1:6" x14ac:dyDescent="0.25">
      <c r="A27" s="47" t="s">
        <v>3654</v>
      </c>
      <c r="B27" s="47">
        <v>6671331139</v>
      </c>
      <c r="C27" s="47">
        <v>668501001</v>
      </c>
      <c r="D27" t="s">
        <v>3653</v>
      </c>
      <c r="E27" s="35" t="s">
        <v>41</v>
      </c>
      <c r="F27" s="47">
        <v>1</v>
      </c>
    </row>
    <row r="28" spans="1:6" x14ac:dyDescent="0.25">
      <c r="A28" s="47" t="s">
        <v>3655</v>
      </c>
      <c r="B28" s="47">
        <v>7724452117</v>
      </c>
      <c r="C28" s="47">
        <v>772401001</v>
      </c>
      <c r="D28" t="s">
        <v>3656</v>
      </c>
      <c r="E28" s="35" t="s">
        <v>2410</v>
      </c>
      <c r="F28" s="47">
        <v>2</v>
      </c>
    </row>
    <row r="29" spans="1:6" x14ac:dyDescent="0.25">
      <c r="A29" s="47" t="s">
        <v>3674</v>
      </c>
      <c r="B29" s="47">
        <v>6679109432</v>
      </c>
      <c r="C29" s="47">
        <v>667001001</v>
      </c>
      <c r="D29" t="s">
        <v>3673</v>
      </c>
      <c r="E29" s="47" t="s">
        <v>3472</v>
      </c>
      <c r="F29" s="47">
        <v>2</v>
      </c>
    </row>
    <row r="30" spans="1:6" x14ac:dyDescent="0.25">
      <c r="A30" s="47" t="s">
        <v>3676</v>
      </c>
      <c r="B30" s="47">
        <v>5905231483</v>
      </c>
      <c r="C30" s="47">
        <v>590501001</v>
      </c>
      <c r="D30" t="s">
        <v>3675</v>
      </c>
      <c r="E30" s="47" t="s">
        <v>3215</v>
      </c>
      <c r="F30" s="47">
        <v>1</v>
      </c>
    </row>
    <row r="31" spans="1:6" x14ac:dyDescent="0.25">
      <c r="A31" s="47" t="s">
        <v>3677</v>
      </c>
      <c r="B31" s="47">
        <v>7451435053</v>
      </c>
      <c r="C31" s="47">
        <v>745101001</v>
      </c>
      <c r="D31" t="s">
        <v>3678</v>
      </c>
      <c r="E31" s="47" t="s">
        <v>3472</v>
      </c>
      <c r="F31" s="47">
        <v>1</v>
      </c>
    </row>
    <row r="32" spans="1:6" x14ac:dyDescent="0.25">
      <c r="A32" s="47" t="s">
        <v>3686</v>
      </c>
      <c r="B32" s="47">
        <v>7705674361</v>
      </c>
      <c r="C32" s="47">
        <v>770401001</v>
      </c>
      <c r="D32" t="s">
        <v>3687</v>
      </c>
      <c r="E32" s="35" t="s">
        <v>2410</v>
      </c>
      <c r="F32" s="47">
        <v>2</v>
      </c>
    </row>
    <row r="33" spans="1:6" x14ac:dyDescent="0.25">
      <c r="A33" s="47" t="s">
        <v>3688</v>
      </c>
      <c r="B33" s="47">
        <v>7720323022</v>
      </c>
      <c r="C33" s="47">
        <v>772001001</v>
      </c>
      <c r="D33" s="47" t="s">
        <v>3689</v>
      </c>
      <c r="E33" s="47" t="s">
        <v>2410</v>
      </c>
      <c r="F33" s="47">
        <v>1</v>
      </c>
    </row>
    <row r="34" spans="1:6" x14ac:dyDescent="0.25">
      <c r="A34" s="47" t="s">
        <v>3701</v>
      </c>
      <c r="B34" s="47">
        <v>7736192449</v>
      </c>
      <c r="C34" s="47">
        <v>500301001</v>
      </c>
      <c r="D34" t="s">
        <v>3700</v>
      </c>
      <c r="E34" s="47" t="s">
        <v>3007</v>
      </c>
      <c r="F34" s="47">
        <v>1</v>
      </c>
    </row>
    <row r="35" spans="1:6" x14ac:dyDescent="0.25">
      <c r="A35" s="48" t="s">
        <v>3702</v>
      </c>
      <c r="B35" s="47">
        <v>7722493380</v>
      </c>
      <c r="C35" s="47">
        <v>772201001</v>
      </c>
      <c r="D35" t="s">
        <v>3703</v>
      </c>
      <c r="E35" s="47" t="s">
        <v>2410</v>
      </c>
      <c r="F35" s="47">
        <v>2</v>
      </c>
    </row>
    <row r="36" spans="1:6" x14ac:dyDescent="0.25">
      <c r="A36" s="47" t="s">
        <v>3714</v>
      </c>
      <c r="B36" s="47">
        <v>9722054805</v>
      </c>
      <c r="C36" s="47">
        <v>772201001</v>
      </c>
      <c r="D36" s="47" t="s">
        <v>3713</v>
      </c>
      <c r="E36" s="47" t="s">
        <v>41</v>
      </c>
      <c r="F36" s="47">
        <v>1</v>
      </c>
    </row>
    <row r="37" spans="1:6" x14ac:dyDescent="0.25">
      <c r="A37" s="47" t="s">
        <v>3716</v>
      </c>
      <c r="B37" s="47">
        <v>6163103300</v>
      </c>
      <c r="C37" s="47">
        <v>616501001</v>
      </c>
      <c r="D37" t="s">
        <v>3715</v>
      </c>
      <c r="E37" s="47" t="s">
        <v>3255</v>
      </c>
      <c r="F37" s="47">
        <v>2</v>
      </c>
    </row>
    <row r="38" spans="1:6" x14ac:dyDescent="0.25">
      <c r="A38" s="47" t="s">
        <v>3717</v>
      </c>
      <c r="B38" s="47">
        <v>7726366135</v>
      </c>
      <c r="C38" s="47">
        <v>772601001</v>
      </c>
      <c r="D38" s="47" t="s">
        <v>3718</v>
      </c>
      <c r="E38" s="35" t="s">
        <v>2410</v>
      </c>
      <c r="F38" s="47">
        <v>1</v>
      </c>
    </row>
    <row r="39" spans="1:6" x14ac:dyDescent="0.25">
      <c r="A39" s="47" t="s">
        <v>3728</v>
      </c>
      <c r="B39" s="47">
        <v>9715307100</v>
      </c>
      <c r="C39" s="47">
        <v>771501001</v>
      </c>
      <c r="D39" t="s">
        <v>3727</v>
      </c>
      <c r="E39" s="47" t="s">
        <v>2410</v>
      </c>
      <c r="F39" s="47">
        <v>2</v>
      </c>
    </row>
    <row r="40" spans="1:6" x14ac:dyDescent="0.25">
      <c r="A40" s="47" t="s">
        <v>3730</v>
      </c>
      <c r="B40" s="47">
        <v>9729294683</v>
      </c>
      <c r="C40" s="47">
        <v>772901001</v>
      </c>
      <c r="D40" t="s">
        <v>3729</v>
      </c>
      <c r="E40" s="47" t="s">
        <v>3155</v>
      </c>
      <c r="F40" s="47">
        <v>2</v>
      </c>
    </row>
    <row r="41" spans="1:6" x14ac:dyDescent="0.25">
      <c r="A41" s="47" t="s">
        <v>3731</v>
      </c>
      <c r="B41" s="47">
        <v>7704322328</v>
      </c>
      <c r="C41" s="47">
        <v>507401001</v>
      </c>
      <c r="D41" s="47" t="s">
        <v>3732</v>
      </c>
      <c r="E41" s="47" t="s">
        <v>50</v>
      </c>
      <c r="F41" s="47">
        <v>2</v>
      </c>
    </row>
    <row r="42" spans="1:6" x14ac:dyDescent="0.25">
      <c r="A42" s="47" t="s">
        <v>3740</v>
      </c>
      <c r="B42" s="47">
        <v>7719452305</v>
      </c>
      <c r="C42" s="47">
        <v>525201001</v>
      </c>
      <c r="D42" s="47" t="s">
        <v>3741</v>
      </c>
      <c r="E42" s="35" t="s">
        <v>2410</v>
      </c>
      <c r="F42" s="47">
        <v>1</v>
      </c>
    </row>
    <row r="43" spans="1:6" x14ac:dyDescent="0.25">
      <c r="A43" s="47" t="s">
        <v>3742</v>
      </c>
      <c r="B43" s="47">
        <v>723000958</v>
      </c>
      <c r="C43" s="47">
        <v>72301001</v>
      </c>
      <c r="D43" s="47" t="s">
        <v>3743</v>
      </c>
      <c r="E43" s="47" t="s">
        <v>2410</v>
      </c>
      <c r="F43" s="47">
        <v>2</v>
      </c>
    </row>
    <row r="44" spans="1:6" x14ac:dyDescent="0.25">
      <c r="A44" s="47" t="s">
        <v>3745</v>
      </c>
      <c r="B44" s="47">
        <v>5258128653</v>
      </c>
      <c r="C44" s="47">
        <v>525801001</v>
      </c>
      <c r="D44" s="47" t="s">
        <v>3744</v>
      </c>
      <c r="E44" s="47" t="s">
        <v>3126</v>
      </c>
      <c r="F44" s="47">
        <v>2</v>
      </c>
    </row>
    <row r="45" spans="1:6" x14ac:dyDescent="0.25">
      <c r="A45" s="47" t="s">
        <v>3753</v>
      </c>
      <c r="B45" s="47" t="s">
        <v>3754</v>
      </c>
      <c r="C45" s="47">
        <v>774301001</v>
      </c>
      <c r="D45" t="s">
        <v>3755</v>
      </c>
      <c r="E45" s="47" t="s">
        <v>2410</v>
      </c>
      <c r="F45" s="47">
        <v>2</v>
      </c>
    </row>
    <row r="46" spans="1:6" x14ac:dyDescent="0.25">
      <c r="A46" s="47" t="s">
        <v>3757</v>
      </c>
      <c r="B46" s="47">
        <v>7814823221</v>
      </c>
      <c r="C46" s="47">
        <v>781401001</v>
      </c>
      <c r="D46" t="s">
        <v>3756</v>
      </c>
      <c r="E46" s="47" t="s">
        <v>41</v>
      </c>
      <c r="F46" s="47">
        <v>2</v>
      </c>
    </row>
  </sheetData>
  <protectedRanges>
    <protectedRange sqref="A1:D1048576 F1:F1048576" name="Все кроме города"/>
  </protectedRanges>
  <conditionalFormatting sqref="A5:A6">
    <cfRule type="duplicateValues" dxfId="57" priority="75"/>
  </conditionalFormatting>
  <conditionalFormatting sqref="A5:A6">
    <cfRule type="duplicateValues" dxfId="56" priority="35"/>
  </conditionalFormatting>
  <conditionalFormatting sqref="A1 A5:A6 A22:A26 A28:A31 A33:A34 A36:A37 A39:A44 A46:A1048576">
    <cfRule type="duplicateValues" dxfId="55" priority="34"/>
  </conditionalFormatting>
  <conditionalFormatting sqref="A1:C1 A5:C6 A22:C24 A26:C26 A25 A30:C31 B27:C27 A28:A29 C29 A33:C34 B32:C32 A36:C37 B35:C35 A39:C44 C38 A46:C1048576 C45">
    <cfRule type="duplicateValues" dxfId="54" priority="33"/>
  </conditionalFormatting>
  <conditionalFormatting sqref="A7:A13">
    <cfRule type="duplicateValues" dxfId="53" priority="32"/>
  </conditionalFormatting>
  <conditionalFormatting sqref="A7:A13">
    <cfRule type="duplicateValues" dxfId="52" priority="31"/>
  </conditionalFormatting>
  <conditionalFormatting sqref="A7:A13">
    <cfRule type="duplicateValues" dxfId="51" priority="30"/>
  </conditionalFormatting>
  <conditionalFormatting sqref="A7:C13">
    <cfRule type="duplicateValues" dxfId="50" priority="29"/>
  </conditionalFormatting>
  <conditionalFormatting sqref="A2 A4">
    <cfRule type="duplicateValues" dxfId="49" priority="28"/>
  </conditionalFormatting>
  <conditionalFormatting sqref="A2 A4">
    <cfRule type="duplicateValues" dxfId="48" priority="27"/>
  </conditionalFormatting>
  <conditionalFormatting sqref="A2 A4">
    <cfRule type="duplicateValues" dxfId="47" priority="26"/>
  </conditionalFormatting>
  <conditionalFormatting sqref="A2:C2 A4:C4">
    <cfRule type="duplicateValues" dxfId="46" priority="25"/>
  </conditionalFormatting>
  <conditionalFormatting sqref="A3">
    <cfRule type="duplicateValues" dxfId="45" priority="24"/>
  </conditionalFormatting>
  <conditionalFormatting sqref="A3">
    <cfRule type="duplicateValues" dxfId="44" priority="23"/>
  </conditionalFormatting>
  <conditionalFormatting sqref="A3">
    <cfRule type="duplicateValues" dxfId="43" priority="22"/>
  </conditionalFormatting>
  <conditionalFormatting sqref="A3:C3">
    <cfRule type="duplicateValues" dxfId="42" priority="21"/>
  </conditionalFormatting>
  <conditionalFormatting sqref="A14">
    <cfRule type="duplicateValues" dxfId="41" priority="163"/>
  </conditionalFormatting>
  <conditionalFormatting sqref="A14:C14">
    <cfRule type="duplicateValues" dxfId="40" priority="172"/>
  </conditionalFormatting>
  <conditionalFormatting sqref="A20">
    <cfRule type="duplicateValues" dxfId="39" priority="15"/>
  </conditionalFormatting>
  <conditionalFormatting sqref="A20:C20 B21:C21">
    <cfRule type="duplicateValues" dxfId="38" priority="16"/>
  </conditionalFormatting>
  <conditionalFormatting sqref="A15:A19">
    <cfRule type="duplicateValues" dxfId="37" priority="13"/>
  </conditionalFormatting>
  <conditionalFormatting sqref="A15:A19">
    <cfRule type="duplicateValues" dxfId="36" priority="12"/>
  </conditionalFormatting>
  <conditionalFormatting sqref="A15:A19">
    <cfRule type="duplicateValues" dxfId="35" priority="11"/>
  </conditionalFormatting>
  <conditionalFormatting sqref="A15:C19">
    <cfRule type="duplicateValues" dxfId="34" priority="10"/>
  </conditionalFormatting>
  <conditionalFormatting sqref="A21">
    <cfRule type="duplicateValues" dxfId="33" priority="9"/>
  </conditionalFormatting>
  <conditionalFormatting sqref="A21">
    <cfRule type="duplicateValues" dxfId="32" priority="8"/>
  </conditionalFormatting>
  <conditionalFormatting sqref="A21">
    <cfRule type="duplicateValues" dxfId="31" priority="7"/>
  </conditionalFormatting>
  <conditionalFormatting sqref="A21">
    <cfRule type="duplicateValues" dxfId="30" priority="6"/>
  </conditionalFormatting>
  <conditionalFormatting sqref="B25:C25">
    <cfRule type="duplicateValues" dxfId="29" priority="5"/>
  </conditionalFormatting>
  <conditionalFormatting sqref="A27">
    <cfRule type="duplicateValues" dxfId="28" priority="4"/>
  </conditionalFormatting>
  <conditionalFormatting sqref="A27">
    <cfRule type="duplicateValues" dxfId="27" priority="3"/>
  </conditionalFormatting>
  <conditionalFormatting sqref="B28:C28">
    <cfRule type="duplicateValues" dxfId="26" priority="2"/>
  </conditionalFormatting>
  <conditionalFormatting sqref="B38">
    <cfRule type="duplicateValues" dxfId="25" priority="1"/>
  </conditionalFormatting>
  <hyperlinks>
    <hyperlink ref="A35" r:id="rId1" display="https://rosarmatorg.ru/"/>
  </hyperlinks>
  <pageMargins left="0.7" right="0.7" top="0.75" bottom="0.75" header="0.3" footer="0.3"/>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sheetProtection sheet="1" objects="1" scenarios="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4" t="s">
        <v>27</v>
      </c>
      <c r="B2" t="s">
        <v>37</v>
      </c>
      <c r="C2">
        <v>6731002766</v>
      </c>
      <c r="D2">
        <v>673201001</v>
      </c>
      <c r="E2" t="s">
        <v>38</v>
      </c>
      <c r="F2" t="s">
        <v>3376</v>
      </c>
      <c r="G2">
        <v>2</v>
      </c>
    </row>
    <row r="3" spans="1:7" x14ac:dyDescent="0.25">
      <c r="A3" s="33" t="s">
        <v>2299</v>
      </c>
      <c r="B3" t="s">
        <v>37</v>
      </c>
      <c r="C3">
        <v>6731002766</v>
      </c>
      <c r="D3">
        <v>673201001</v>
      </c>
      <c r="E3" t="s">
        <v>38</v>
      </c>
      <c r="F3" t="s">
        <v>3376</v>
      </c>
      <c r="G3">
        <v>2</v>
      </c>
    </row>
    <row r="4" spans="1:7" x14ac:dyDescent="0.25">
      <c r="A4" s="34" t="s">
        <v>2241</v>
      </c>
      <c r="B4" t="s">
        <v>37</v>
      </c>
      <c r="C4">
        <v>6731002766</v>
      </c>
      <c r="D4">
        <v>673201001</v>
      </c>
      <c r="E4" t="s">
        <v>38</v>
      </c>
      <c r="F4" t="s">
        <v>3376</v>
      </c>
      <c r="G4">
        <v>2</v>
      </c>
    </row>
    <row r="5" spans="1:7" x14ac:dyDescent="0.25">
      <c r="A5" s="33" t="s">
        <v>2242</v>
      </c>
      <c r="B5" t="s">
        <v>37</v>
      </c>
      <c r="C5">
        <v>6731002766</v>
      </c>
      <c r="D5">
        <v>673201001</v>
      </c>
      <c r="E5" t="s">
        <v>38</v>
      </c>
      <c r="F5" t="s">
        <v>3376</v>
      </c>
      <c r="G5">
        <v>2</v>
      </c>
    </row>
    <row r="6" spans="1:7" ht="30" x14ac:dyDescent="0.25">
      <c r="A6" s="34" t="s">
        <v>2300</v>
      </c>
      <c r="B6" t="s">
        <v>39</v>
      </c>
      <c r="C6">
        <v>7806155468</v>
      </c>
      <c r="D6">
        <v>780601001</v>
      </c>
      <c r="E6" t="s">
        <v>40</v>
      </c>
      <c r="F6" t="s">
        <v>41</v>
      </c>
      <c r="G6">
        <v>1</v>
      </c>
    </row>
    <row r="7" spans="1:7" x14ac:dyDescent="0.25">
      <c r="A7" s="33" t="s">
        <v>2301</v>
      </c>
      <c r="B7" t="s">
        <v>39</v>
      </c>
      <c r="C7">
        <v>7806155468</v>
      </c>
      <c r="D7">
        <v>780601001</v>
      </c>
      <c r="E7" t="s">
        <v>40</v>
      </c>
      <c r="F7" t="s">
        <v>41</v>
      </c>
      <c r="G7">
        <v>1</v>
      </c>
    </row>
    <row r="8" spans="1:7" x14ac:dyDescent="0.25">
      <c r="A8" s="34" t="s">
        <v>2302</v>
      </c>
      <c r="B8" t="s">
        <v>39</v>
      </c>
      <c r="C8">
        <v>7806155468</v>
      </c>
      <c r="D8">
        <v>780601001</v>
      </c>
      <c r="E8" t="s">
        <v>40</v>
      </c>
      <c r="F8" t="s">
        <v>41</v>
      </c>
      <c r="G8">
        <v>1</v>
      </c>
    </row>
    <row r="9" spans="1:7" x14ac:dyDescent="0.25">
      <c r="A9" s="33" t="s">
        <v>2303</v>
      </c>
      <c r="B9" t="s">
        <v>42</v>
      </c>
      <c r="C9">
        <v>7839109650</v>
      </c>
      <c r="D9">
        <v>783901001</v>
      </c>
      <c r="E9" t="s">
        <v>43</v>
      </c>
      <c r="F9" t="s">
        <v>41</v>
      </c>
      <c r="G9">
        <v>2</v>
      </c>
    </row>
    <row r="10" spans="1:7" x14ac:dyDescent="0.25">
      <c r="A10" s="34" t="s">
        <v>2304</v>
      </c>
      <c r="B10" t="s">
        <v>42</v>
      </c>
      <c r="C10">
        <v>7839109650</v>
      </c>
      <c r="D10">
        <v>783901001</v>
      </c>
      <c r="E10" t="s">
        <v>43</v>
      </c>
      <c r="F10" t="s">
        <v>41</v>
      </c>
      <c r="G10">
        <v>2</v>
      </c>
    </row>
    <row r="11" spans="1:7" x14ac:dyDescent="0.25">
      <c r="A11" s="33" t="s">
        <v>2305</v>
      </c>
      <c r="B11" t="s">
        <v>42</v>
      </c>
      <c r="C11">
        <v>7839109650</v>
      </c>
      <c r="D11">
        <v>783901001</v>
      </c>
      <c r="E11" t="s">
        <v>43</v>
      </c>
      <c r="F11" t="s">
        <v>41</v>
      </c>
      <c r="G11">
        <v>2</v>
      </c>
    </row>
    <row r="12" spans="1:7" x14ac:dyDescent="0.25">
      <c r="A12" s="34" t="s">
        <v>2243</v>
      </c>
      <c r="B12" t="s">
        <v>42</v>
      </c>
      <c r="C12">
        <v>7839109650</v>
      </c>
      <c r="D12">
        <v>783901001</v>
      </c>
      <c r="E12" t="s">
        <v>43</v>
      </c>
      <c r="F12" t="s">
        <v>41</v>
      </c>
      <c r="G12">
        <v>2</v>
      </c>
    </row>
    <row r="13" spans="1:7" x14ac:dyDescent="0.25">
      <c r="A13" s="33" t="s">
        <v>2306</v>
      </c>
      <c r="B13" t="s">
        <v>37</v>
      </c>
      <c r="C13">
        <v>6731002766</v>
      </c>
      <c r="D13">
        <v>673201001</v>
      </c>
      <c r="E13" t="s">
        <v>38</v>
      </c>
      <c r="F13" t="s">
        <v>3376</v>
      </c>
      <c r="G13">
        <v>2</v>
      </c>
    </row>
    <row r="14" spans="1:7" x14ac:dyDescent="0.25">
      <c r="A14" s="34" t="s">
        <v>2307</v>
      </c>
      <c r="B14" t="s">
        <v>37</v>
      </c>
      <c r="C14">
        <v>6731002766</v>
      </c>
      <c r="D14">
        <v>673201001</v>
      </c>
      <c r="E14" t="s">
        <v>38</v>
      </c>
      <c r="F14" t="s">
        <v>3376</v>
      </c>
      <c r="G14">
        <v>2</v>
      </c>
    </row>
    <row r="15" spans="1:7" x14ac:dyDescent="0.25">
      <c r="A15" s="33" t="s">
        <v>2308</v>
      </c>
      <c r="B15" t="s">
        <v>37</v>
      </c>
      <c r="C15">
        <v>6731002766</v>
      </c>
      <c r="D15">
        <v>673201001</v>
      </c>
      <c r="E15" t="s">
        <v>38</v>
      </c>
      <c r="F15" t="s">
        <v>3376</v>
      </c>
      <c r="G15">
        <v>2</v>
      </c>
    </row>
    <row r="16" spans="1:7" x14ac:dyDescent="0.25">
      <c r="A16" s="34" t="s">
        <v>2309</v>
      </c>
      <c r="B16" t="s">
        <v>37</v>
      </c>
      <c r="C16">
        <v>6731002766</v>
      </c>
      <c r="D16">
        <v>673201001</v>
      </c>
      <c r="E16" t="s">
        <v>38</v>
      </c>
      <c r="F16" t="s">
        <v>3376</v>
      </c>
      <c r="G16">
        <v>2</v>
      </c>
    </row>
    <row r="17" spans="1:7" x14ac:dyDescent="0.25">
      <c r="A17" s="33" t="s">
        <v>2244</v>
      </c>
      <c r="B17" t="s">
        <v>42</v>
      </c>
      <c r="C17">
        <v>7839109650</v>
      </c>
      <c r="D17">
        <v>783901001</v>
      </c>
      <c r="E17" t="s">
        <v>43</v>
      </c>
      <c r="F17" t="s">
        <v>41</v>
      </c>
      <c r="G17">
        <v>2</v>
      </c>
    </row>
    <row r="18" spans="1:7" x14ac:dyDescent="0.25">
      <c r="A18" s="34" t="s">
        <v>2310</v>
      </c>
      <c r="B18" t="s">
        <v>42</v>
      </c>
      <c r="C18">
        <v>7839109650</v>
      </c>
      <c r="D18">
        <v>783901001</v>
      </c>
      <c r="E18" t="s">
        <v>43</v>
      </c>
      <c r="F18" t="s">
        <v>41</v>
      </c>
      <c r="G18">
        <v>2</v>
      </c>
    </row>
    <row r="19" spans="1:7" x14ac:dyDescent="0.25">
      <c r="A19" s="33" t="s">
        <v>2245</v>
      </c>
      <c r="B19" t="s">
        <v>44</v>
      </c>
      <c r="C19">
        <v>7810216924</v>
      </c>
      <c r="D19">
        <v>7814455001</v>
      </c>
      <c r="E19" t="s">
        <v>45</v>
      </c>
      <c r="F19" t="s">
        <v>41</v>
      </c>
      <c r="G19">
        <v>2</v>
      </c>
    </row>
    <row r="20" spans="1:7" x14ac:dyDescent="0.25">
      <c r="A20" s="34" t="s">
        <v>2246</v>
      </c>
      <c r="B20" t="s">
        <v>44</v>
      </c>
      <c r="C20">
        <v>7810216924</v>
      </c>
      <c r="D20">
        <v>7814455001</v>
      </c>
      <c r="E20" t="s">
        <v>45</v>
      </c>
      <c r="F20" t="s">
        <v>41</v>
      </c>
      <c r="G20">
        <v>2</v>
      </c>
    </row>
    <row r="21" spans="1:7" x14ac:dyDescent="0.25">
      <c r="A21" s="33" t="s">
        <v>2247</v>
      </c>
      <c r="B21" t="s">
        <v>44</v>
      </c>
      <c r="C21">
        <v>7810216924</v>
      </c>
      <c r="D21">
        <v>7814455001</v>
      </c>
      <c r="E21" t="s">
        <v>45</v>
      </c>
      <c r="F21" t="s">
        <v>41</v>
      </c>
      <c r="G21">
        <v>2</v>
      </c>
    </row>
    <row r="22" spans="1:7" x14ac:dyDescent="0.25">
      <c r="A22" s="34" t="s">
        <v>2248</v>
      </c>
      <c r="B22" t="s">
        <v>44</v>
      </c>
      <c r="C22">
        <v>7810216924</v>
      </c>
      <c r="D22">
        <v>7814455001</v>
      </c>
      <c r="E22" t="s">
        <v>45</v>
      </c>
      <c r="F22" t="s">
        <v>41</v>
      </c>
      <c r="G22">
        <v>2</v>
      </c>
    </row>
    <row r="23" spans="1:7" x14ac:dyDescent="0.25">
      <c r="A23" s="33" t="s">
        <v>2249</v>
      </c>
      <c r="B23" t="s">
        <v>46</v>
      </c>
      <c r="C23">
        <v>7804274156</v>
      </c>
      <c r="D23">
        <v>780401001</v>
      </c>
      <c r="E23" t="s">
        <v>47</v>
      </c>
      <c r="F23" t="s">
        <v>41</v>
      </c>
      <c r="G23">
        <v>2</v>
      </c>
    </row>
    <row r="24" spans="1:7" x14ac:dyDescent="0.25">
      <c r="A24" s="34" t="s">
        <v>2250</v>
      </c>
      <c r="B24" t="s">
        <v>44</v>
      </c>
      <c r="C24">
        <v>7810216924</v>
      </c>
      <c r="D24">
        <v>7814455001</v>
      </c>
      <c r="E24" t="s">
        <v>45</v>
      </c>
      <c r="F24" t="s">
        <v>41</v>
      </c>
      <c r="G24">
        <v>2</v>
      </c>
    </row>
    <row r="25" spans="1:7" x14ac:dyDescent="0.25">
      <c r="A25" s="33" t="s">
        <v>2251</v>
      </c>
      <c r="B25" t="s">
        <v>46</v>
      </c>
      <c r="C25">
        <v>7804274156</v>
      </c>
      <c r="D25">
        <v>780401001</v>
      </c>
      <c r="E25" t="s">
        <v>47</v>
      </c>
      <c r="F25" t="s">
        <v>41</v>
      </c>
      <c r="G25">
        <v>2</v>
      </c>
    </row>
    <row r="26" spans="1:7" x14ac:dyDescent="0.25">
      <c r="A26" s="34" t="s">
        <v>2252</v>
      </c>
      <c r="B26" t="s">
        <v>44</v>
      </c>
      <c r="C26">
        <v>7810216924</v>
      </c>
      <c r="D26">
        <v>7814455001</v>
      </c>
      <c r="E26" t="s">
        <v>45</v>
      </c>
      <c r="F26" t="s">
        <v>41</v>
      </c>
      <c r="G26">
        <v>2</v>
      </c>
    </row>
    <row r="27" spans="1:7" x14ac:dyDescent="0.25">
      <c r="A27" s="33" t="s">
        <v>2253</v>
      </c>
      <c r="B27" t="s">
        <v>44</v>
      </c>
      <c r="C27">
        <v>7810216924</v>
      </c>
      <c r="D27">
        <v>7814455001</v>
      </c>
      <c r="E27" t="s">
        <v>45</v>
      </c>
      <c r="F27" t="s">
        <v>41</v>
      </c>
      <c r="G27">
        <v>2</v>
      </c>
    </row>
    <row r="28" spans="1:7" x14ac:dyDescent="0.25">
      <c r="A28" s="34" t="s">
        <v>2254</v>
      </c>
      <c r="B28" t="s">
        <v>44</v>
      </c>
      <c r="C28">
        <v>7810216924</v>
      </c>
      <c r="D28">
        <v>7814455001</v>
      </c>
      <c r="E28" t="s">
        <v>45</v>
      </c>
      <c r="F28" t="s">
        <v>41</v>
      </c>
      <c r="G28">
        <v>2</v>
      </c>
    </row>
    <row r="29" spans="1:7" x14ac:dyDescent="0.25">
      <c r="A29" s="33" t="s">
        <v>2311</v>
      </c>
      <c r="B29" t="s">
        <v>37</v>
      </c>
      <c r="C29">
        <v>6731002766</v>
      </c>
      <c r="D29">
        <v>673201001</v>
      </c>
      <c r="E29" t="s">
        <v>38</v>
      </c>
      <c r="F29" t="s">
        <v>3376</v>
      </c>
      <c r="G29">
        <v>2</v>
      </c>
    </row>
    <row r="30" spans="1:7" x14ac:dyDescent="0.25">
      <c r="A30" s="34" t="s">
        <v>2312</v>
      </c>
      <c r="B30" t="s">
        <v>37</v>
      </c>
      <c r="C30">
        <v>6731002766</v>
      </c>
      <c r="D30">
        <v>673201001</v>
      </c>
      <c r="E30" t="s">
        <v>38</v>
      </c>
      <c r="F30" t="s">
        <v>3376</v>
      </c>
      <c r="G30">
        <v>2</v>
      </c>
    </row>
    <row r="31" spans="1:7" x14ac:dyDescent="0.25">
      <c r="A31" s="33" t="s">
        <v>2255</v>
      </c>
      <c r="B31" t="s">
        <v>37</v>
      </c>
      <c r="C31">
        <v>6731002766</v>
      </c>
      <c r="D31">
        <v>673201001</v>
      </c>
      <c r="E31" t="s">
        <v>38</v>
      </c>
      <c r="F31" t="s">
        <v>3376</v>
      </c>
      <c r="G31">
        <v>2</v>
      </c>
    </row>
    <row r="32" spans="1:7" ht="30" x14ac:dyDescent="0.25">
      <c r="A32" s="34" t="s">
        <v>2256</v>
      </c>
      <c r="B32" t="s">
        <v>48</v>
      </c>
      <c r="C32">
        <v>509950001</v>
      </c>
      <c r="D32">
        <v>5036002480</v>
      </c>
      <c r="E32" t="s">
        <v>49</v>
      </c>
      <c r="F32" t="s">
        <v>50</v>
      </c>
      <c r="G32">
        <v>2</v>
      </c>
    </row>
    <row r="33" spans="1:7" ht="30" x14ac:dyDescent="0.25">
      <c r="A33" s="33" t="s">
        <v>2257</v>
      </c>
      <c r="B33" t="s">
        <v>48</v>
      </c>
      <c r="C33">
        <v>509950001</v>
      </c>
      <c r="D33">
        <v>5036002480</v>
      </c>
      <c r="E33" t="s">
        <v>49</v>
      </c>
      <c r="F33" t="s">
        <v>50</v>
      </c>
      <c r="G33">
        <v>2</v>
      </c>
    </row>
    <row r="34" spans="1:7" ht="30" x14ac:dyDescent="0.25">
      <c r="A34" s="34" t="s">
        <v>2258</v>
      </c>
      <c r="B34" t="s">
        <v>48</v>
      </c>
      <c r="C34">
        <v>509950001</v>
      </c>
      <c r="D34">
        <v>5036002480</v>
      </c>
      <c r="E34" t="s">
        <v>49</v>
      </c>
      <c r="F34" t="s">
        <v>50</v>
      </c>
      <c r="G34">
        <v>2</v>
      </c>
    </row>
    <row r="35" spans="1:7" ht="30" x14ac:dyDescent="0.25">
      <c r="A35" s="33" t="s">
        <v>2259</v>
      </c>
      <c r="B35" t="s">
        <v>48</v>
      </c>
      <c r="C35">
        <v>509950001</v>
      </c>
      <c r="D35">
        <v>5036002480</v>
      </c>
      <c r="E35" t="s">
        <v>49</v>
      </c>
      <c r="F35" t="s">
        <v>50</v>
      </c>
      <c r="G35">
        <v>2</v>
      </c>
    </row>
    <row r="36" spans="1:7" ht="30" x14ac:dyDescent="0.25">
      <c r="A36" s="34" t="s">
        <v>2260</v>
      </c>
      <c r="B36" t="s">
        <v>48</v>
      </c>
      <c r="C36">
        <v>509950001</v>
      </c>
      <c r="D36">
        <v>5036002480</v>
      </c>
      <c r="E36" t="s">
        <v>49</v>
      </c>
      <c r="F36" t="s">
        <v>50</v>
      </c>
      <c r="G36">
        <v>2</v>
      </c>
    </row>
    <row r="37" spans="1:7" x14ac:dyDescent="0.25">
      <c r="A37" s="33" t="s">
        <v>2261</v>
      </c>
      <c r="B37" t="s">
        <v>48</v>
      </c>
      <c r="C37">
        <v>509950001</v>
      </c>
      <c r="D37">
        <v>5036002480</v>
      </c>
      <c r="E37" t="s">
        <v>49</v>
      </c>
      <c r="F37" t="s">
        <v>50</v>
      </c>
      <c r="G37">
        <v>2</v>
      </c>
    </row>
    <row r="38" spans="1:7" x14ac:dyDescent="0.25">
      <c r="A38" s="34" t="s">
        <v>2262</v>
      </c>
      <c r="B38" t="s">
        <v>51</v>
      </c>
      <c r="C38">
        <v>7802348846</v>
      </c>
      <c r="D38">
        <v>997350001</v>
      </c>
      <c r="E38" t="s">
        <v>52</v>
      </c>
      <c r="F38" t="s">
        <v>41</v>
      </c>
      <c r="G38">
        <v>2</v>
      </c>
    </row>
    <row r="39" spans="1:7" x14ac:dyDescent="0.25">
      <c r="A39" s="33" t="s">
        <v>2263</v>
      </c>
      <c r="B39" t="s">
        <v>51</v>
      </c>
      <c r="C39">
        <v>7802348846</v>
      </c>
      <c r="D39">
        <v>997350001</v>
      </c>
      <c r="E39" t="s">
        <v>52</v>
      </c>
      <c r="F39" t="s">
        <v>41</v>
      </c>
      <c r="G39">
        <v>2</v>
      </c>
    </row>
    <row r="40" spans="1:7" x14ac:dyDescent="0.25">
      <c r="A40" s="34" t="s">
        <v>2264</v>
      </c>
      <c r="B40" t="s">
        <v>46</v>
      </c>
      <c r="C40">
        <v>7802348846</v>
      </c>
      <c r="D40">
        <v>997350001</v>
      </c>
      <c r="E40" t="s">
        <v>47</v>
      </c>
      <c r="F40" t="s">
        <v>41</v>
      </c>
      <c r="G40">
        <v>2</v>
      </c>
    </row>
    <row r="41" spans="1:7" x14ac:dyDescent="0.25">
      <c r="A41" s="33" t="s">
        <v>2265</v>
      </c>
      <c r="B41" t="s">
        <v>42</v>
      </c>
      <c r="C41">
        <v>7802348846</v>
      </c>
      <c r="D41">
        <v>997350001</v>
      </c>
      <c r="E41" t="s">
        <v>43</v>
      </c>
      <c r="F41" t="s">
        <v>41</v>
      </c>
      <c r="G41">
        <v>2</v>
      </c>
    </row>
    <row r="42" spans="1:7" x14ac:dyDescent="0.25">
      <c r="A42" s="34" t="s">
        <v>2266</v>
      </c>
      <c r="B42" t="s">
        <v>42</v>
      </c>
      <c r="C42">
        <v>7802348846</v>
      </c>
      <c r="D42">
        <v>997350001</v>
      </c>
      <c r="E42" t="s">
        <v>43</v>
      </c>
      <c r="F42" t="s">
        <v>41</v>
      </c>
      <c r="G42">
        <v>2</v>
      </c>
    </row>
    <row r="43" spans="1:7" x14ac:dyDescent="0.25">
      <c r="A43" s="33" t="s">
        <v>2267</v>
      </c>
      <c r="B43" t="s">
        <v>46</v>
      </c>
      <c r="C43">
        <v>7802348846</v>
      </c>
      <c r="D43">
        <v>997350001</v>
      </c>
      <c r="E43" t="s">
        <v>47</v>
      </c>
      <c r="F43" t="s">
        <v>41</v>
      </c>
      <c r="G43">
        <v>2</v>
      </c>
    </row>
    <row r="44" spans="1:7" x14ac:dyDescent="0.25">
      <c r="A44" s="34" t="s">
        <v>2268</v>
      </c>
      <c r="B44" t="s">
        <v>51</v>
      </c>
      <c r="C44">
        <v>7802348846</v>
      </c>
      <c r="D44">
        <v>997350001</v>
      </c>
      <c r="E44" t="s">
        <v>52</v>
      </c>
      <c r="F44" t="s">
        <v>41</v>
      </c>
      <c r="G44">
        <v>2</v>
      </c>
    </row>
    <row r="45" spans="1:7" x14ac:dyDescent="0.25">
      <c r="A45" s="33" t="s">
        <v>2269</v>
      </c>
      <c r="B45" t="s">
        <v>53</v>
      </c>
      <c r="C45">
        <v>7802348846</v>
      </c>
      <c r="D45">
        <v>997350001</v>
      </c>
      <c r="E45" t="s">
        <v>54</v>
      </c>
      <c r="F45" t="s">
        <v>41</v>
      </c>
      <c r="G45">
        <v>2</v>
      </c>
    </row>
    <row r="46" spans="1:7" x14ac:dyDescent="0.25">
      <c r="A46" s="34" t="s">
        <v>2270</v>
      </c>
      <c r="B46" t="s">
        <v>51</v>
      </c>
      <c r="C46">
        <v>7802348846</v>
      </c>
      <c r="D46">
        <v>997350001</v>
      </c>
      <c r="E46" t="s">
        <v>52</v>
      </c>
      <c r="F46" t="s">
        <v>41</v>
      </c>
      <c r="G46">
        <v>2</v>
      </c>
    </row>
    <row r="47" spans="1:7" x14ac:dyDescent="0.25">
      <c r="A47" s="33" t="s">
        <v>2271</v>
      </c>
      <c r="B47" t="s">
        <v>53</v>
      </c>
      <c r="C47">
        <v>7802348846</v>
      </c>
      <c r="D47">
        <v>997350001</v>
      </c>
      <c r="E47" t="s">
        <v>54</v>
      </c>
      <c r="F47" t="s">
        <v>41</v>
      </c>
      <c r="G47">
        <v>2</v>
      </c>
    </row>
    <row r="48" spans="1:7" x14ac:dyDescent="0.25">
      <c r="A48" s="34" t="s">
        <v>2272</v>
      </c>
      <c r="B48" t="s">
        <v>53</v>
      </c>
      <c r="C48">
        <v>7802348846</v>
      </c>
      <c r="D48">
        <v>997350001</v>
      </c>
      <c r="E48" t="s">
        <v>54</v>
      </c>
      <c r="F48" t="s">
        <v>41</v>
      </c>
      <c r="G48">
        <v>2</v>
      </c>
    </row>
    <row r="49" spans="1:7" x14ac:dyDescent="0.25">
      <c r="A49" s="33" t="s">
        <v>2273</v>
      </c>
      <c r="B49" t="s">
        <v>51</v>
      </c>
      <c r="C49">
        <v>7802348846</v>
      </c>
      <c r="D49">
        <v>997350001</v>
      </c>
      <c r="E49" t="s">
        <v>52</v>
      </c>
      <c r="F49" t="s">
        <v>41</v>
      </c>
      <c r="G49">
        <v>2</v>
      </c>
    </row>
    <row r="50" spans="1:7" x14ac:dyDescent="0.25">
      <c r="A50" s="34" t="s">
        <v>2274</v>
      </c>
      <c r="B50" t="s">
        <v>51</v>
      </c>
      <c r="C50">
        <v>7802348846</v>
      </c>
      <c r="D50">
        <v>997350001</v>
      </c>
      <c r="E50" t="s">
        <v>52</v>
      </c>
      <c r="F50" t="s">
        <v>41</v>
      </c>
      <c r="G50">
        <v>2</v>
      </c>
    </row>
    <row r="51" spans="1:7" x14ac:dyDescent="0.25">
      <c r="A51" s="33" t="s">
        <v>2275</v>
      </c>
      <c r="B51" t="s">
        <v>51</v>
      </c>
      <c r="C51">
        <v>7802348846</v>
      </c>
      <c r="D51">
        <v>997350001</v>
      </c>
      <c r="E51" t="s">
        <v>52</v>
      </c>
      <c r="F51" t="s">
        <v>41</v>
      </c>
      <c r="G51">
        <v>2</v>
      </c>
    </row>
    <row r="52" spans="1:7" x14ac:dyDescent="0.25">
      <c r="A52" s="34" t="s">
        <v>2276</v>
      </c>
      <c r="B52" t="s">
        <v>55</v>
      </c>
      <c r="C52">
        <v>7802348846</v>
      </c>
      <c r="D52">
        <v>997350001</v>
      </c>
      <c r="E52" t="s">
        <v>56</v>
      </c>
      <c r="F52" t="s">
        <v>41</v>
      </c>
      <c r="G52">
        <v>2</v>
      </c>
    </row>
    <row r="53" spans="1:7" x14ac:dyDescent="0.25">
      <c r="A53" s="33" t="s">
        <v>2277</v>
      </c>
      <c r="B53" t="s">
        <v>55</v>
      </c>
      <c r="C53">
        <v>7802348846</v>
      </c>
      <c r="D53">
        <v>997350001</v>
      </c>
      <c r="E53" t="s">
        <v>56</v>
      </c>
      <c r="F53" t="s">
        <v>41</v>
      </c>
      <c r="G53">
        <v>2</v>
      </c>
    </row>
    <row r="54" spans="1:7" x14ac:dyDescent="0.25">
      <c r="A54" s="34" t="s">
        <v>2278</v>
      </c>
      <c r="B54" t="s">
        <v>55</v>
      </c>
      <c r="C54">
        <v>7802348846</v>
      </c>
      <c r="D54">
        <v>997350001</v>
      </c>
      <c r="E54" t="s">
        <v>56</v>
      </c>
      <c r="F54" t="s">
        <v>41</v>
      </c>
      <c r="G54">
        <v>2</v>
      </c>
    </row>
    <row r="55" spans="1:7" x14ac:dyDescent="0.25">
      <c r="A55" s="33" t="s">
        <v>2279</v>
      </c>
      <c r="B55" t="s">
        <v>58</v>
      </c>
      <c r="C55">
        <v>7802348846</v>
      </c>
      <c r="D55">
        <v>997350001</v>
      </c>
      <c r="E55" t="s">
        <v>59</v>
      </c>
      <c r="F55" t="s">
        <v>41</v>
      </c>
      <c r="G55">
        <v>2</v>
      </c>
    </row>
    <row r="56" spans="1:7" x14ac:dyDescent="0.25">
      <c r="A56" s="34" t="s">
        <v>2280</v>
      </c>
      <c r="B56" t="s">
        <v>51</v>
      </c>
      <c r="C56">
        <v>7802348846</v>
      </c>
      <c r="D56">
        <v>997350001</v>
      </c>
      <c r="E56" t="s">
        <v>52</v>
      </c>
      <c r="F56" t="s">
        <v>41</v>
      </c>
      <c r="G56">
        <v>2</v>
      </c>
    </row>
    <row r="57" spans="1:7" x14ac:dyDescent="0.25">
      <c r="A57" s="33" t="s">
        <v>2281</v>
      </c>
      <c r="B57" t="s">
        <v>51</v>
      </c>
      <c r="C57">
        <v>7802348846</v>
      </c>
      <c r="D57">
        <v>997350001</v>
      </c>
      <c r="E57" t="s">
        <v>52</v>
      </c>
      <c r="F57" t="s">
        <v>41</v>
      </c>
      <c r="G57">
        <v>2</v>
      </c>
    </row>
    <row r="58" spans="1:7" x14ac:dyDescent="0.25">
      <c r="A58" s="34" t="s">
        <v>2282</v>
      </c>
      <c r="B58" t="s">
        <v>55</v>
      </c>
      <c r="C58">
        <v>7802348846</v>
      </c>
      <c r="D58">
        <v>997350001</v>
      </c>
      <c r="E58" t="s">
        <v>56</v>
      </c>
      <c r="F58" t="s">
        <v>41</v>
      </c>
      <c r="G58">
        <v>2</v>
      </c>
    </row>
    <row r="59" spans="1:7" x14ac:dyDescent="0.25">
      <c r="A59" s="33" t="s">
        <v>2283</v>
      </c>
      <c r="B59" t="s">
        <v>55</v>
      </c>
      <c r="C59">
        <v>7802348846</v>
      </c>
      <c r="D59">
        <v>997350001</v>
      </c>
      <c r="E59" t="s">
        <v>56</v>
      </c>
      <c r="F59" t="s">
        <v>41</v>
      </c>
      <c r="G59">
        <v>2</v>
      </c>
    </row>
    <row r="60" spans="1:7" x14ac:dyDescent="0.25">
      <c r="A60" s="34" t="s">
        <v>2284</v>
      </c>
      <c r="B60" t="s">
        <v>55</v>
      </c>
      <c r="C60">
        <v>7802348846</v>
      </c>
      <c r="D60">
        <v>997350001</v>
      </c>
      <c r="E60" t="s">
        <v>56</v>
      </c>
      <c r="F60" t="s">
        <v>41</v>
      </c>
      <c r="G60">
        <v>2</v>
      </c>
    </row>
    <row r="61" spans="1:7" x14ac:dyDescent="0.25">
      <c r="A61" s="33" t="s">
        <v>2285</v>
      </c>
      <c r="B61" t="s">
        <v>55</v>
      </c>
      <c r="C61">
        <v>7802348846</v>
      </c>
      <c r="D61">
        <v>997350001</v>
      </c>
      <c r="E61" t="s">
        <v>56</v>
      </c>
      <c r="F61" t="s">
        <v>41</v>
      </c>
      <c r="G61">
        <v>2</v>
      </c>
    </row>
    <row r="62" spans="1:7" x14ac:dyDescent="0.25">
      <c r="A62" s="34" t="s">
        <v>2286</v>
      </c>
      <c r="B62" t="s">
        <v>55</v>
      </c>
      <c r="C62">
        <v>7802348846</v>
      </c>
      <c r="D62">
        <v>997350001</v>
      </c>
      <c r="E62" t="s">
        <v>56</v>
      </c>
      <c r="F62" t="s">
        <v>41</v>
      </c>
      <c r="G62">
        <v>2</v>
      </c>
    </row>
    <row r="63" spans="1:7" x14ac:dyDescent="0.25">
      <c r="A63" s="33" t="s">
        <v>2287</v>
      </c>
      <c r="B63" t="s">
        <v>55</v>
      </c>
      <c r="C63">
        <v>7802348846</v>
      </c>
      <c r="D63">
        <v>997350001</v>
      </c>
      <c r="E63" t="s">
        <v>56</v>
      </c>
      <c r="F63" t="s">
        <v>41</v>
      </c>
      <c r="G63">
        <v>2</v>
      </c>
    </row>
    <row r="64" spans="1:7" x14ac:dyDescent="0.25">
      <c r="A64" s="34" t="s">
        <v>2288</v>
      </c>
      <c r="B64" t="s">
        <v>55</v>
      </c>
      <c r="C64">
        <v>7802348846</v>
      </c>
      <c r="D64">
        <v>997350001</v>
      </c>
      <c r="E64" t="s">
        <v>56</v>
      </c>
      <c r="F64" t="s">
        <v>41</v>
      </c>
      <c r="G64">
        <v>2</v>
      </c>
    </row>
    <row r="65" spans="1:7" x14ac:dyDescent="0.25">
      <c r="A65" s="33" t="s">
        <v>2289</v>
      </c>
      <c r="B65" t="s">
        <v>55</v>
      </c>
      <c r="C65">
        <v>7802348846</v>
      </c>
      <c r="D65">
        <v>997350001</v>
      </c>
      <c r="E65" t="s">
        <v>56</v>
      </c>
      <c r="F65" t="s">
        <v>41</v>
      </c>
      <c r="G65">
        <v>2</v>
      </c>
    </row>
    <row r="66" spans="1:7" x14ac:dyDescent="0.25">
      <c r="A66" s="34" t="s">
        <v>2290</v>
      </c>
      <c r="B66" t="s">
        <v>55</v>
      </c>
      <c r="C66">
        <v>7802348846</v>
      </c>
      <c r="D66">
        <v>997350001</v>
      </c>
      <c r="E66" t="s">
        <v>56</v>
      </c>
      <c r="F66" t="s">
        <v>41</v>
      </c>
      <c r="G66">
        <v>2</v>
      </c>
    </row>
    <row r="67" spans="1:7" x14ac:dyDescent="0.25">
      <c r="A67" s="33" t="s">
        <v>2291</v>
      </c>
      <c r="B67" t="s">
        <v>55</v>
      </c>
      <c r="C67">
        <v>7802348846</v>
      </c>
      <c r="D67">
        <v>997350001</v>
      </c>
      <c r="E67" t="s">
        <v>56</v>
      </c>
      <c r="F67" t="s">
        <v>41</v>
      </c>
      <c r="G67">
        <v>2</v>
      </c>
    </row>
    <row r="68" spans="1:7" x14ac:dyDescent="0.25">
      <c r="A68" s="34" t="s">
        <v>2292</v>
      </c>
      <c r="B68" t="s">
        <v>51</v>
      </c>
      <c r="C68">
        <v>7802348846</v>
      </c>
      <c r="D68">
        <v>997350001</v>
      </c>
      <c r="E68" t="s">
        <v>52</v>
      </c>
      <c r="F68" t="s">
        <v>41</v>
      </c>
      <c r="G68">
        <v>2</v>
      </c>
    </row>
    <row r="69" spans="1:7" x14ac:dyDescent="0.25">
      <c r="A69" s="33" t="s">
        <v>2293</v>
      </c>
      <c r="B69" t="s">
        <v>60</v>
      </c>
      <c r="C69">
        <v>7802348846</v>
      </c>
      <c r="D69">
        <v>997350001</v>
      </c>
      <c r="E69" t="s">
        <v>61</v>
      </c>
      <c r="F69" t="s">
        <v>41</v>
      </c>
      <c r="G69">
        <v>2</v>
      </c>
    </row>
    <row r="70" spans="1:7" x14ac:dyDescent="0.25">
      <c r="A70" s="34" t="s">
        <v>2294</v>
      </c>
      <c r="B70" t="s">
        <v>51</v>
      </c>
      <c r="C70">
        <v>7802348846</v>
      </c>
      <c r="D70">
        <v>997350001</v>
      </c>
      <c r="E70" t="s">
        <v>52</v>
      </c>
      <c r="F70" t="s">
        <v>41</v>
      </c>
      <c r="G70">
        <v>2</v>
      </c>
    </row>
    <row r="71" spans="1:7" x14ac:dyDescent="0.25">
      <c r="A71" s="33" t="s">
        <v>2295</v>
      </c>
      <c r="B71" t="s">
        <v>51</v>
      </c>
      <c r="C71">
        <v>7802348846</v>
      </c>
      <c r="D71">
        <v>997350001</v>
      </c>
      <c r="E71" t="s">
        <v>52</v>
      </c>
      <c r="F71" t="s">
        <v>41</v>
      </c>
      <c r="G71">
        <v>2</v>
      </c>
    </row>
    <row r="72" spans="1:7" x14ac:dyDescent="0.25">
      <c r="A72" s="34" t="s">
        <v>2296</v>
      </c>
      <c r="B72" t="s">
        <v>44</v>
      </c>
      <c r="C72">
        <v>7802348846</v>
      </c>
      <c r="D72">
        <v>997350001</v>
      </c>
      <c r="E72" t="s">
        <v>45</v>
      </c>
      <c r="F72" t="s">
        <v>41</v>
      </c>
      <c r="G72">
        <v>2</v>
      </c>
    </row>
    <row r="73" spans="1:7" x14ac:dyDescent="0.25">
      <c r="A73" s="33" t="s">
        <v>2297</v>
      </c>
      <c r="B73" t="s">
        <v>46</v>
      </c>
      <c r="C73">
        <v>7802348846</v>
      </c>
      <c r="D73">
        <v>997350001</v>
      </c>
      <c r="E73" t="s">
        <v>47</v>
      </c>
      <c r="F73" t="s">
        <v>41</v>
      </c>
      <c r="G73">
        <v>2</v>
      </c>
    </row>
    <row r="74" spans="1:7" x14ac:dyDescent="0.25">
      <c r="A74" s="34" t="s">
        <v>2298</v>
      </c>
      <c r="B74" t="s">
        <v>46</v>
      </c>
      <c r="C74">
        <v>7802348846</v>
      </c>
      <c r="D74">
        <v>997350001</v>
      </c>
      <c r="E74" t="s">
        <v>47</v>
      </c>
      <c r="F74" t="s">
        <v>41</v>
      </c>
      <c r="G74">
        <v>2</v>
      </c>
    </row>
    <row r="75" spans="1:7" ht="45" x14ac:dyDescent="0.25">
      <c r="A75" s="33" t="s">
        <v>2313</v>
      </c>
      <c r="B75" t="s">
        <v>39</v>
      </c>
      <c r="C75">
        <v>7802348846</v>
      </c>
      <c r="D75">
        <v>997350001</v>
      </c>
      <c r="E75" t="s">
        <v>40</v>
      </c>
      <c r="F75" t="s">
        <v>3376</v>
      </c>
      <c r="G75">
        <v>2</v>
      </c>
    </row>
    <row r="76" spans="1:7" x14ac:dyDescent="0.25">
      <c r="A76" s="34" t="s">
        <v>2314</v>
      </c>
      <c r="B76" t="s">
        <v>51</v>
      </c>
      <c r="C76">
        <v>7802348846</v>
      </c>
      <c r="D76">
        <v>997350001</v>
      </c>
      <c r="E76" t="s">
        <v>52</v>
      </c>
      <c r="F76" t="s">
        <v>41</v>
      </c>
      <c r="G76">
        <v>2</v>
      </c>
    </row>
    <row r="77" spans="1:7" x14ac:dyDescent="0.25">
      <c r="A77" s="33" t="s">
        <v>2316</v>
      </c>
      <c r="B77" t="s">
        <v>46</v>
      </c>
      <c r="C77">
        <v>7802348846</v>
      </c>
      <c r="D77">
        <v>997350001</v>
      </c>
      <c r="E77" t="s">
        <v>47</v>
      </c>
      <c r="F77" t="s">
        <v>41</v>
      </c>
      <c r="G77">
        <v>2</v>
      </c>
    </row>
    <row r="78" spans="1:7" x14ac:dyDescent="0.25">
      <c r="A78" s="34" t="s">
        <v>2315</v>
      </c>
      <c r="B78" t="s">
        <v>46</v>
      </c>
      <c r="C78">
        <v>7802348846</v>
      </c>
      <c r="D78">
        <v>997350001</v>
      </c>
      <c r="E78" t="s">
        <v>47</v>
      </c>
      <c r="F78" t="s">
        <v>41</v>
      </c>
      <c r="G78">
        <v>2</v>
      </c>
    </row>
    <row r="79" spans="1:7" x14ac:dyDescent="0.25">
      <c r="A79" s="33" t="s">
        <v>2325</v>
      </c>
      <c r="B79" t="s">
        <v>46</v>
      </c>
      <c r="C79">
        <v>7802348846</v>
      </c>
      <c r="D79">
        <v>997350001</v>
      </c>
      <c r="E79" t="s">
        <v>47</v>
      </c>
      <c r="F79" t="s">
        <v>41</v>
      </c>
      <c r="G79">
        <v>2</v>
      </c>
    </row>
    <row r="80" spans="1:7" x14ac:dyDescent="0.25">
      <c r="A80" s="34" t="s">
        <v>2326</v>
      </c>
      <c r="B80" t="s">
        <v>46</v>
      </c>
      <c r="C80">
        <v>7802348846</v>
      </c>
      <c r="D80">
        <v>997350001</v>
      </c>
      <c r="E80" t="s">
        <v>47</v>
      </c>
      <c r="F80" t="s">
        <v>41</v>
      </c>
      <c r="G80">
        <v>2</v>
      </c>
    </row>
    <row r="81" spans="1:7" x14ac:dyDescent="0.25">
      <c r="A81" s="33" t="s">
        <v>2328</v>
      </c>
      <c r="B81" t="s">
        <v>37</v>
      </c>
      <c r="C81">
        <v>7802348846</v>
      </c>
      <c r="D81">
        <v>997350001</v>
      </c>
      <c r="E81" t="s">
        <v>38</v>
      </c>
      <c r="F81" t="s">
        <v>3376</v>
      </c>
      <c r="G81">
        <v>2</v>
      </c>
    </row>
    <row r="82" spans="1:7" x14ac:dyDescent="0.25">
      <c r="A82" s="34" t="s">
        <v>2329</v>
      </c>
      <c r="B82" t="s">
        <v>37</v>
      </c>
      <c r="C82">
        <v>7802348846</v>
      </c>
      <c r="D82">
        <v>997350001</v>
      </c>
      <c r="E82" t="s">
        <v>38</v>
      </c>
      <c r="F82" t="s">
        <v>3376</v>
      </c>
      <c r="G82">
        <v>2</v>
      </c>
    </row>
    <row r="83" spans="1:7" x14ac:dyDescent="0.25">
      <c r="A83" s="33" t="s">
        <v>2330</v>
      </c>
      <c r="B83" t="s">
        <v>37</v>
      </c>
      <c r="C83">
        <v>7802348846</v>
      </c>
      <c r="D83">
        <v>997350001</v>
      </c>
      <c r="E83" t="s">
        <v>38</v>
      </c>
      <c r="F83" t="s">
        <v>3376</v>
      </c>
      <c r="G83">
        <v>2</v>
      </c>
    </row>
    <row r="84" spans="1:7" x14ac:dyDescent="0.25">
      <c r="A84" s="34" t="s">
        <v>2331</v>
      </c>
      <c r="B84" t="s">
        <v>37</v>
      </c>
      <c r="C84">
        <v>7802348846</v>
      </c>
      <c r="D84">
        <v>997350001</v>
      </c>
      <c r="E84" t="s">
        <v>38</v>
      </c>
      <c r="F84" t="s">
        <v>3376</v>
      </c>
      <c r="G84">
        <v>2</v>
      </c>
    </row>
    <row r="85" spans="1:7" x14ac:dyDescent="0.25">
      <c r="A85" s="33" t="s">
        <v>2343</v>
      </c>
      <c r="B85" t="s">
        <v>37</v>
      </c>
      <c r="C85">
        <v>7802348846</v>
      </c>
      <c r="D85">
        <v>997350001</v>
      </c>
      <c r="E85" t="s">
        <v>38</v>
      </c>
      <c r="F85" t="s">
        <v>3376</v>
      </c>
      <c r="G85">
        <v>2</v>
      </c>
    </row>
    <row r="86" spans="1:7" x14ac:dyDescent="0.25">
      <c r="A86" s="34" t="s">
        <v>2332</v>
      </c>
      <c r="B86" t="s">
        <v>37</v>
      </c>
      <c r="C86">
        <v>7802348846</v>
      </c>
      <c r="D86">
        <v>997350001</v>
      </c>
      <c r="E86" t="s">
        <v>38</v>
      </c>
      <c r="F86" t="s">
        <v>3376</v>
      </c>
      <c r="G86">
        <v>2</v>
      </c>
    </row>
    <row r="87" spans="1:7" x14ac:dyDescent="0.25">
      <c r="A87" s="33" t="s">
        <v>2333</v>
      </c>
      <c r="B87" t="s">
        <v>37</v>
      </c>
      <c r="C87">
        <v>7802348846</v>
      </c>
      <c r="D87">
        <v>997350001</v>
      </c>
      <c r="E87" t="s">
        <v>38</v>
      </c>
      <c r="F87" t="s">
        <v>3376</v>
      </c>
      <c r="G87">
        <v>2</v>
      </c>
    </row>
    <row r="88" spans="1:7" x14ac:dyDescent="0.25">
      <c r="A88" s="34" t="s">
        <v>2335</v>
      </c>
      <c r="B88" t="s">
        <v>37</v>
      </c>
      <c r="C88">
        <v>7802348846</v>
      </c>
      <c r="D88">
        <v>997350001</v>
      </c>
      <c r="E88" t="s">
        <v>38</v>
      </c>
      <c r="F88" t="s">
        <v>3376</v>
      </c>
      <c r="G88">
        <v>2</v>
      </c>
    </row>
    <row r="89" spans="1:7" x14ac:dyDescent="0.25">
      <c r="A89" s="33" t="s">
        <v>2336</v>
      </c>
      <c r="B89" t="s">
        <v>37</v>
      </c>
      <c r="C89">
        <v>7802348846</v>
      </c>
      <c r="D89">
        <v>997350001</v>
      </c>
      <c r="E89" t="s">
        <v>38</v>
      </c>
      <c r="F89" t="s">
        <v>3376</v>
      </c>
      <c r="G89">
        <v>2</v>
      </c>
    </row>
    <row r="90" spans="1:7" x14ac:dyDescent="0.25">
      <c r="A90" s="34" t="s">
        <v>2337</v>
      </c>
      <c r="B90" t="s">
        <v>37</v>
      </c>
      <c r="C90">
        <v>7802348846</v>
      </c>
      <c r="D90">
        <v>997350001</v>
      </c>
      <c r="E90" t="s">
        <v>38</v>
      </c>
      <c r="F90" t="s">
        <v>3376</v>
      </c>
      <c r="G90">
        <v>2</v>
      </c>
    </row>
    <row r="91" spans="1:7" x14ac:dyDescent="0.25">
      <c r="A91" s="33" t="s">
        <v>2338</v>
      </c>
      <c r="B91" t="s">
        <v>37</v>
      </c>
      <c r="C91">
        <v>7802348846</v>
      </c>
      <c r="D91">
        <v>997350001</v>
      </c>
      <c r="E91" t="s">
        <v>38</v>
      </c>
      <c r="F91" t="s">
        <v>3376</v>
      </c>
      <c r="G91">
        <v>2</v>
      </c>
    </row>
    <row r="92" spans="1:7" x14ac:dyDescent="0.25">
      <c r="A92" s="34" t="s">
        <v>2334</v>
      </c>
      <c r="B92" t="s">
        <v>37</v>
      </c>
      <c r="C92">
        <v>7802348846</v>
      </c>
      <c r="D92">
        <v>997350001</v>
      </c>
      <c r="E92" t="s">
        <v>38</v>
      </c>
      <c r="F92" t="s">
        <v>3376</v>
      </c>
      <c r="G92">
        <v>2</v>
      </c>
    </row>
    <row r="93" spans="1:7" x14ac:dyDescent="0.25">
      <c r="A93" s="33" t="s">
        <v>2339</v>
      </c>
      <c r="B93" t="s">
        <v>37</v>
      </c>
      <c r="C93">
        <v>7802348846</v>
      </c>
      <c r="D93">
        <v>997350001</v>
      </c>
      <c r="E93" t="s">
        <v>38</v>
      </c>
      <c r="F93" t="s">
        <v>3376</v>
      </c>
      <c r="G93">
        <v>2</v>
      </c>
    </row>
    <row r="94" spans="1:7" x14ac:dyDescent="0.25">
      <c r="A94" s="34" t="s">
        <v>2340</v>
      </c>
      <c r="B94" t="s">
        <v>37</v>
      </c>
      <c r="C94">
        <v>7802348846</v>
      </c>
      <c r="D94">
        <v>997350001</v>
      </c>
      <c r="E94" t="s">
        <v>38</v>
      </c>
      <c r="F94" t="s">
        <v>3376</v>
      </c>
      <c r="G94">
        <v>2</v>
      </c>
    </row>
    <row r="95" spans="1:7" x14ac:dyDescent="0.25">
      <c r="A95" s="33" t="s">
        <v>2341</v>
      </c>
      <c r="B95" t="s">
        <v>37</v>
      </c>
      <c r="C95">
        <v>7802348846</v>
      </c>
      <c r="D95">
        <v>997350001</v>
      </c>
      <c r="E95" t="s">
        <v>38</v>
      </c>
      <c r="F95" t="s">
        <v>3376</v>
      </c>
      <c r="G95">
        <v>2</v>
      </c>
    </row>
    <row r="96" spans="1:7" x14ac:dyDescent="0.25">
      <c r="A96" s="34" t="s">
        <v>2342</v>
      </c>
      <c r="B96" t="s">
        <v>37</v>
      </c>
      <c r="C96">
        <v>7802348846</v>
      </c>
      <c r="D96">
        <v>997350001</v>
      </c>
      <c r="E96" t="s">
        <v>38</v>
      </c>
      <c r="F96" t="s">
        <v>3376</v>
      </c>
      <c r="G96">
        <v>2</v>
      </c>
    </row>
    <row r="97" spans="1:7" x14ac:dyDescent="0.25">
      <c r="A97" s="33" t="s">
        <v>2344</v>
      </c>
      <c r="B97" t="s">
        <v>2351</v>
      </c>
      <c r="C97" s="32">
        <v>7802348846</v>
      </c>
      <c r="D97" s="32">
        <v>997350001</v>
      </c>
      <c r="E97" t="s">
        <v>2352</v>
      </c>
      <c r="F97" t="s">
        <v>41</v>
      </c>
      <c r="G97">
        <v>1</v>
      </c>
    </row>
    <row r="98" spans="1:7" x14ac:dyDescent="0.25">
      <c r="A98" s="34" t="s">
        <v>2345</v>
      </c>
      <c r="B98" t="s">
        <v>2351</v>
      </c>
      <c r="C98" s="32">
        <v>7802348846</v>
      </c>
      <c r="D98" s="32">
        <v>997350001</v>
      </c>
      <c r="E98" t="s">
        <v>2352</v>
      </c>
      <c r="F98" t="s">
        <v>41</v>
      </c>
      <c r="G98">
        <v>1</v>
      </c>
    </row>
    <row r="99" spans="1:7" x14ac:dyDescent="0.25">
      <c r="A99" s="33" t="s">
        <v>2346</v>
      </c>
      <c r="B99" t="s">
        <v>2351</v>
      </c>
      <c r="C99" s="32">
        <v>7802348846</v>
      </c>
      <c r="D99" s="32">
        <v>997350001</v>
      </c>
      <c r="E99" t="s">
        <v>2352</v>
      </c>
      <c r="F99" t="s">
        <v>41</v>
      </c>
      <c r="G99">
        <v>1</v>
      </c>
    </row>
    <row r="100" spans="1:7" x14ac:dyDescent="0.25">
      <c r="A100" s="34" t="s">
        <v>2347</v>
      </c>
      <c r="B100" t="s">
        <v>2351</v>
      </c>
      <c r="C100" s="32">
        <v>7802348846</v>
      </c>
      <c r="D100" s="32">
        <v>997350001</v>
      </c>
      <c r="E100" t="s">
        <v>2352</v>
      </c>
      <c r="F100" t="s">
        <v>41</v>
      </c>
      <c r="G100">
        <v>1</v>
      </c>
    </row>
    <row r="101" spans="1:7" x14ac:dyDescent="0.25">
      <c r="A101" s="33" t="s">
        <v>2348</v>
      </c>
      <c r="B101" t="s">
        <v>2351</v>
      </c>
      <c r="C101" s="32">
        <v>7802348846</v>
      </c>
      <c r="D101" s="32">
        <v>997350001</v>
      </c>
      <c r="E101" t="s">
        <v>2352</v>
      </c>
      <c r="F101" t="s">
        <v>41</v>
      </c>
      <c r="G101">
        <v>1</v>
      </c>
    </row>
    <row r="102" spans="1:7" x14ac:dyDescent="0.25">
      <c r="A102" s="34" t="s">
        <v>2349</v>
      </c>
      <c r="B102" t="s">
        <v>2351</v>
      </c>
      <c r="C102" s="32">
        <v>7802348846</v>
      </c>
      <c r="D102" s="32">
        <v>997350001</v>
      </c>
      <c r="E102" t="s">
        <v>2352</v>
      </c>
      <c r="F102" t="s">
        <v>41</v>
      </c>
      <c r="G102">
        <v>1</v>
      </c>
    </row>
    <row r="103" spans="1:7" x14ac:dyDescent="0.25">
      <c r="A103" s="33" t="s">
        <v>2350</v>
      </c>
      <c r="B103" t="s">
        <v>2351</v>
      </c>
      <c r="C103" s="32">
        <v>7802348846</v>
      </c>
      <c r="D103" s="32">
        <v>997350001</v>
      </c>
      <c r="E103" t="s">
        <v>2352</v>
      </c>
      <c r="F103" t="s">
        <v>41</v>
      </c>
      <c r="G103">
        <v>1</v>
      </c>
    </row>
    <row r="104" spans="1:7" x14ac:dyDescent="0.25">
      <c r="A104" s="34" t="s">
        <v>2353</v>
      </c>
      <c r="B104" t="s">
        <v>39</v>
      </c>
      <c r="C104">
        <v>7802348846</v>
      </c>
      <c r="D104">
        <v>997350001</v>
      </c>
      <c r="E104" t="s">
        <v>40</v>
      </c>
      <c r="F104" t="s">
        <v>41</v>
      </c>
      <c r="G104">
        <v>1</v>
      </c>
    </row>
    <row r="105" spans="1:7" ht="60" x14ac:dyDescent="0.25">
      <c r="A105" s="33" t="s">
        <v>2354</v>
      </c>
      <c r="B105" t="s">
        <v>39</v>
      </c>
      <c r="C105">
        <v>7802348846</v>
      </c>
      <c r="D105">
        <v>997350001</v>
      </c>
      <c r="E105" t="s">
        <v>40</v>
      </c>
      <c r="F105" t="s">
        <v>41</v>
      </c>
      <c r="G105">
        <v>1</v>
      </c>
    </row>
    <row r="106" spans="1:7" ht="60" x14ac:dyDescent="0.25">
      <c r="A106" s="34" t="s">
        <v>2355</v>
      </c>
      <c r="B106" t="s">
        <v>39</v>
      </c>
      <c r="C106">
        <v>7802348846</v>
      </c>
      <c r="D106">
        <v>997350001</v>
      </c>
      <c r="E106" t="s">
        <v>40</v>
      </c>
      <c r="F106" t="s">
        <v>41</v>
      </c>
      <c r="G106">
        <v>1</v>
      </c>
    </row>
    <row r="107" spans="1:7" ht="60" x14ac:dyDescent="0.25">
      <c r="A107" s="33" t="s">
        <v>2356</v>
      </c>
      <c r="B107" t="s">
        <v>39</v>
      </c>
      <c r="C107">
        <v>7802348846</v>
      </c>
      <c r="D107">
        <v>997350001</v>
      </c>
      <c r="E107" t="s">
        <v>40</v>
      </c>
      <c r="F107" t="s">
        <v>41</v>
      </c>
      <c r="G107">
        <v>1</v>
      </c>
    </row>
    <row r="108" spans="1:7" x14ac:dyDescent="0.25">
      <c r="A108" s="34" t="s">
        <v>2357</v>
      </c>
      <c r="B108" t="s">
        <v>39</v>
      </c>
      <c r="C108">
        <v>7802348846</v>
      </c>
      <c r="D108">
        <v>997350001</v>
      </c>
      <c r="E108" t="s">
        <v>40</v>
      </c>
      <c r="F108" t="s">
        <v>41</v>
      </c>
      <c r="G108">
        <v>1</v>
      </c>
    </row>
    <row r="109" spans="1:7" x14ac:dyDescent="0.25">
      <c r="A109" s="33" t="s">
        <v>2358</v>
      </c>
      <c r="B109" t="s">
        <v>39</v>
      </c>
      <c r="C109">
        <v>7802348846</v>
      </c>
      <c r="D109">
        <v>997350001</v>
      </c>
      <c r="E109" t="s">
        <v>40</v>
      </c>
      <c r="F109" t="s">
        <v>41</v>
      </c>
      <c r="G109">
        <v>1</v>
      </c>
    </row>
    <row r="110" spans="1:7" x14ac:dyDescent="0.25">
      <c r="A110" s="34" t="s">
        <v>2359</v>
      </c>
      <c r="B110" t="s">
        <v>39</v>
      </c>
      <c r="C110">
        <v>7802348846</v>
      </c>
      <c r="D110">
        <v>997350001</v>
      </c>
      <c r="E110" t="s">
        <v>40</v>
      </c>
      <c r="F110" t="s">
        <v>41</v>
      </c>
      <c r="G110">
        <v>1</v>
      </c>
    </row>
    <row r="111" spans="1:7" ht="13.5" customHeight="1" x14ac:dyDescent="0.25">
      <c r="A111" s="33" t="s">
        <v>2360</v>
      </c>
      <c r="B111" t="s">
        <v>39</v>
      </c>
      <c r="C111">
        <v>7802348846</v>
      </c>
      <c r="D111">
        <v>997350001</v>
      </c>
      <c r="E111" t="s">
        <v>40</v>
      </c>
      <c r="F111" t="s">
        <v>41</v>
      </c>
      <c r="G111">
        <v>1</v>
      </c>
    </row>
    <row r="112" spans="1:7" x14ac:dyDescent="0.25">
      <c r="A112" s="34" t="s">
        <v>2361</v>
      </c>
      <c r="B112" t="s">
        <v>39</v>
      </c>
      <c r="C112">
        <v>7802348846</v>
      </c>
      <c r="D112">
        <v>997350001</v>
      </c>
      <c r="E112" t="s">
        <v>40</v>
      </c>
      <c r="F112" t="s">
        <v>41</v>
      </c>
      <c r="G112">
        <v>1</v>
      </c>
    </row>
    <row r="113" spans="1:7" x14ac:dyDescent="0.25">
      <c r="A113" s="33" t="s">
        <v>2362</v>
      </c>
      <c r="B113" t="s">
        <v>39</v>
      </c>
      <c r="C113">
        <v>7802348846</v>
      </c>
      <c r="D113">
        <v>997350001</v>
      </c>
      <c r="E113" t="s">
        <v>40</v>
      </c>
      <c r="F113" t="s">
        <v>41</v>
      </c>
      <c r="G113">
        <v>1</v>
      </c>
    </row>
    <row r="114" spans="1:7" ht="30" x14ac:dyDescent="0.25">
      <c r="A114" s="34" t="s">
        <v>2363</v>
      </c>
      <c r="B114" t="s">
        <v>39</v>
      </c>
      <c r="C114">
        <v>7802348846</v>
      </c>
      <c r="D114">
        <v>997350001</v>
      </c>
      <c r="E114" t="s">
        <v>40</v>
      </c>
      <c r="F114" t="s">
        <v>41</v>
      </c>
      <c r="G114">
        <v>1</v>
      </c>
    </row>
    <row r="115" spans="1:7" x14ac:dyDescent="0.25">
      <c r="A115" s="33" t="s">
        <v>2364</v>
      </c>
      <c r="B115" t="s">
        <v>39</v>
      </c>
      <c r="C115">
        <v>7802348846</v>
      </c>
      <c r="D115">
        <v>997350001</v>
      </c>
      <c r="E115" t="s">
        <v>40</v>
      </c>
      <c r="F115" t="s">
        <v>41</v>
      </c>
      <c r="G115">
        <v>1</v>
      </c>
    </row>
    <row r="116" spans="1:7" ht="30" x14ac:dyDescent="0.25">
      <c r="A116" s="34" t="s">
        <v>2365</v>
      </c>
      <c r="B116" t="s">
        <v>39</v>
      </c>
      <c r="C116">
        <v>7802348846</v>
      </c>
      <c r="D116">
        <v>997350001</v>
      </c>
      <c r="E116" t="s">
        <v>40</v>
      </c>
      <c r="F116" t="s">
        <v>41</v>
      </c>
      <c r="G116">
        <v>1</v>
      </c>
    </row>
    <row r="117" spans="1:7" ht="30" x14ac:dyDescent="0.25">
      <c r="A117" s="33" t="s">
        <v>2366</v>
      </c>
      <c r="B117" t="s">
        <v>39</v>
      </c>
      <c r="C117">
        <v>7802348846</v>
      </c>
      <c r="D117">
        <v>997350001</v>
      </c>
      <c r="E117" t="s">
        <v>40</v>
      </c>
      <c r="F117" t="s">
        <v>41</v>
      </c>
      <c r="G117">
        <v>1</v>
      </c>
    </row>
    <row r="118" spans="1:7" ht="30" x14ac:dyDescent="0.25">
      <c r="A118" s="34" t="s">
        <v>2367</v>
      </c>
      <c r="B118" t="s">
        <v>39</v>
      </c>
      <c r="C118">
        <v>7802348846</v>
      </c>
      <c r="D118">
        <v>997350001</v>
      </c>
      <c r="E118" t="s">
        <v>40</v>
      </c>
      <c r="F118" t="s">
        <v>41</v>
      </c>
      <c r="G118">
        <v>1</v>
      </c>
    </row>
    <row r="119" spans="1:7" x14ac:dyDescent="0.25">
      <c r="A119" s="33" t="s">
        <v>2368</v>
      </c>
      <c r="B119" t="s">
        <v>39</v>
      </c>
      <c r="C119">
        <v>7802348846</v>
      </c>
      <c r="D119">
        <v>997350001</v>
      </c>
      <c r="E119" t="s">
        <v>40</v>
      </c>
      <c r="F119" t="s">
        <v>41</v>
      </c>
      <c r="G119">
        <v>1</v>
      </c>
    </row>
    <row r="120" spans="1:7" x14ac:dyDescent="0.25">
      <c r="A120" s="34" t="s">
        <v>2369</v>
      </c>
      <c r="B120" t="s">
        <v>39</v>
      </c>
      <c r="C120">
        <v>7802348846</v>
      </c>
      <c r="D120">
        <v>997350001</v>
      </c>
      <c r="E120" t="s">
        <v>40</v>
      </c>
      <c r="F120" t="s">
        <v>41</v>
      </c>
      <c r="G120">
        <v>1</v>
      </c>
    </row>
    <row r="121" spans="1:7" x14ac:dyDescent="0.25">
      <c r="A121" s="33" t="s">
        <v>2370</v>
      </c>
      <c r="B121" t="s">
        <v>42</v>
      </c>
      <c r="C121">
        <v>7802348846</v>
      </c>
      <c r="D121">
        <v>997350001</v>
      </c>
      <c r="E121" t="s">
        <v>43</v>
      </c>
      <c r="F121" t="s">
        <v>41</v>
      </c>
      <c r="G121">
        <v>2</v>
      </c>
    </row>
    <row r="122" spans="1:7" x14ac:dyDescent="0.25">
      <c r="A122" s="34" t="s">
        <v>2371</v>
      </c>
      <c r="B122" t="s">
        <v>42</v>
      </c>
      <c r="C122">
        <v>7802348846</v>
      </c>
      <c r="D122">
        <v>997350001</v>
      </c>
      <c r="E122" t="s">
        <v>43</v>
      </c>
      <c r="F122" t="s">
        <v>41</v>
      </c>
      <c r="G122">
        <v>2</v>
      </c>
    </row>
    <row r="123" spans="1:7" x14ac:dyDescent="0.25">
      <c r="A123" s="33" t="s">
        <v>2372</v>
      </c>
      <c r="B123" t="s">
        <v>42</v>
      </c>
      <c r="C123">
        <v>7802348846</v>
      </c>
      <c r="D123">
        <v>997350001</v>
      </c>
      <c r="E123" t="s">
        <v>43</v>
      </c>
      <c r="F123" t="s">
        <v>41</v>
      </c>
      <c r="G123">
        <v>2</v>
      </c>
    </row>
    <row r="124" spans="1:7" x14ac:dyDescent="0.25">
      <c r="A124" s="34" t="s">
        <v>2373</v>
      </c>
      <c r="B124" t="s">
        <v>42</v>
      </c>
      <c r="C124">
        <v>7802348846</v>
      </c>
      <c r="D124">
        <v>997350001</v>
      </c>
      <c r="E124" t="s">
        <v>43</v>
      </c>
      <c r="F124" t="s">
        <v>41</v>
      </c>
      <c r="G124">
        <v>2</v>
      </c>
    </row>
    <row r="125" spans="1:7" x14ac:dyDescent="0.25">
      <c r="A125" s="33" t="s">
        <v>2374</v>
      </c>
      <c r="B125" t="s">
        <v>42</v>
      </c>
      <c r="C125">
        <v>7802348846</v>
      </c>
      <c r="D125">
        <v>997350001</v>
      </c>
      <c r="E125" t="s">
        <v>43</v>
      </c>
      <c r="F125" t="s">
        <v>41</v>
      </c>
      <c r="G125">
        <v>2</v>
      </c>
    </row>
    <row r="126" spans="1:7" x14ac:dyDescent="0.25">
      <c r="A126" s="34" t="s">
        <v>2380</v>
      </c>
      <c r="B126" t="s">
        <v>48</v>
      </c>
      <c r="C126">
        <v>7802348846</v>
      </c>
      <c r="D126">
        <v>997350001</v>
      </c>
      <c r="E126" t="s">
        <v>49</v>
      </c>
      <c r="F126" t="s">
        <v>50</v>
      </c>
      <c r="G126">
        <v>2</v>
      </c>
    </row>
    <row r="127" spans="1:7" x14ac:dyDescent="0.25">
      <c r="A127" s="33" t="s">
        <v>2379</v>
      </c>
      <c r="B127" t="s">
        <v>48</v>
      </c>
      <c r="C127">
        <v>7802348846</v>
      </c>
      <c r="D127">
        <v>997350001</v>
      </c>
      <c r="E127" t="s">
        <v>49</v>
      </c>
      <c r="F127" t="s">
        <v>50</v>
      </c>
      <c r="G127">
        <v>2</v>
      </c>
    </row>
    <row r="128" spans="1:7" x14ac:dyDescent="0.25">
      <c r="A128" s="34" t="s">
        <v>2378</v>
      </c>
      <c r="B128" t="s">
        <v>48</v>
      </c>
      <c r="C128">
        <v>7802348846</v>
      </c>
      <c r="D128">
        <v>997350001</v>
      </c>
      <c r="E128" t="s">
        <v>49</v>
      </c>
      <c r="F128" t="s">
        <v>50</v>
      </c>
      <c r="G128">
        <v>2</v>
      </c>
    </row>
    <row r="129" spans="1:7" x14ac:dyDescent="0.25">
      <c r="A129" s="33" t="s">
        <v>2377</v>
      </c>
      <c r="B129" t="s">
        <v>48</v>
      </c>
      <c r="C129">
        <v>7802348846</v>
      </c>
      <c r="D129">
        <v>997350001</v>
      </c>
      <c r="E129" t="s">
        <v>49</v>
      </c>
      <c r="F129" t="s">
        <v>50</v>
      </c>
      <c r="G129">
        <v>2</v>
      </c>
    </row>
    <row r="130" spans="1:7" x14ac:dyDescent="0.25">
      <c r="A130" s="34" t="s">
        <v>2376</v>
      </c>
      <c r="B130" t="s">
        <v>48</v>
      </c>
      <c r="C130">
        <v>7802348846</v>
      </c>
      <c r="D130">
        <v>997350001</v>
      </c>
      <c r="E130" t="s">
        <v>49</v>
      </c>
      <c r="F130" t="s">
        <v>50</v>
      </c>
      <c r="G130">
        <v>2</v>
      </c>
    </row>
    <row r="131" spans="1:7" x14ac:dyDescent="0.25">
      <c r="A131" s="33" t="s">
        <v>2375</v>
      </c>
      <c r="B131" t="s">
        <v>48</v>
      </c>
      <c r="C131">
        <v>7802348846</v>
      </c>
      <c r="D131">
        <v>997350001</v>
      </c>
      <c r="E131" t="s">
        <v>49</v>
      </c>
      <c r="F131" t="s">
        <v>50</v>
      </c>
      <c r="G131">
        <v>2</v>
      </c>
    </row>
    <row r="132" spans="1:7" x14ac:dyDescent="0.25">
      <c r="A132" s="34" t="s">
        <v>2381</v>
      </c>
      <c r="B132" t="s">
        <v>46</v>
      </c>
      <c r="C132">
        <v>7802348846</v>
      </c>
      <c r="D132">
        <v>997350001</v>
      </c>
      <c r="E132" t="s">
        <v>47</v>
      </c>
      <c r="F132" t="s">
        <v>41</v>
      </c>
      <c r="G132">
        <v>2</v>
      </c>
    </row>
    <row r="133" spans="1:7" x14ac:dyDescent="0.25">
      <c r="A133" s="33" t="s">
        <v>2383</v>
      </c>
      <c r="B133" t="s">
        <v>46</v>
      </c>
      <c r="C133">
        <v>7802348846</v>
      </c>
      <c r="D133">
        <v>997350001</v>
      </c>
      <c r="E133" t="s">
        <v>47</v>
      </c>
      <c r="F133" t="s">
        <v>41</v>
      </c>
      <c r="G133">
        <v>2</v>
      </c>
    </row>
    <row r="134" spans="1:7" x14ac:dyDescent="0.25">
      <c r="A134" s="34" t="s">
        <v>2400</v>
      </c>
      <c r="B134" t="s">
        <v>46</v>
      </c>
      <c r="C134">
        <v>7802348846</v>
      </c>
      <c r="D134">
        <v>997350001</v>
      </c>
      <c r="E134" t="s">
        <v>47</v>
      </c>
      <c r="F134" t="s">
        <v>41</v>
      </c>
      <c r="G134">
        <v>2</v>
      </c>
    </row>
    <row r="135" spans="1:7" x14ac:dyDescent="0.25">
      <c r="A135" s="33" t="s">
        <v>2384</v>
      </c>
      <c r="B135" t="s">
        <v>46</v>
      </c>
      <c r="C135">
        <v>7802348846</v>
      </c>
      <c r="D135">
        <v>997350001</v>
      </c>
      <c r="E135" t="s">
        <v>47</v>
      </c>
      <c r="F135" t="s">
        <v>41</v>
      </c>
      <c r="G135">
        <v>2</v>
      </c>
    </row>
    <row r="136" spans="1:7" x14ac:dyDescent="0.25">
      <c r="A136" s="34" t="s">
        <v>2385</v>
      </c>
      <c r="B136" t="s">
        <v>46</v>
      </c>
      <c r="C136">
        <v>7802348846</v>
      </c>
      <c r="D136">
        <v>997350001</v>
      </c>
      <c r="E136" t="s">
        <v>47</v>
      </c>
      <c r="F136" t="s">
        <v>41</v>
      </c>
      <c r="G136">
        <v>2</v>
      </c>
    </row>
    <row r="137" spans="1:7" x14ac:dyDescent="0.25">
      <c r="A137" s="33" t="s">
        <v>2386</v>
      </c>
      <c r="B137" t="s">
        <v>46</v>
      </c>
      <c r="C137">
        <v>7802348846</v>
      </c>
      <c r="D137">
        <v>997350001</v>
      </c>
      <c r="E137" t="s">
        <v>47</v>
      </c>
      <c r="F137" t="s">
        <v>41</v>
      </c>
      <c r="G137">
        <v>2</v>
      </c>
    </row>
    <row r="138" spans="1:7" x14ac:dyDescent="0.25">
      <c r="A138" s="34" t="s">
        <v>2387</v>
      </c>
      <c r="B138" t="s">
        <v>46</v>
      </c>
      <c r="C138">
        <v>7802348846</v>
      </c>
      <c r="D138">
        <v>997350001</v>
      </c>
      <c r="E138" t="s">
        <v>47</v>
      </c>
      <c r="F138" t="s">
        <v>41</v>
      </c>
      <c r="G138">
        <v>2</v>
      </c>
    </row>
    <row r="139" spans="1:7" x14ac:dyDescent="0.25">
      <c r="A139" s="33" t="s">
        <v>2388</v>
      </c>
      <c r="B139" t="s">
        <v>46</v>
      </c>
      <c r="C139">
        <v>7802348846</v>
      </c>
      <c r="D139">
        <v>997350001</v>
      </c>
      <c r="E139" t="s">
        <v>47</v>
      </c>
      <c r="F139" t="s">
        <v>41</v>
      </c>
      <c r="G139">
        <v>2</v>
      </c>
    </row>
    <row r="140" spans="1:7" x14ac:dyDescent="0.25">
      <c r="A140" s="34" t="s">
        <v>2396</v>
      </c>
      <c r="B140" t="s">
        <v>46</v>
      </c>
      <c r="C140">
        <v>7802348846</v>
      </c>
      <c r="D140">
        <v>997350001</v>
      </c>
      <c r="E140" t="s">
        <v>47</v>
      </c>
      <c r="F140" t="s">
        <v>41</v>
      </c>
      <c r="G140">
        <v>2</v>
      </c>
    </row>
    <row r="141" spans="1:7" x14ac:dyDescent="0.25">
      <c r="A141" s="33" t="s">
        <v>2397</v>
      </c>
      <c r="B141" t="s">
        <v>46</v>
      </c>
      <c r="C141">
        <v>7802348846</v>
      </c>
      <c r="D141">
        <v>997350001</v>
      </c>
      <c r="E141" t="s">
        <v>47</v>
      </c>
      <c r="F141" t="s">
        <v>41</v>
      </c>
      <c r="G141">
        <v>2</v>
      </c>
    </row>
    <row r="142" spans="1:7" x14ac:dyDescent="0.25">
      <c r="A142" s="34" t="s">
        <v>2398</v>
      </c>
      <c r="B142" t="s">
        <v>46</v>
      </c>
      <c r="C142">
        <v>7802348846</v>
      </c>
      <c r="D142">
        <v>997350001</v>
      </c>
      <c r="E142" t="s">
        <v>47</v>
      </c>
      <c r="F142" t="s">
        <v>41</v>
      </c>
      <c r="G142">
        <v>2</v>
      </c>
    </row>
    <row r="143" spans="1:7" x14ac:dyDescent="0.25">
      <c r="A143" s="33" t="s">
        <v>2389</v>
      </c>
      <c r="B143" t="s">
        <v>46</v>
      </c>
      <c r="C143">
        <v>7802348846</v>
      </c>
      <c r="D143">
        <v>997350001</v>
      </c>
      <c r="E143" t="s">
        <v>47</v>
      </c>
      <c r="F143" t="s">
        <v>41</v>
      </c>
      <c r="G143">
        <v>2</v>
      </c>
    </row>
    <row r="144" spans="1:7" x14ac:dyDescent="0.25">
      <c r="A144" s="34" t="s">
        <v>2399</v>
      </c>
      <c r="B144" t="s">
        <v>46</v>
      </c>
      <c r="C144">
        <v>7802348846</v>
      </c>
      <c r="D144">
        <v>997350001</v>
      </c>
      <c r="E144" t="s">
        <v>47</v>
      </c>
      <c r="F144" t="s">
        <v>41</v>
      </c>
      <c r="G144">
        <v>2</v>
      </c>
    </row>
    <row r="145" spans="1:7" x14ac:dyDescent="0.25">
      <c r="A145" s="33" t="s">
        <v>2390</v>
      </c>
      <c r="B145" t="s">
        <v>46</v>
      </c>
      <c r="C145">
        <v>7802348846</v>
      </c>
      <c r="D145">
        <v>997350001</v>
      </c>
      <c r="E145" t="s">
        <v>47</v>
      </c>
      <c r="F145" t="s">
        <v>41</v>
      </c>
      <c r="G145">
        <v>2</v>
      </c>
    </row>
    <row r="146" spans="1:7" x14ac:dyDescent="0.25">
      <c r="A146" s="34" t="s">
        <v>2391</v>
      </c>
      <c r="B146" t="s">
        <v>46</v>
      </c>
      <c r="C146">
        <v>7802348846</v>
      </c>
      <c r="D146">
        <v>997350001</v>
      </c>
      <c r="E146" t="s">
        <v>47</v>
      </c>
      <c r="F146" t="s">
        <v>41</v>
      </c>
      <c r="G146">
        <v>2</v>
      </c>
    </row>
    <row r="147" spans="1:7" x14ac:dyDescent="0.25">
      <c r="A147" s="33" t="s">
        <v>2392</v>
      </c>
      <c r="B147" t="s">
        <v>46</v>
      </c>
      <c r="C147">
        <v>7802348846</v>
      </c>
      <c r="D147">
        <v>997350001</v>
      </c>
      <c r="E147" t="s">
        <v>47</v>
      </c>
      <c r="F147" t="s">
        <v>41</v>
      </c>
      <c r="G147">
        <v>2</v>
      </c>
    </row>
    <row r="148" spans="1:7" x14ac:dyDescent="0.25">
      <c r="A148" s="34" t="s">
        <v>2382</v>
      </c>
      <c r="B148" t="s">
        <v>46</v>
      </c>
      <c r="C148">
        <v>7802348846</v>
      </c>
      <c r="D148">
        <v>997350001</v>
      </c>
      <c r="E148" t="s">
        <v>47</v>
      </c>
      <c r="F148" t="s">
        <v>41</v>
      </c>
      <c r="G148">
        <v>2</v>
      </c>
    </row>
    <row r="149" spans="1:7" x14ac:dyDescent="0.25">
      <c r="A149" s="33" t="s">
        <v>2393</v>
      </c>
      <c r="B149" t="s">
        <v>46</v>
      </c>
      <c r="C149">
        <v>7802348846</v>
      </c>
      <c r="D149">
        <v>997350001</v>
      </c>
      <c r="E149" t="s">
        <v>47</v>
      </c>
      <c r="F149" t="s">
        <v>41</v>
      </c>
      <c r="G149">
        <v>2</v>
      </c>
    </row>
    <row r="150" spans="1:7" x14ac:dyDescent="0.25">
      <c r="A150" s="34" t="s">
        <v>2394</v>
      </c>
      <c r="B150" t="s">
        <v>46</v>
      </c>
      <c r="C150">
        <v>7802348846</v>
      </c>
      <c r="D150">
        <v>997350001</v>
      </c>
      <c r="E150" t="s">
        <v>47</v>
      </c>
      <c r="F150" t="s">
        <v>41</v>
      </c>
      <c r="G150">
        <v>2</v>
      </c>
    </row>
    <row r="151" spans="1:7" x14ac:dyDescent="0.25">
      <c r="A151" s="33" t="s">
        <v>2395</v>
      </c>
      <c r="B151" t="s">
        <v>46</v>
      </c>
      <c r="C151">
        <v>7802348846</v>
      </c>
      <c r="D151">
        <v>997350001</v>
      </c>
      <c r="E151" t="s">
        <v>47</v>
      </c>
      <c r="F151" t="s">
        <v>41</v>
      </c>
      <c r="G151">
        <v>2</v>
      </c>
    </row>
    <row r="152" spans="1:7" x14ac:dyDescent="0.25">
      <c r="A152" s="34" t="s">
        <v>2401</v>
      </c>
      <c r="B152" t="s">
        <v>51</v>
      </c>
      <c r="C152">
        <v>7802348846</v>
      </c>
      <c r="D152">
        <v>997350001</v>
      </c>
      <c r="E152" t="s">
        <v>52</v>
      </c>
      <c r="F152" t="s">
        <v>41</v>
      </c>
      <c r="G152">
        <v>2</v>
      </c>
    </row>
    <row r="153" spans="1:7" x14ac:dyDescent="0.25">
      <c r="A153" s="33" t="s">
        <v>2402</v>
      </c>
      <c r="B153" t="s">
        <v>51</v>
      </c>
      <c r="C153">
        <v>7802348846</v>
      </c>
      <c r="D153">
        <v>997350001</v>
      </c>
      <c r="E153" t="s">
        <v>52</v>
      </c>
      <c r="F153" t="s">
        <v>41</v>
      </c>
      <c r="G153">
        <v>2</v>
      </c>
    </row>
    <row r="154" spans="1:7" x14ac:dyDescent="0.25">
      <c r="A154" s="34" t="s">
        <v>2403</v>
      </c>
      <c r="B154" t="s">
        <v>51</v>
      </c>
      <c r="C154">
        <v>7802348846</v>
      </c>
      <c r="D154">
        <v>997350001</v>
      </c>
      <c r="E154" t="s">
        <v>52</v>
      </c>
      <c r="F154" t="s">
        <v>41</v>
      </c>
      <c r="G154">
        <v>2</v>
      </c>
    </row>
    <row r="155" spans="1:7" x14ac:dyDescent="0.25">
      <c r="A155" s="33" t="s">
        <v>2404</v>
      </c>
      <c r="B155" t="s">
        <v>51</v>
      </c>
      <c r="C155">
        <v>7802348846</v>
      </c>
      <c r="D155">
        <v>997350001</v>
      </c>
      <c r="E155" t="s">
        <v>52</v>
      </c>
      <c r="F155" t="s">
        <v>41</v>
      </c>
      <c r="G155">
        <v>2</v>
      </c>
    </row>
    <row r="156" spans="1:7" x14ac:dyDescent="0.25">
      <c r="A156" s="34" t="s">
        <v>2405</v>
      </c>
      <c r="B156" t="s">
        <v>51</v>
      </c>
      <c r="C156">
        <v>7802348846</v>
      </c>
      <c r="D156">
        <v>997350001</v>
      </c>
      <c r="E156" t="s">
        <v>52</v>
      </c>
      <c r="F156" t="s">
        <v>41</v>
      </c>
      <c r="G156">
        <v>2</v>
      </c>
    </row>
    <row r="157" spans="1:7" x14ac:dyDescent="0.25">
      <c r="A157" s="33" t="s">
        <v>2406</v>
      </c>
      <c r="B157" t="s">
        <v>51</v>
      </c>
      <c r="C157">
        <v>7802348846</v>
      </c>
      <c r="D157">
        <v>997350001</v>
      </c>
      <c r="E157" t="s">
        <v>52</v>
      </c>
      <c r="F157" t="s">
        <v>41</v>
      </c>
      <c r="G157">
        <v>2</v>
      </c>
    </row>
    <row r="158" spans="1:7" x14ac:dyDescent="0.25">
      <c r="A158" s="34" t="s">
        <v>2407</v>
      </c>
      <c r="B158" t="s">
        <v>2408</v>
      </c>
      <c r="C158">
        <v>7723889433</v>
      </c>
      <c r="D158">
        <v>772401001</v>
      </c>
      <c r="E158" t="s">
        <v>2409</v>
      </c>
      <c r="F158" t="s">
        <v>2410</v>
      </c>
      <c r="G158">
        <v>2</v>
      </c>
    </row>
    <row r="159" spans="1:7" x14ac:dyDescent="0.25">
      <c r="A159" s="33" t="s">
        <v>2414</v>
      </c>
      <c r="B159" t="s">
        <v>2411</v>
      </c>
      <c r="C159">
        <v>5838002196</v>
      </c>
      <c r="D159">
        <v>583801001</v>
      </c>
      <c r="E159" t="s">
        <v>2413</v>
      </c>
      <c r="F159" t="s">
        <v>2412</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I16" sqref="I16"/>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2327</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Шапка</vt:lpstr>
      <vt:lpstr>Анализ</vt:lpstr>
      <vt:lpstr>Анализ без формул</vt:lpstr>
      <vt:lpstr>Лист2</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2024-04-25T07:44:18Z</dcterms:modified>
</cp:coreProperties>
</file>